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407A1D19-21AE-4AE9-9EF3-E753D59EBFCC}" xr6:coauthVersionLast="47" xr6:coauthVersionMax="47" xr10:uidLastSave="{00000000-0000-0000-0000-000000000000}"/>
  <bookViews>
    <workbookView xWindow="-108" yWindow="-108" windowWidth="23256" windowHeight="12456" xr2:uid="{00000000-000D-0000-FFFF-FFFF00000000}"/>
  </bookViews>
  <sheets>
    <sheet name="Sheet1" sheetId="1" r:id="rId1"/>
    <sheet name="S3" sheetId="2" r:id="rId2"/>
    <sheet name="Sheet2" sheetId="4" r:id="rId3"/>
    <sheet name="Sheet3" sheetId="3" r:id="rId4"/>
  </sheets>
  <definedNames>
    <definedName name="_xlnm._FilterDatabase" localSheetId="0" hidden="1">Sheet1!$A$1:$BC$51</definedName>
    <definedName name="_xlnm._FilterDatabase" localSheetId="2" hidden="1">Sheet2!$A$2:$I$1860</definedName>
  </definedNames>
  <calcPr calcId="181029"/>
</workbook>
</file>

<file path=xl/calcChain.xml><?xml version="1.0" encoding="utf-8"?>
<calcChain xmlns="http://schemas.openxmlformats.org/spreadsheetml/2006/main">
  <c r="T10" i="2" l="1"/>
  <c r="T11" i="2"/>
  <c r="T12" i="2"/>
  <c r="T13" i="2"/>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AA4" i="2" l="1"/>
  <c r="AA5" i="2"/>
  <c r="AA6" i="2"/>
  <c r="AA7" i="2"/>
  <c r="AA8" i="2"/>
  <c r="AA9" i="2"/>
  <c r="AA10" i="2"/>
  <c r="AA11" i="2"/>
  <c r="AA12" i="2"/>
  <c r="AB12" i="2" s="1"/>
  <c r="AA13" i="2"/>
  <c r="AB13" i="2" s="1"/>
  <c r="AA14" i="2"/>
  <c r="AB14" i="2" s="1"/>
  <c r="AA15" i="2"/>
  <c r="AB15" i="2" s="1"/>
  <c r="AA16" i="2"/>
  <c r="AB16" i="2" s="1"/>
  <c r="AA17" i="2"/>
  <c r="AB17" i="2" s="1"/>
  <c r="AA18" i="2"/>
  <c r="AB18" i="2" s="1"/>
  <c r="AA19" i="2"/>
  <c r="AB19" i="2" s="1"/>
  <c r="AA20" i="2"/>
  <c r="AB20" i="2" s="1"/>
  <c r="AA21" i="2"/>
  <c r="AB21" i="2" s="1"/>
  <c r="AA22" i="2"/>
  <c r="AB22" i="2" s="1"/>
  <c r="AA23" i="2"/>
  <c r="AB23" i="2" s="1"/>
  <c r="AA24" i="2"/>
  <c r="AB24" i="2" s="1"/>
  <c r="AA25" i="2"/>
  <c r="AB25" i="2" s="1"/>
  <c r="AA26" i="2"/>
  <c r="AB26" i="2" s="1"/>
  <c r="AA27" i="2"/>
  <c r="AB27" i="2" s="1"/>
  <c r="AA28" i="2"/>
  <c r="AB28" i="2" s="1"/>
  <c r="AA29" i="2"/>
  <c r="AB29" i="2" s="1"/>
  <c r="AA30" i="2"/>
  <c r="AB30" i="2" s="1"/>
  <c r="AA31" i="2"/>
  <c r="AB31" i="2" s="1"/>
  <c r="AA32" i="2"/>
  <c r="AB32" i="2" s="1"/>
  <c r="AA33" i="2"/>
  <c r="AB33" i="2" s="1"/>
  <c r="AA34" i="2"/>
  <c r="AB34" i="2" s="1"/>
  <c r="AA35" i="2"/>
  <c r="AB35" i="2" s="1"/>
  <c r="AA36" i="2"/>
  <c r="AB36" i="2" s="1"/>
  <c r="AA37" i="2"/>
  <c r="AB37" i="2" s="1"/>
  <c r="AA38" i="2"/>
  <c r="AB38" i="2" s="1"/>
  <c r="AA39" i="2"/>
  <c r="AB39" i="2" s="1"/>
  <c r="AA40" i="2"/>
  <c r="AB40" i="2" s="1"/>
  <c r="AA41" i="2"/>
  <c r="AB41" i="2" s="1"/>
  <c r="AA42" i="2"/>
  <c r="AB42" i="2" s="1"/>
  <c r="AA43" i="2"/>
  <c r="AB43" i="2" s="1"/>
  <c r="AA44" i="2"/>
  <c r="AB44" i="2" s="1"/>
  <c r="AA45" i="2"/>
  <c r="AB45" i="2" s="1"/>
  <c r="AA46" i="2"/>
  <c r="AB46" i="2" s="1"/>
  <c r="AA47" i="2"/>
  <c r="AB47" i="2" s="1"/>
  <c r="AA48" i="2"/>
  <c r="AB48" i="2" s="1"/>
  <c r="AA49" i="2"/>
  <c r="AB49" i="2" s="1"/>
  <c r="AA50" i="2"/>
  <c r="AB50" i="2" s="1"/>
  <c r="AA51" i="2"/>
  <c r="AB51" i="2" s="1"/>
  <c r="AA52" i="2"/>
  <c r="AB52" i="2" s="1"/>
  <c r="AA53" i="2"/>
  <c r="AB53" i="2" s="1"/>
  <c r="AA54" i="2"/>
  <c r="AB54" i="2" s="1"/>
  <c r="AA55" i="2"/>
  <c r="AB55" i="2" s="1"/>
  <c r="AA56" i="2"/>
  <c r="AB56" i="2" s="1"/>
  <c r="AA57" i="2"/>
  <c r="AB57" i="2" s="1"/>
  <c r="AA58" i="2"/>
  <c r="AB58" i="2" s="1"/>
  <c r="AA59" i="2"/>
  <c r="AB59" i="2" s="1"/>
  <c r="AA60" i="2"/>
  <c r="AB60" i="2" s="1"/>
  <c r="AA61" i="2"/>
  <c r="AB61" i="2" s="1"/>
  <c r="AA62" i="2"/>
  <c r="AB62" i="2" s="1"/>
  <c r="AA63" i="2"/>
  <c r="AB63" i="2" s="1"/>
  <c r="AA64" i="2"/>
  <c r="AB64" i="2" s="1"/>
  <c r="AA65" i="2"/>
  <c r="AB65" i="2" s="1"/>
  <c r="AA66" i="2"/>
  <c r="AB66" i="2" s="1"/>
  <c r="AA67" i="2"/>
  <c r="AB67" i="2" s="1"/>
  <c r="AA68" i="2"/>
  <c r="AB68" i="2" s="1"/>
  <c r="AA69" i="2"/>
  <c r="AB69" i="2" s="1"/>
  <c r="AA70" i="2"/>
  <c r="AB70" i="2" s="1"/>
  <c r="AA71" i="2"/>
  <c r="AB71" i="2" s="1"/>
  <c r="AA72" i="2"/>
  <c r="AB72" i="2" s="1"/>
  <c r="AA73" i="2"/>
  <c r="AB73" i="2" s="1"/>
  <c r="AA74" i="2"/>
  <c r="AB74" i="2" s="1"/>
  <c r="AA75" i="2"/>
  <c r="AB75" i="2" s="1"/>
  <c r="AA76" i="2"/>
  <c r="AB76" i="2" s="1"/>
  <c r="AA77" i="2"/>
  <c r="AB77" i="2" s="1"/>
  <c r="AA78" i="2"/>
  <c r="AB78" i="2" s="1"/>
  <c r="AA79" i="2"/>
  <c r="AB79" i="2" s="1"/>
  <c r="AA80" i="2"/>
  <c r="AB80" i="2" s="1"/>
  <c r="AA81" i="2"/>
  <c r="AB81" i="2" s="1"/>
  <c r="AA82" i="2"/>
  <c r="AB82" i="2" s="1"/>
  <c r="AA83" i="2"/>
  <c r="AB83" i="2" s="1"/>
  <c r="AA84" i="2"/>
  <c r="AB84" i="2" s="1"/>
  <c r="AA85" i="2"/>
  <c r="AB85" i="2" s="1"/>
  <c r="AA86" i="2"/>
  <c r="AB86" i="2" s="1"/>
  <c r="AA87" i="2"/>
  <c r="AB87" i="2" s="1"/>
  <c r="AA88" i="2"/>
  <c r="AB88" i="2" s="1"/>
  <c r="AA89" i="2"/>
  <c r="AA90" i="2"/>
  <c r="AB90" i="2" s="1"/>
  <c r="AA91" i="2"/>
  <c r="AB91" i="2" s="1"/>
  <c r="AA92" i="2"/>
  <c r="AA93" i="2"/>
  <c r="AB93" i="2" s="1"/>
  <c r="AA94" i="2"/>
  <c r="AB94" i="2" s="1"/>
  <c r="AA95" i="2"/>
  <c r="AB95" i="2" s="1"/>
  <c r="AA96" i="2"/>
  <c r="AB96" i="2" s="1"/>
  <c r="AA97" i="2"/>
  <c r="AB97" i="2" s="1"/>
  <c r="AA98" i="2"/>
  <c r="AB98" i="2" s="1"/>
  <c r="AA99" i="2"/>
  <c r="AB99" i="2" s="1"/>
  <c r="AA100" i="2"/>
  <c r="AB100" i="2" s="1"/>
  <c r="AA101" i="2"/>
  <c r="AB101" i="2" s="1"/>
  <c r="AA102" i="2"/>
  <c r="AB102" i="2" s="1"/>
  <c r="AA103" i="2"/>
  <c r="AB103" i="2" s="1"/>
  <c r="AA104" i="2"/>
  <c r="AB104" i="2" s="1"/>
  <c r="AA105" i="2"/>
  <c r="AB105" i="2" s="1"/>
  <c r="AA106" i="2"/>
  <c r="AB106" i="2" s="1"/>
  <c r="AA107" i="2"/>
  <c r="AB107" i="2" s="1"/>
  <c r="AA108" i="2"/>
  <c r="AA109" i="2"/>
  <c r="AB109" i="2" s="1"/>
  <c r="AA110" i="2"/>
  <c r="AB110" i="2" s="1"/>
  <c r="AA111" i="2"/>
  <c r="AB111" i="2" s="1"/>
  <c r="AA112" i="2"/>
  <c r="AB112" i="2" s="1"/>
  <c r="AA113" i="2"/>
  <c r="AB113" i="2" s="1"/>
  <c r="AA114" i="2"/>
  <c r="AB114" i="2" s="1"/>
  <c r="AA115" i="2"/>
  <c r="AB115" i="2" s="1"/>
  <c r="AA116" i="2"/>
  <c r="AB116" i="2" s="1"/>
  <c r="AA117" i="2"/>
  <c r="AB117" i="2" s="1"/>
  <c r="AA118" i="2"/>
  <c r="AA119" i="2"/>
  <c r="AB119" i="2" s="1"/>
  <c r="AA120" i="2"/>
  <c r="AB120" i="2" s="1"/>
  <c r="AA121" i="2"/>
  <c r="AB121" i="2" s="1"/>
  <c r="AA122" i="2"/>
  <c r="AB122" i="2" s="1"/>
  <c r="AA123" i="2"/>
  <c r="AB123" i="2" s="1"/>
  <c r="AA124" i="2"/>
  <c r="AB124" i="2" s="1"/>
  <c r="AA125" i="2"/>
  <c r="AB125" i="2" s="1"/>
  <c r="AA126" i="2"/>
  <c r="AB126" i="2" s="1"/>
  <c r="AA127" i="2"/>
  <c r="AB127" i="2" s="1"/>
  <c r="AA128" i="2"/>
  <c r="AB128" i="2" s="1"/>
  <c r="AA129" i="2"/>
  <c r="AB129" i="2" s="1"/>
  <c r="AA130" i="2"/>
  <c r="AB130" i="2" s="1"/>
  <c r="AA131" i="2"/>
  <c r="AB131" i="2" s="1"/>
  <c r="AA132" i="2"/>
  <c r="AB132" i="2" s="1"/>
  <c r="AA133" i="2"/>
  <c r="AA134" i="2"/>
  <c r="AA135" i="2"/>
  <c r="AB135" i="2" s="1"/>
  <c r="AA136" i="2"/>
  <c r="AA137" i="2"/>
  <c r="AA138" i="2"/>
  <c r="AB138" i="2" s="1"/>
  <c r="AA139" i="2"/>
  <c r="AA140" i="2"/>
  <c r="AA141" i="2"/>
  <c r="AB141" i="2" s="1"/>
  <c r="AA142" i="2"/>
  <c r="AA143" i="2"/>
  <c r="AA144" i="2"/>
  <c r="AA145" i="2"/>
  <c r="AA146" i="2"/>
  <c r="AA147" i="2"/>
  <c r="AB147" i="2" s="1"/>
  <c r="AA148" i="2"/>
  <c r="AA149" i="2"/>
  <c r="AA150" i="2"/>
  <c r="AB150" i="2" s="1"/>
  <c r="AA151" i="2"/>
  <c r="AA152" i="2"/>
  <c r="AA153" i="2"/>
  <c r="AB153" i="2" s="1"/>
  <c r="AA154" i="2"/>
  <c r="AA155" i="2"/>
  <c r="AA156" i="2"/>
  <c r="AA157" i="2"/>
  <c r="AA158" i="2"/>
  <c r="AA159" i="2"/>
  <c r="AB159" i="2" s="1"/>
  <c r="AA160" i="2"/>
  <c r="AA161" i="2"/>
  <c r="AA162" i="2"/>
  <c r="AB162" i="2" s="1"/>
  <c r="AA163" i="2"/>
  <c r="AA164" i="2"/>
  <c r="AA165" i="2"/>
  <c r="AB165" i="2" s="1"/>
  <c r="AA166" i="2"/>
  <c r="AA167" i="2"/>
  <c r="AA168" i="2"/>
  <c r="AA169" i="2"/>
  <c r="AA170" i="2"/>
  <c r="AA171" i="2"/>
  <c r="AB171" i="2" s="1"/>
  <c r="AA172" i="2"/>
  <c r="AA173" i="2"/>
  <c r="AA174" i="2"/>
  <c r="AB174" i="2" s="1"/>
  <c r="AA175" i="2"/>
  <c r="AA176" i="2"/>
  <c r="AA177" i="2"/>
  <c r="AB177" i="2" s="1"/>
  <c r="AA178" i="2"/>
  <c r="AA179" i="2"/>
  <c r="AA180" i="2"/>
  <c r="AA181" i="2"/>
  <c r="AA182" i="2"/>
  <c r="AA183" i="2"/>
  <c r="AB183" i="2" s="1"/>
  <c r="AA184" i="2"/>
  <c r="AA185" i="2"/>
  <c r="AB185" i="2" s="1"/>
  <c r="AA186" i="2"/>
  <c r="AB186" i="2" s="1"/>
  <c r="AA187" i="2"/>
  <c r="AB187" i="2" s="1"/>
  <c r="AA188" i="2"/>
  <c r="AA189" i="2"/>
  <c r="AB189" i="2" s="1"/>
  <c r="AA190" i="2"/>
  <c r="AA191" i="2"/>
  <c r="AA192" i="2"/>
  <c r="AA193" i="2"/>
  <c r="AA194" i="2"/>
  <c r="AA195" i="2"/>
  <c r="AB195" i="2" s="1"/>
  <c r="AA196" i="2"/>
  <c r="AA197" i="2"/>
  <c r="AB197" i="2" s="1"/>
  <c r="AA198" i="2"/>
  <c r="AB198" i="2" s="1"/>
  <c r="AA199" i="2"/>
  <c r="AB199" i="2" s="1"/>
  <c r="AA200" i="2"/>
  <c r="AA201" i="2"/>
  <c r="AB201" i="2" s="1"/>
  <c r="AA202" i="2"/>
  <c r="AA203" i="2"/>
  <c r="AA204" i="2"/>
  <c r="AA205" i="2"/>
  <c r="AA206" i="2"/>
  <c r="AA207" i="2"/>
  <c r="AB207" i="2" s="1"/>
  <c r="AA208" i="2"/>
  <c r="AA209" i="2"/>
  <c r="AB209" i="2" s="1"/>
  <c r="AA210" i="2"/>
  <c r="AB210" i="2" s="1"/>
  <c r="AA211" i="2"/>
  <c r="AA212" i="2"/>
  <c r="AA213" i="2"/>
  <c r="AB213" i="2" s="1"/>
  <c r="AA214" i="2"/>
  <c r="AA215" i="2"/>
  <c r="AA216" i="2"/>
  <c r="AA217" i="2"/>
  <c r="AA218" i="2"/>
  <c r="AA219" i="2"/>
  <c r="AB219" i="2" s="1"/>
  <c r="AA220" i="2"/>
  <c r="AA221" i="2"/>
  <c r="AB221" i="2" s="1"/>
  <c r="AA222" i="2"/>
  <c r="AB222" i="2" s="1"/>
  <c r="AA223" i="2"/>
  <c r="AB223" i="2" s="1"/>
  <c r="AA224" i="2"/>
  <c r="AA225" i="2"/>
  <c r="AB225" i="2" s="1"/>
  <c r="AA226" i="2"/>
  <c r="AA227" i="2"/>
  <c r="AA228" i="2"/>
  <c r="AA229" i="2"/>
  <c r="AA230" i="2"/>
  <c r="AA231" i="2"/>
  <c r="AB231" i="2" s="1"/>
  <c r="AA232" i="2"/>
  <c r="AA233" i="2"/>
  <c r="AB233" i="2" s="1"/>
  <c r="AA234" i="2"/>
  <c r="AB234" i="2" s="1"/>
  <c r="AA235" i="2"/>
  <c r="AB235" i="2" s="1"/>
  <c r="AA236" i="2"/>
  <c r="AB236" i="2" s="1"/>
  <c r="AA237" i="2"/>
  <c r="AB237" i="2" s="1"/>
  <c r="AA238" i="2"/>
  <c r="AA239" i="2"/>
  <c r="AA240" i="2"/>
  <c r="AA241" i="2"/>
  <c r="AA242" i="2"/>
  <c r="AA243" i="2"/>
  <c r="AB243" i="2" s="1"/>
  <c r="AA244" i="2"/>
  <c r="AA245" i="2"/>
  <c r="AB245" i="2" s="1"/>
  <c r="AA246" i="2"/>
  <c r="AB246" i="2" s="1"/>
  <c r="AA247" i="2"/>
  <c r="AA248" i="2"/>
  <c r="AB248" i="2" s="1"/>
  <c r="AA249" i="2"/>
  <c r="AB249" i="2" s="1"/>
  <c r="AA250" i="2"/>
  <c r="AA251" i="2"/>
  <c r="AA252" i="2"/>
  <c r="AA253" i="2"/>
  <c r="AA254" i="2"/>
  <c r="AA255" i="2"/>
  <c r="AB255" i="2" s="1"/>
  <c r="AA256" i="2"/>
  <c r="AA257" i="2"/>
  <c r="AB257" i="2" s="1"/>
  <c r="AA258" i="2"/>
  <c r="AB258" i="2" s="1"/>
  <c r="AA259" i="2"/>
  <c r="AB259" i="2" s="1"/>
  <c r="AA260" i="2"/>
  <c r="AB260" i="2" s="1"/>
  <c r="AA261" i="2"/>
  <c r="AB261" i="2" s="1"/>
  <c r="AA262" i="2"/>
  <c r="AA263" i="2"/>
  <c r="AA264" i="2"/>
  <c r="AA265" i="2"/>
  <c r="AA266" i="2"/>
  <c r="AA267" i="2"/>
  <c r="AB267" i="2" s="1"/>
  <c r="AA268" i="2"/>
  <c r="AA269" i="2"/>
  <c r="AB269" i="2" s="1"/>
  <c r="AA270" i="2"/>
  <c r="AB270" i="2" s="1"/>
  <c r="AA271" i="2"/>
  <c r="AB271" i="2" s="1"/>
  <c r="AA272" i="2"/>
  <c r="AB272" i="2" s="1"/>
  <c r="AA273" i="2"/>
  <c r="AB273" i="2" s="1"/>
  <c r="AA274" i="2"/>
  <c r="AA275" i="2"/>
  <c r="AA276" i="2"/>
  <c r="AA277" i="2"/>
  <c r="AA278" i="2"/>
  <c r="AA279" i="2"/>
  <c r="AB279" i="2" s="1"/>
  <c r="AA280" i="2"/>
  <c r="AA281" i="2"/>
  <c r="AB281" i="2" s="1"/>
  <c r="AA282" i="2"/>
  <c r="AB282" i="2" s="1"/>
  <c r="AA283" i="2"/>
  <c r="AA284" i="2"/>
  <c r="AB284" i="2" s="1"/>
  <c r="AA285" i="2"/>
  <c r="AB285" i="2" s="1"/>
  <c r="AA286" i="2"/>
  <c r="AA287" i="2"/>
  <c r="AA288" i="2"/>
  <c r="AA289" i="2"/>
  <c r="AA290" i="2"/>
  <c r="AA291" i="2"/>
  <c r="AB291" i="2" s="1"/>
  <c r="AA292" i="2"/>
  <c r="AA293" i="2"/>
  <c r="AB293" i="2" s="1"/>
  <c r="AA294" i="2"/>
  <c r="AB294" i="2" s="1"/>
  <c r="AA295" i="2"/>
  <c r="AB295" i="2" s="1"/>
  <c r="AA296" i="2"/>
  <c r="AB296" i="2" s="1"/>
  <c r="AA297" i="2"/>
  <c r="AB297" i="2" s="1"/>
  <c r="AA298" i="2"/>
  <c r="AA299" i="2"/>
  <c r="AA300" i="2"/>
  <c r="AA301" i="2"/>
  <c r="AA302" i="2"/>
  <c r="AA303" i="2"/>
  <c r="AB303" i="2" s="1"/>
  <c r="AA304" i="2"/>
  <c r="AA305" i="2"/>
  <c r="AB305" i="2" s="1"/>
  <c r="AA306" i="2"/>
  <c r="AB306" i="2" s="1"/>
  <c r="AA307" i="2"/>
  <c r="AB307" i="2" s="1"/>
  <c r="AA308" i="2"/>
  <c r="AB308" i="2" s="1"/>
  <c r="AA309" i="2"/>
  <c r="AB309" i="2" s="1"/>
  <c r="AA310" i="2"/>
  <c r="AA311" i="2"/>
  <c r="AA312" i="2"/>
  <c r="AA313" i="2"/>
  <c r="AA314" i="2"/>
  <c r="AA315" i="2"/>
  <c r="AB315" i="2" s="1"/>
  <c r="AA316" i="2"/>
  <c r="AA317" i="2"/>
  <c r="AB317" i="2" s="1"/>
  <c r="AA318" i="2"/>
  <c r="AB318" i="2" s="1"/>
  <c r="AA319" i="2"/>
  <c r="AA320" i="2"/>
  <c r="AB320" i="2" s="1"/>
  <c r="AA321" i="2"/>
  <c r="AB321" i="2" s="1"/>
  <c r="AA322" i="2"/>
  <c r="AA323" i="2"/>
  <c r="AA324" i="2"/>
  <c r="AA325" i="2"/>
  <c r="AA326" i="2"/>
  <c r="AA327" i="2"/>
  <c r="AB327" i="2" s="1"/>
  <c r="AA328" i="2"/>
  <c r="AA329" i="2"/>
  <c r="AB329" i="2" s="1"/>
  <c r="AA330" i="2"/>
  <c r="AB330" i="2" s="1"/>
  <c r="AA331" i="2"/>
  <c r="AB331" i="2" s="1"/>
  <c r="AA332" i="2"/>
  <c r="AB332" i="2" s="1"/>
  <c r="AA333" i="2"/>
  <c r="AB333" i="2" s="1"/>
  <c r="AA334" i="2"/>
  <c r="AA335" i="2"/>
  <c r="AA336" i="2"/>
  <c r="AA337" i="2"/>
  <c r="AA338" i="2"/>
  <c r="AA339" i="2"/>
  <c r="AB339" i="2" s="1"/>
  <c r="AA340" i="2"/>
  <c r="AA341" i="2"/>
  <c r="AB341" i="2" s="1"/>
  <c r="AA342" i="2"/>
  <c r="AB342" i="2" s="1"/>
  <c r="AA343" i="2"/>
  <c r="AB343" i="2" s="1"/>
  <c r="AA344" i="2"/>
  <c r="AB344" i="2" s="1"/>
  <c r="AA345" i="2"/>
  <c r="AB345" i="2" s="1"/>
  <c r="AA346" i="2"/>
  <c r="AA347" i="2"/>
  <c r="AA348" i="2"/>
  <c r="AA349" i="2"/>
  <c r="AA350" i="2"/>
  <c r="AA351" i="2"/>
  <c r="AB351" i="2" s="1"/>
  <c r="AA352" i="2"/>
  <c r="AA353" i="2"/>
  <c r="AB353" i="2" s="1"/>
  <c r="AA354" i="2"/>
  <c r="AB354" i="2" s="1"/>
  <c r="AA355" i="2"/>
  <c r="AA356" i="2"/>
  <c r="AB356" i="2" s="1"/>
  <c r="AA357" i="2"/>
  <c r="AB357" i="2" s="1"/>
  <c r="AA358" i="2"/>
  <c r="AA359" i="2"/>
  <c r="AA360" i="2"/>
  <c r="AA361" i="2"/>
  <c r="AA362" i="2"/>
  <c r="AA363" i="2"/>
  <c r="AB363" i="2" s="1"/>
  <c r="AA364" i="2"/>
  <c r="AA365" i="2"/>
  <c r="AB365" i="2" s="1"/>
  <c r="AA366" i="2"/>
  <c r="AB366" i="2" s="1"/>
  <c r="AA367" i="2"/>
  <c r="AB367" i="2" s="1"/>
  <c r="AA368" i="2"/>
  <c r="AB368" i="2" s="1"/>
  <c r="AA369" i="2"/>
  <c r="AB369" i="2" s="1"/>
  <c r="AA370" i="2"/>
  <c r="AA371" i="2"/>
  <c r="AA372" i="2"/>
  <c r="AA373" i="2"/>
  <c r="AA374" i="2"/>
  <c r="AA375" i="2"/>
  <c r="AB375" i="2" s="1"/>
  <c r="AA376" i="2"/>
  <c r="AA377" i="2"/>
  <c r="AB377" i="2" s="1"/>
  <c r="AA378" i="2"/>
  <c r="AB378" i="2" s="1"/>
  <c r="AA379" i="2"/>
  <c r="AB379" i="2" s="1"/>
  <c r="AA380" i="2"/>
  <c r="AB380" i="2" s="1"/>
  <c r="AA381" i="2"/>
  <c r="AB381" i="2" s="1"/>
  <c r="AA382" i="2"/>
  <c r="AA383" i="2"/>
  <c r="AA384" i="2"/>
  <c r="AA385" i="2"/>
  <c r="AA386" i="2"/>
  <c r="AA387" i="2"/>
  <c r="AB387" i="2" s="1"/>
  <c r="AA388" i="2"/>
  <c r="AA389" i="2"/>
  <c r="AB389" i="2" s="1"/>
  <c r="AA390" i="2"/>
  <c r="AB390" i="2" s="1"/>
  <c r="AA391" i="2"/>
  <c r="AA392" i="2"/>
  <c r="AB392" i="2" s="1"/>
  <c r="AA393" i="2"/>
  <c r="AB393" i="2" s="1"/>
  <c r="AA394" i="2"/>
  <c r="AA395" i="2"/>
  <c r="AA396" i="2"/>
  <c r="AA397" i="2"/>
  <c r="AA398" i="2"/>
  <c r="AA399" i="2"/>
  <c r="AB399" i="2" s="1"/>
  <c r="AA400" i="2"/>
  <c r="AA401" i="2"/>
  <c r="AB401" i="2" s="1"/>
  <c r="AA402" i="2"/>
  <c r="AB402" i="2" s="1"/>
  <c r="AA403" i="2"/>
  <c r="AB403" i="2" s="1"/>
  <c r="AA404" i="2"/>
  <c r="AB404" i="2" s="1"/>
  <c r="AA405" i="2"/>
  <c r="AB405" i="2" s="1"/>
  <c r="AA406" i="2"/>
  <c r="AA407" i="2"/>
  <c r="AA408" i="2"/>
  <c r="AA409" i="2"/>
  <c r="AA410" i="2"/>
  <c r="AA411" i="2"/>
  <c r="AB411" i="2" s="1"/>
  <c r="AA412" i="2"/>
  <c r="AA413" i="2"/>
  <c r="AB413" i="2" s="1"/>
  <c r="AA414" i="2"/>
  <c r="AB414" i="2" s="1"/>
  <c r="AA415" i="2"/>
  <c r="AB415" i="2" s="1"/>
  <c r="AA416" i="2"/>
  <c r="AB416" i="2" s="1"/>
  <c r="AA417" i="2"/>
  <c r="AB417" i="2" s="1"/>
  <c r="AA418" i="2"/>
  <c r="AA419" i="2"/>
  <c r="AA420" i="2"/>
  <c r="AA421" i="2"/>
  <c r="AA422" i="2"/>
  <c r="AA423" i="2"/>
  <c r="AB423" i="2" s="1"/>
  <c r="AA424" i="2"/>
  <c r="AA425" i="2"/>
  <c r="AB425" i="2" s="1"/>
  <c r="AA426" i="2"/>
  <c r="AB426" i="2" s="1"/>
  <c r="AA427" i="2"/>
  <c r="AA428" i="2"/>
  <c r="AB428" i="2" s="1"/>
  <c r="AA429" i="2"/>
  <c r="AB429" i="2" s="1"/>
  <c r="AA430" i="2"/>
  <c r="AA431" i="2"/>
  <c r="AA432" i="2"/>
  <c r="AA433" i="2"/>
  <c r="AA434" i="2"/>
  <c r="AA435" i="2"/>
  <c r="AB435" i="2" s="1"/>
  <c r="AA436" i="2"/>
  <c r="AA437" i="2"/>
  <c r="AB437" i="2" s="1"/>
  <c r="AA438" i="2"/>
  <c r="AB438" i="2" s="1"/>
  <c r="AA439" i="2"/>
  <c r="AB439" i="2" s="1"/>
  <c r="AA440" i="2"/>
  <c r="AB440" i="2" s="1"/>
  <c r="AA441" i="2"/>
  <c r="AB441" i="2" s="1"/>
  <c r="AA442" i="2"/>
  <c r="AA443" i="2"/>
  <c r="AA444" i="2"/>
  <c r="AA445" i="2"/>
  <c r="AA446" i="2"/>
  <c r="AA447" i="2"/>
  <c r="AB447" i="2" s="1"/>
  <c r="AA448" i="2"/>
  <c r="AA449" i="2"/>
  <c r="AB449" i="2" s="1"/>
  <c r="AA450" i="2"/>
  <c r="AB450" i="2" s="1"/>
  <c r="AA451" i="2"/>
  <c r="AB451" i="2" s="1"/>
  <c r="AA452" i="2"/>
  <c r="AB452" i="2" s="1"/>
  <c r="AA453" i="2"/>
  <c r="AB453" i="2" s="1"/>
  <c r="AA454" i="2"/>
  <c r="AA455" i="2"/>
  <c r="AA456" i="2"/>
  <c r="AA457" i="2"/>
  <c r="AA458" i="2"/>
  <c r="AA459" i="2"/>
  <c r="AB459" i="2" s="1"/>
  <c r="AA460" i="2"/>
  <c r="AA461" i="2"/>
  <c r="AB461" i="2" s="1"/>
  <c r="AA462" i="2"/>
  <c r="AB462" i="2" s="1"/>
  <c r="AA463" i="2"/>
  <c r="AA464" i="2"/>
  <c r="AB464" i="2" s="1"/>
  <c r="AA465" i="2"/>
  <c r="AB465" i="2" s="1"/>
  <c r="AA466" i="2"/>
  <c r="AA467" i="2"/>
  <c r="AA468" i="2"/>
  <c r="AA469" i="2"/>
  <c r="AA470" i="2"/>
  <c r="AA471" i="2"/>
  <c r="AB471" i="2" s="1"/>
  <c r="AA472" i="2"/>
  <c r="AA473" i="2"/>
  <c r="AB473" i="2" s="1"/>
  <c r="AA474" i="2"/>
  <c r="AB474" i="2" s="1"/>
  <c r="AA475" i="2"/>
  <c r="AB475" i="2" s="1"/>
  <c r="AA476" i="2"/>
  <c r="AB476" i="2" s="1"/>
  <c r="AA477" i="2"/>
  <c r="AB477" i="2" s="1"/>
  <c r="AA478" i="2"/>
  <c r="AA479" i="2"/>
  <c r="AA480" i="2"/>
  <c r="AA481" i="2"/>
  <c r="AA482" i="2"/>
  <c r="AA483" i="2"/>
  <c r="AB483" i="2" s="1"/>
  <c r="AA484" i="2"/>
  <c r="AA485" i="2"/>
  <c r="AB485" i="2" s="1"/>
  <c r="AA486" i="2"/>
  <c r="AB486" i="2" s="1"/>
  <c r="AA487" i="2"/>
  <c r="AB487" i="2" s="1"/>
  <c r="AA488" i="2"/>
  <c r="AB488" i="2" s="1"/>
  <c r="AA489" i="2"/>
  <c r="AB489" i="2" s="1"/>
  <c r="AA490" i="2"/>
  <c r="AA491" i="2"/>
  <c r="AA492" i="2"/>
  <c r="AA493" i="2"/>
  <c r="AA494" i="2"/>
  <c r="AA495" i="2"/>
  <c r="AB495" i="2" s="1"/>
  <c r="AA496" i="2"/>
  <c r="AA497" i="2"/>
  <c r="AB497" i="2" s="1"/>
  <c r="AA498" i="2"/>
  <c r="AB498" i="2" s="1"/>
  <c r="AA499" i="2"/>
  <c r="AA500" i="2"/>
  <c r="AB500" i="2" s="1"/>
  <c r="AA501" i="2"/>
  <c r="AB501" i="2" s="1"/>
  <c r="AA502" i="2"/>
  <c r="AA503" i="2"/>
  <c r="AA504" i="2"/>
  <c r="AA505" i="2"/>
  <c r="AA506" i="2"/>
  <c r="AA507" i="2"/>
  <c r="AB507" i="2" s="1"/>
  <c r="AA508" i="2"/>
  <c r="AA509" i="2"/>
  <c r="AB509" i="2" s="1"/>
  <c r="AA510" i="2"/>
  <c r="AB510" i="2" s="1"/>
  <c r="AA511" i="2"/>
  <c r="AB511" i="2" s="1"/>
  <c r="AA512" i="2"/>
  <c r="AB512" i="2" s="1"/>
  <c r="AA513" i="2"/>
  <c r="AB513" i="2" s="1"/>
  <c r="AA514" i="2"/>
  <c r="AA515" i="2"/>
  <c r="AA516" i="2"/>
  <c r="AA517" i="2"/>
  <c r="AA518" i="2"/>
  <c r="AA519" i="2"/>
  <c r="AB519" i="2" s="1"/>
  <c r="AA520" i="2"/>
  <c r="AA521" i="2"/>
  <c r="AB521" i="2" s="1"/>
  <c r="AA522" i="2"/>
  <c r="AB522" i="2" s="1"/>
  <c r="AA523" i="2"/>
  <c r="AB523" i="2" s="1"/>
  <c r="AA524" i="2"/>
  <c r="AB524" i="2" s="1"/>
  <c r="AA525" i="2"/>
  <c r="AB525" i="2" s="1"/>
  <c r="AA526" i="2"/>
  <c r="AA527" i="2"/>
  <c r="AA528" i="2"/>
  <c r="AA529" i="2"/>
  <c r="AA530" i="2"/>
  <c r="AA531" i="2"/>
  <c r="AB531" i="2" s="1"/>
  <c r="AA532" i="2"/>
  <c r="AA533" i="2"/>
  <c r="AB533" i="2" s="1"/>
  <c r="AA534" i="2"/>
  <c r="AB534" i="2" s="1"/>
  <c r="AA535" i="2"/>
  <c r="AA536" i="2"/>
  <c r="AB536" i="2" s="1"/>
  <c r="AA537" i="2"/>
  <c r="AB537" i="2" s="1"/>
  <c r="AA538" i="2"/>
  <c r="AA539" i="2"/>
  <c r="AA540" i="2"/>
  <c r="AA541" i="2"/>
  <c r="AA542" i="2"/>
  <c r="AA543" i="2"/>
  <c r="AB543" i="2" s="1"/>
  <c r="AA544" i="2"/>
  <c r="AA545" i="2"/>
  <c r="AB545" i="2" s="1"/>
  <c r="AA546" i="2"/>
  <c r="AB546" i="2" s="1"/>
  <c r="AA547" i="2"/>
  <c r="AB547" i="2" s="1"/>
  <c r="AA548" i="2"/>
  <c r="AB548" i="2" s="1"/>
  <c r="AA549" i="2"/>
  <c r="AB549" i="2" s="1"/>
  <c r="AA550" i="2"/>
  <c r="AA551" i="2"/>
  <c r="AA552" i="2"/>
  <c r="AA553" i="2"/>
  <c r="AA554" i="2"/>
  <c r="AA555" i="2"/>
  <c r="AB555" i="2" s="1"/>
  <c r="AA556" i="2"/>
  <c r="AA557" i="2"/>
  <c r="AB557" i="2" s="1"/>
  <c r="AA558" i="2"/>
  <c r="AB558" i="2" s="1"/>
  <c r="AA559" i="2"/>
  <c r="AB559" i="2" s="1"/>
  <c r="AA560" i="2"/>
  <c r="AB560" i="2" s="1"/>
  <c r="AA561" i="2"/>
  <c r="AB561" i="2" s="1"/>
  <c r="AA562" i="2"/>
  <c r="AA563" i="2"/>
  <c r="AA564" i="2"/>
  <c r="AA565" i="2"/>
  <c r="AA566" i="2"/>
  <c r="AA567" i="2"/>
  <c r="AB567" i="2" s="1"/>
  <c r="AA568" i="2"/>
  <c r="AA569" i="2"/>
  <c r="AB569" i="2" s="1"/>
  <c r="AA570" i="2"/>
  <c r="AB570" i="2" s="1"/>
  <c r="AA571" i="2"/>
  <c r="AA572" i="2"/>
  <c r="AB572" i="2" s="1"/>
  <c r="AA573" i="2"/>
  <c r="AB573" i="2" s="1"/>
  <c r="AA574" i="2"/>
  <c r="AA575" i="2"/>
  <c r="AA576" i="2"/>
  <c r="AA577" i="2"/>
  <c r="AA578" i="2"/>
  <c r="AA579" i="2"/>
  <c r="AB579" i="2" s="1"/>
  <c r="AA580" i="2"/>
  <c r="AA581" i="2"/>
  <c r="AB581" i="2" s="1"/>
  <c r="AA582" i="2"/>
  <c r="AB582" i="2" s="1"/>
  <c r="AA583" i="2"/>
  <c r="AB583" i="2" s="1"/>
  <c r="AA584" i="2"/>
  <c r="AB584" i="2" s="1"/>
  <c r="AA585" i="2"/>
  <c r="AB585" i="2" s="1"/>
  <c r="AA586" i="2"/>
  <c r="AA587" i="2"/>
  <c r="AA588" i="2"/>
  <c r="AA589" i="2"/>
  <c r="AA590" i="2"/>
  <c r="AA591" i="2"/>
  <c r="AB591" i="2" s="1"/>
  <c r="AA592" i="2"/>
  <c r="AA593" i="2"/>
  <c r="AB593" i="2" s="1"/>
  <c r="AA594" i="2"/>
  <c r="AB594" i="2" s="1"/>
  <c r="AA595" i="2"/>
  <c r="AB595" i="2" s="1"/>
  <c r="AA596" i="2"/>
  <c r="AB596" i="2" s="1"/>
  <c r="AA597" i="2"/>
  <c r="AB597" i="2" s="1"/>
  <c r="AA598" i="2"/>
  <c r="AA599" i="2"/>
  <c r="AA600" i="2"/>
  <c r="AA601" i="2"/>
  <c r="AA602" i="2"/>
  <c r="AA603" i="2"/>
  <c r="AB603" i="2" s="1"/>
  <c r="AA604" i="2"/>
  <c r="AA605" i="2"/>
  <c r="AB605" i="2" s="1"/>
  <c r="AA606" i="2"/>
  <c r="AB606" i="2" s="1"/>
  <c r="AA607" i="2"/>
  <c r="AA608" i="2"/>
  <c r="AB608" i="2" s="1"/>
  <c r="AA609" i="2"/>
  <c r="AB609" i="2" s="1"/>
  <c r="AA610" i="2"/>
  <c r="AA611" i="2"/>
  <c r="AA612" i="2"/>
  <c r="AA613" i="2"/>
  <c r="AA614" i="2"/>
  <c r="AA615" i="2"/>
  <c r="AB615" i="2" s="1"/>
  <c r="AA616" i="2"/>
  <c r="AA617" i="2"/>
  <c r="AB617" i="2" s="1"/>
  <c r="AA618" i="2"/>
  <c r="AB618" i="2" s="1"/>
  <c r="AA619" i="2"/>
  <c r="AB619" i="2" s="1"/>
  <c r="AA620" i="2"/>
  <c r="AB620" i="2" s="1"/>
  <c r="AA621" i="2"/>
  <c r="AB621" i="2" s="1"/>
  <c r="AA622" i="2"/>
  <c r="AA623" i="2"/>
  <c r="AA624" i="2"/>
  <c r="AA625" i="2"/>
  <c r="AA626" i="2"/>
  <c r="AA627" i="2"/>
  <c r="AB627" i="2" s="1"/>
  <c r="AA628" i="2"/>
  <c r="AA629" i="2"/>
  <c r="AB629" i="2" s="1"/>
  <c r="AA630" i="2"/>
  <c r="AB630" i="2" s="1"/>
  <c r="AA631" i="2"/>
  <c r="AB631" i="2" s="1"/>
  <c r="AA632" i="2"/>
  <c r="AB632" i="2" s="1"/>
  <c r="AA633" i="2"/>
  <c r="AB633" i="2" s="1"/>
  <c r="AA634" i="2"/>
  <c r="AA635" i="2"/>
  <c r="AA636" i="2"/>
  <c r="AA637" i="2"/>
  <c r="AA638" i="2"/>
  <c r="AA639" i="2"/>
  <c r="AB639" i="2" s="1"/>
  <c r="AA640" i="2"/>
  <c r="AA641" i="2"/>
  <c r="AB641" i="2" s="1"/>
  <c r="AA642" i="2"/>
  <c r="AB642" i="2" s="1"/>
  <c r="AA643" i="2"/>
  <c r="AA644" i="2"/>
  <c r="AB644" i="2" s="1"/>
  <c r="AA645" i="2"/>
  <c r="AB645" i="2" s="1"/>
  <c r="AA646" i="2"/>
  <c r="AA647" i="2"/>
  <c r="AA648" i="2"/>
  <c r="AA649" i="2"/>
  <c r="AA650" i="2"/>
  <c r="AA651" i="2"/>
  <c r="AB651" i="2" s="1"/>
  <c r="AA652" i="2"/>
  <c r="AA653" i="2"/>
  <c r="AB653" i="2" s="1"/>
  <c r="AA654" i="2"/>
  <c r="AB654" i="2" s="1"/>
  <c r="AA655" i="2"/>
  <c r="AB655" i="2" s="1"/>
  <c r="AA656" i="2"/>
  <c r="AB656" i="2" s="1"/>
  <c r="AA657" i="2"/>
  <c r="AB657" i="2" s="1"/>
  <c r="AA658" i="2"/>
  <c r="AA659" i="2"/>
  <c r="AA660" i="2"/>
  <c r="AA661" i="2"/>
  <c r="AA662" i="2"/>
  <c r="AA663" i="2"/>
  <c r="AB663" i="2" s="1"/>
  <c r="AA664" i="2"/>
  <c r="AA665" i="2"/>
  <c r="AB665" i="2" s="1"/>
  <c r="AA666" i="2"/>
  <c r="AB666" i="2" s="1"/>
  <c r="AA667" i="2"/>
  <c r="AB667" i="2" s="1"/>
  <c r="AA668" i="2"/>
  <c r="AB668" i="2" s="1"/>
  <c r="AA669" i="2"/>
  <c r="AB669" i="2" s="1"/>
  <c r="AA670" i="2"/>
  <c r="AA671" i="2"/>
  <c r="AA672" i="2"/>
  <c r="AA673" i="2"/>
  <c r="AA674" i="2"/>
  <c r="AA675" i="2"/>
  <c r="AB675" i="2" s="1"/>
  <c r="AA676" i="2"/>
  <c r="AA677" i="2"/>
  <c r="AB677" i="2" s="1"/>
  <c r="AA678" i="2"/>
  <c r="AB678" i="2" s="1"/>
  <c r="AA679" i="2"/>
  <c r="AA680" i="2"/>
  <c r="AB680" i="2" s="1"/>
  <c r="AA681" i="2"/>
  <c r="AB681" i="2" s="1"/>
  <c r="AA682" i="2"/>
  <c r="AA683" i="2"/>
  <c r="AA684" i="2"/>
  <c r="AA685" i="2"/>
  <c r="AA686" i="2"/>
  <c r="AA687" i="2"/>
  <c r="AB687" i="2" s="1"/>
  <c r="AA688" i="2"/>
  <c r="AA689" i="2"/>
  <c r="AB689" i="2" s="1"/>
  <c r="AA690" i="2"/>
  <c r="AB690" i="2" s="1"/>
  <c r="AA691" i="2"/>
  <c r="AB691" i="2" s="1"/>
  <c r="AA692" i="2"/>
  <c r="AB692" i="2" s="1"/>
  <c r="AA693" i="2"/>
  <c r="AB693" i="2" s="1"/>
  <c r="AA694" i="2"/>
  <c r="AA695" i="2"/>
  <c r="AA696" i="2"/>
  <c r="AA697" i="2"/>
  <c r="AA698" i="2"/>
  <c r="AA699" i="2"/>
  <c r="AB699" i="2" s="1"/>
  <c r="AA700" i="2"/>
  <c r="AA701" i="2"/>
  <c r="AB701" i="2" s="1"/>
  <c r="AA702" i="2"/>
  <c r="AB702" i="2" s="1"/>
  <c r="AA703" i="2"/>
  <c r="AB703" i="2" s="1"/>
  <c r="AA704" i="2"/>
  <c r="AB704" i="2" s="1"/>
  <c r="AA705" i="2"/>
  <c r="AB705" i="2" s="1"/>
  <c r="AA706" i="2"/>
  <c r="AA707" i="2"/>
  <c r="AA708" i="2"/>
  <c r="AA709" i="2"/>
  <c r="AA710" i="2"/>
  <c r="AA711" i="2"/>
  <c r="AB711" i="2" s="1"/>
  <c r="AA712" i="2"/>
  <c r="AA713" i="2"/>
  <c r="AB713" i="2" s="1"/>
  <c r="AA714" i="2"/>
  <c r="AB714" i="2" s="1"/>
  <c r="AA715" i="2"/>
  <c r="AB715" i="2" s="1"/>
  <c r="AA716" i="2"/>
  <c r="AB716" i="2" s="1"/>
  <c r="AA717" i="2"/>
  <c r="AB717" i="2" s="1"/>
  <c r="AA718" i="2"/>
  <c r="AA719" i="2"/>
  <c r="AA720" i="2"/>
  <c r="AA721" i="2"/>
  <c r="AA722" i="2"/>
  <c r="AA723" i="2"/>
  <c r="AB723" i="2" s="1"/>
  <c r="AA724" i="2"/>
  <c r="AA725" i="2"/>
  <c r="AA726" i="2"/>
  <c r="AB726" i="2" s="1"/>
  <c r="AA727" i="2"/>
  <c r="AA728" i="2"/>
  <c r="AA729" i="2"/>
  <c r="AB729" i="2" s="1"/>
  <c r="AA730" i="2"/>
  <c r="AA731" i="2"/>
  <c r="AA732" i="2"/>
  <c r="AA733" i="2"/>
  <c r="AA734" i="2"/>
  <c r="AA735" i="2"/>
  <c r="AB735" i="2" s="1"/>
  <c r="AA736" i="2"/>
  <c r="AA737" i="2"/>
  <c r="AB737" i="2" s="1"/>
  <c r="AA738" i="2"/>
  <c r="AB738" i="2" s="1"/>
  <c r="AA739" i="2"/>
  <c r="AB739" i="2" s="1"/>
  <c r="AA740" i="2"/>
  <c r="AB740" i="2" s="1"/>
  <c r="AA741" i="2"/>
  <c r="AB741" i="2" s="1"/>
  <c r="AA742" i="2"/>
  <c r="AA743" i="2"/>
  <c r="AA744" i="2"/>
  <c r="AA745" i="2"/>
  <c r="AA746" i="2"/>
  <c r="AA747" i="2"/>
  <c r="AB747" i="2" s="1"/>
  <c r="AA748" i="2"/>
  <c r="AA749" i="2"/>
  <c r="AB749" i="2" s="1"/>
  <c r="AA750" i="2"/>
  <c r="AB750" i="2" s="1"/>
  <c r="AA751" i="2"/>
  <c r="AB751" i="2" s="1"/>
  <c r="AA752" i="2"/>
  <c r="AB752" i="2" s="1"/>
  <c r="AA753" i="2"/>
  <c r="AB753" i="2" s="1"/>
  <c r="AA754" i="2"/>
  <c r="AA755" i="2"/>
  <c r="AA756" i="2"/>
  <c r="AA757" i="2"/>
  <c r="AA758" i="2"/>
  <c r="AA759" i="2"/>
  <c r="AB759" i="2" s="1"/>
  <c r="AA760" i="2"/>
  <c r="AA761" i="2"/>
  <c r="AB761" i="2" s="1"/>
  <c r="AA762" i="2"/>
  <c r="AB762" i="2" s="1"/>
  <c r="AA763" i="2"/>
  <c r="AB763" i="2" s="1"/>
  <c r="AA764" i="2"/>
  <c r="AB764" i="2" s="1"/>
  <c r="AA765" i="2"/>
  <c r="AB765" i="2" s="1"/>
  <c r="AA766" i="2"/>
  <c r="AA767" i="2"/>
  <c r="AA768" i="2"/>
  <c r="AA769" i="2"/>
  <c r="AA770" i="2"/>
  <c r="AA771" i="2"/>
  <c r="AB771" i="2" s="1"/>
  <c r="AA772" i="2"/>
  <c r="AA773" i="2"/>
  <c r="AA774" i="2"/>
  <c r="AB774" i="2" s="1"/>
  <c r="AA775" i="2"/>
  <c r="AA776" i="2"/>
  <c r="AA777" i="2"/>
  <c r="AB777" i="2" s="1"/>
  <c r="AA778" i="2"/>
  <c r="AA779" i="2"/>
  <c r="AA780" i="2"/>
  <c r="AA781" i="2"/>
  <c r="AA782" i="2"/>
  <c r="AA783" i="2"/>
  <c r="AB783" i="2" s="1"/>
  <c r="AA784" i="2"/>
  <c r="AA785" i="2"/>
  <c r="AB785" i="2" s="1"/>
  <c r="AA786" i="2"/>
  <c r="AB786" i="2" s="1"/>
  <c r="AA787" i="2"/>
  <c r="AB787" i="2" s="1"/>
  <c r="AA788" i="2"/>
  <c r="AB788" i="2" s="1"/>
  <c r="AA789" i="2"/>
  <c r="AB789" i="2" s="1"/>
  <c r="AA790" i="2"/>
  <c r="AA791" i="2"/>
  <c r="AA792" i="2"/>
  <c r="AA793" i="2"/>
  <c r="AA794" i="2"/>
  <c r="AA795" i="2"/>
  <c r="AB795" i="2" s="1"/>
  <c r="AA796" i="2"/>
  <c r="AA797" i="2"/>
  <c r="AB797" i="2" s="1"/>
  <c r="AA3" i="2"/>
  <c r="AB89" i="2"/>
  <c r="AB92" i="2"/>
  <c r="AB108" i="2"/>
  <c r="AB118" i="2"/>
  <c r="AB133" i="2"/>
  <c r="AB134" i="2"/>
  <c r="AB136" i="2"/>
  <c r="AB137" i="2"/>
  <c r="AB139" i="2"/>
  <c r="AB140" i="2"/>
  <c r="AB142" i="2"/>
  <c r="AB143" i="2"/>
  <c r="AB144" i="2"/>
  <c r="AB145" i="2"/>
  <c r="AB146" i="2"/>
  <c r="AB148" i="2"/>
  <c r="AB149" i="2"/>
  <c r="AB151" i="2"/>
  <c r="AB152" i="2"/>
  <c r="AB154" i="2"/>
  <c r="AB155" i="2"/>
  <c r="AB156" i="2"/>
  <c r="AB157" i="2"/>
  <c r="AB158" i="2"/>
  <c r="AB160" i="2"/>
  <c r="AB161" i="2"/>
  <c r="AB163" i="2"/>
  <c r="AB164" i="2"/>
  <c r="AB166" i="2"/>
  <c r="AB167" i="2"/>
  <c r="AB168" i="2"/>
  <c r="AB169" i="2"/>
  <c r="AB170" i="2"/>
  <c r="AB172" i="2"/>
  <c r="AB173" i="2"/>
  <c r="AB175" i="2"/>
  <c r="AB176" i="2"/>
  <c r="AB178" i="2"/>
  <c r="AB179" i="2"/>
  <c r="AB180" i="2"/>
  <c r="AB181" i="2"/>
  <c r="AB182" i="2"/>
  <c r="AB184" i="2"/>
  <c r="AB188" i="2"/>
  <c r="AB190" i="2"/>
  <c r="AB191" i="2"/>
  <c r="AB192" i="2"/>
  <c r="AB193" i="2"/>
  <c r="AB194" i="2"/>
  <c r="AB196" i="2"/>
  <c r="AB200" i="2"/>
  <c r="AB202" i="2"/>
  <c r="AB203" i="2"/>
  <c r="AB204" i="2"/>
  <c r="AB205" i="2"/>
  <c r="AB206" i="2"/>
  <c r="AB208" i="2"/>
  <c r="AB211" i="2"/>
  <c r="AB212" i="2"/>
  <c r="AB214" i="2"/>
  <c r="AB215" i="2"/>
  <c r="AB216" i="2"/>
  <c r="AB217" i="2"/>
  <c r="AB218" i="2"/>
  <c r="AB220" i="2"/>
  <c r="AB224" i="2"/>
  <c r="AB226" i="2"/>
  <c r="AB227" i="2"/>
  <c r="AB228" i="2"/>
  <c r="AB229" i="2"/>
  <c r="AB230" i="2"/>
  <c r="AB232" i="2"/>
  <c r="AB238" i="2"/>
  <c r="AB239" i="2"/>
  <c r="AB240" i="2"/>
  <c r="AB241" i="2"/>
  <c r="AB242" i="2"/>
  <c r="AB244" i="2"/>
  <c r="AB247" i="2"/>
  <c r="AB250" i="2"/>
  <c r="AB251" i="2"/>
  <c r="AB252" i="2"/>
  <c r="AB253" i="2"/>
  <c r="AB254" i="2"/>
  <c r="AB256" i="2"/>
  <c r="AB262" i="2"/>
  <c r="AB263" i="2"/>
  <c r="AB264" i="2"/>
  <c r="AB265" i="2"/>
  <c r="AB266" i="2"/>
  <c r="AB268" i="2"/>
  <c r="AB274" i="2"/>
  <c r="AB275" i="2"/>
  <c r="AB276" i="2"/>
  <c r="AB277" i="2"/>
  <c r="AB278" i="2"/>
  <c r="AB280" i="2"/>
  <c r="AB283" i="2"/>
  <c r="AB286" i="2"/>
  <c r="AB287" i="2"/>
  <c r="AB288" i="2"/>
  <c r="AB289" i="2"/>
  <c r="AB290" i="2"/>
  <c r="AB292" i="2"/>
  <c r="AB298" i="2"/>
  <c r="AB299" i="2"/>
  <c r="AB300" i="2"/>
  <c r="AB301" i="2"/>
  <c r="AB302" i="2"/>
  <c r="AB304" i="2"/>
  <c r="AB310" i="2"/>
  <c r="AB311" i="2"/>
  <c r="AB312" i="2"/>
  <c r="AB313" i="2"/>
  <c r="AB314" i="2"/>
  <c r="AB316" i="2"/>
  <c r="AB319" i="2"/>
  <c r="AB322" i="2"/>
  <c r="AB323" i="2"/>
  <c r="AB324" i="2"/>
  <c r="AB325" i="2"/>
  <c r="AB326" i="2"/>
  <c r="AB328" i="2"/>
  <c r="AB334" i="2"/>
  <c r="AB335" i="2"/>
  <c r="AB336" i="2"/>
  <c r="AB337" i="2"/>
  <c r="AB338" i="2"/>
  <c r="AB340" i="2"/>
  <c r="AB346" i="2"/>
  <c r="AB347" i="2"/>
  <c r="AB348" i="2"/>
  <c r="AB349" i="2"/>
  <c r="AB350" i="2"/>
  <c r="AB352" i="2"/>
  <c r="AB355" i="2"/>
  <c r="AB358" i="2"/>
  <c r="AB359" i="2"/>
  <c r="AB360" i="2"/>
  <c r="AB361" i="2"/>
  <c r="AB362" i="2"/>
  <c r="AB364" i="2"/>
  <c r="AB370" i="2"/>
  <c r="AB371" i="2"/>
  <c r="AB372" i="2"/>
  <c r="AB373" i="2"/>
  <c r="AB374" i="2"/>
  <c r="AB376" i="2"/>
  <c r="AB382" i="2"/>
  <c r="AB383" i="2"/>
  <c r="AB384" i="2"/>
  <c r="AB385" i="2"/>
  <c r="AB386" i="2"/>
  <c r="AB388" i="2"/>
  <c r="AB391" i="2"/>
  <c r="AB394" i="2"/>
  <c r="AB395" i="2"/>
  <c r="AB396" i="2"/>
  <c r="AB397" i="2"/>
  <c r="AB398" i="2"/>
  <c r="AB400" i="2"/>
  <c r="AB406" i="2"/>
  <c r="AB407" i="2"/>
  <c r="AB408" i="2"/>
  <c r="AB409" i="2"/>
  <c r="AB410" i="2"/>
  <c r="AB412" i="2"/>
  <c r="AB418" i="2"/>
  <c r="AB419" i="2"/>
  <c r="AB420" i="2"/>
  <c r="AB421" i="2"/>
  <c r="AB422" i="2"/>
  <c r="AB424" i="2"/>
  <c r="AB427" i="2"/>
  <c r="AB430" i="2"/>
  <c r="AB431" i="2"/>
  <c r="AB432" i="2"/>
  <c r="AB433" i="2"/>
  <c r="AB434" i="2"/>
  <c r="AB436" i="2"/>
  <c r="AB442" i="2"/>
  <c r="AB443" i="2"/>
  <c r="AB444" i="2"/>
  <c r="AB445" i="2"/>
  <c r="AB446" i="2"/>
  <c r="AB448" i="2"/>
  <c r="AB454" i="2"/>
  <c r="AB455" i="2"/>
  <c r="AB456" i="2"/>
  <c r="AB457" i="2"/>
  <c r="AB458" i="2"/>
  <c r="AB460" i="2"/>
  <c r="AB463" i="2"/>
  <c r="AB466" i="2"/>
  <c r="AB467" i="2"/>
  <c r="AB468" i="2"/>
  <c r="AB469" i="2"/>
  <c r="AB470" i="2"/>
  <c r="AB472" i="2"/>
  <c r="AB478" i="2"/>
  <c r="AB479" i="2"/>
  <c r="AB480" i="2"/>
  <c r="AB481" i="2"/>
  <c r="AB482" i="2"/>
  <c r="AB484" i="2"/>
  <c r="AB490" i="2"/>
  <c r="AB491" i="2"/>
  <c r="AB492" i="2"/>
  <c r="AB493" i="2"/>
  <c r="AB494" i="2"/>
  <c r="AB496" i="2"/>
  <c r="AB499" i="2"/>
  <c r="AB502" i="2"/>
  <c r="AB503" i="2"/>
  <c r="AB504" i="2"/>
  <c r="AB505" i="2"/>
  <c r="AB506" i="2"/>
  <c r="AB508" i="2"/>
  <c r="AB514" i="2"/>
  <c r="AB515" i="2"/>
  <c r="AB516" i="2"/>
  <c r="AB517" i="2"/>
  <c r="AB518" i="2"/>
  <c r="AB520" i="2"/>
  <c r="AB526" i="2"/>
  <c r="AB527" i="2"/>
  <c r="AB528" i="2"/>
  <c r="AB529" i="2"/>
  <c r="AB530" i="2"/>
  <c r="AB532" i="2"/>
  <c r="AB535" i="2"/>
  <c r="AB538" i="2"/>
  <c r="AB539" i="2"/>
  <c r="AB540" i="2"/>
  <c r="AB541" i="2"/>
  <c r="AB542" i="2"/>
  <c r="AB544" i="2"/>
  <c r="AB550" i="2"/>
  <c r="AB551" i="2"/>
  <c r="AB552" i="2"/>
  <c r="AB553" i="2"/>
  <c r="AB554" i="2"/>
  <c r="AB556" i="2"/>
  <c r="AB562" i="2"/>
  <c r="AB563" i="2"/>
  <c r="AB564" i="2"/>
  <c r="AB565" i="2"/>
  <c r="AB566" i="2"/>
  <c r="AB568" i="2"/>
  <c r="AB571" i="2"/>
  <c r="AB574" i="2"/>
  <c r="AB575" i="2"/>
  <c r="AB576" i="2"/>
  <c r="AB577" i="2"/>
  <c r="AB578" i="2"/>
  <c r="AB580" i="2"/>
  <c r="AB586" i="2"/>
  <c r="AB587" i="2"/>
  <c r="AB588" i="2"/>
  <c r="AB589" i="2"/>
  <c r="AB590" i="2"/>
  <c r="AB592" i="2"/>
  <c r="AB598" i="2"/>
  <c r="AB599" i="2"/>
  <c r="AB600" i="2"/>
  <c r="AB601" i="2"/>
  <c r="AB602" i="2"/>
  <c r="AB604" i="2"/>
  <c r="AB607" i="2"/>
  <c r="AB610" i="2"/>
  <c r="AB611" i="2"/>
  <c r="AB612" i="2"/>
  <c r="AB613" i="2"/>
  <c r="AB614" i="2"/>
  <c r="AB616" i="2"/>
  <c r="AB622" i="2"/>
  <c r="AB623" i="2"/>
  <c r="AB624" i="2"/>
  <c r="AB625" i="2"/>
  <c r="AB626" i="2"/>
  <c r="AB628" i="2"/>
  <c r="AB634" i="2"/>
  <c r="AB635" i="2"/>
  <c r="AB636" i="2"/>
  <c r="AB637" i="2"/>
  <c r="AB638" i="2"/>
  <c r="AB640" i="2"/>
  <c r="AB643" i="2"/>
  <c r="AB646" i="2"/>
  <c r="AB647" i="2"/>
  <c r="AB648" i="2"/>
  <c r="AB649" i="2"/>
  <c r="AB650" i="2"/>
  <c r="AB652" i="2"/>
  <c r="AB658" i="2"/>
  <c r="AB659" i="2"/>
  <c r="AB660" i="2"/>
  <c r="AB661" i="2"/>
  <c r="AB662" i="2"/>
  <c r="AB664" i="2"/>
  <c r="AB670" i="2"/>
  <c r="AB671" i="2"/>
  <c r="AB672" i="2"/>
  <c r="AB673" i="2"/>
  <c r="AB674" i="2"/>
  <c r="AB676" i="2"/>
  <c r="AB679" i="2"/>
  <c r="AB682" i="2"/>
  <c r="AB683" i="2"/>
  <c r="AB684" i="2"/>
  <c r="AB685" i="2"/>
  <c r="AB686" i="2"/>
  <c r="AB688" i="2"/>
  <c r="AB694" i="2"/>
  <c r="AB695" i="2"/>
  <c r="AB696" i="2"/>
  <c r="AB697" i="2"/>
  <c r="AB698" i="2"/>
  <c r="AB700" i="2"/>
  <c r="AB706" i="2"/>
  <c r="AB707" i="2"/>
  <c r="AB708" i="2"/>
  <c r="AB709" i="2"/>
  <c r="AB710" i="2"/>
  <c r="AB712" i="2"/>
  <c r="AB718" i="2"/>
  <c r="AB719" i="2"/>
  <c r="AB720" i="2"/>
  <c r="AB721" i="2"/>
  <c r="AB722" i="2"/>
  <c r="AB724" i="2"/>
  <c r="AB725" i="2"/>
  <c r="AB727" i="2"/>
  <c r="AB728" i="2"/>
  <c r="AB730" i="2"/>
  <c r="AB731" i="2"/>
  <c r="AB732" i="2"/>
  <c r="AB733" i="2"/>
  <c r="AB734" i="2"/>
  <c r="AB736" i="2"/>
  <c r="AB742" i="2"/>
  <c r="AB743" i="2"/>
  <c r="AB744" i="2"/>
  <c r="AB745" i="2"/>
  <c r="AB746" i="2"/>
  <c r="AB748" i="2"/>
  <c r="AB754" i="2"/>
  <c r="AB755" i="2"/>
  <c r="AB756" i="2"/>
  <c r="AB757" i="2"/>
  <c r="AB758" i="2"/>
  <c r="AB760" i="2"/>
  <c r="AB766" i="2"/>
  <c r="AB767" i="2"/>
  <c r="AB768" i="2"/>
  <c r="AB769" i="2"/>
  <c r="AB770" i="2"/>
  <c r="AB772" i="2"/>
  <c r="AB773" i="2"/>
  <c r="AB775" i="2"/>
  <c r="AB776" i="2"/>
  <c r="AB778" i="2"/>
  <c r="AB779" i="2"/>
  <c r="AB780" i="2"/>
  <c r="AB781" i="2"/>
  <c r="AB782" i="2"/>
  <c r="AB784" i="2"/>
  <c r="AB790" i="2"/>
  <c r="AB791" i="2"/>
  <c r="AB792" i="2"/>
  <c r="AB793" i="2"/>
  <c r="AB794" i="2"/>
  <c r="AB796" i="2"/>
  <c r="F328" i="1" l="1"/>
  <c r="F163" i="1"/>
  <c r="F307" i="1"/>
  <c r="F289" i="1"/>
  <c r="F267" i="1"/>
  <c r="F186" i="1"/>
  <c r="F246" i="1"/>
  <c r="F224" i="1"/>
  <c r="F206" i="1"/>
  <c r="F184" i="1"/>
  <c r="F381" i="1"/>
  <c r="F369" i="1"/>
  <c r="F145" i="1"/>
  <c r="F357" i="1"/>
  <c r="F345" i="1"/>
  <c r="F380" i="1"/>
  <c r="F368" i="1"/>
  <c r="F356" i="1"/>
  <c r="F344" i="1"/>
  <c r="F327" i="1"/>
  <c r="F306" i="1"/>
  <c r="F284" i="1"/>
  <c r="F266" i="1"/>
  <c r="F244" i="1"/>
  <c r="F223" i="1"/>
  <c r="F205" i="1"/>
  <c r="F183" i="1"/>
  <c r="F162" i="1"/>
  <c r="F379" i="1"/>
  <c r="F367" i="1"/>
  <c r="F355" i="1"/>
  <c r="F343" i="1"/>
  <c r="F326" i="1"/>
  <c r="F304" i="1"/>
  <c r="F283" i="1"/>
  <c r="F265" i="1"/>
  <c r="F243" i="1"/>
  <c r="F222" i="1"/>
  <c r="F200" i="1"/>
  <c r="F182" i="1"/>
  <c r="F160" i="1"/>
  <c r="F378" i="1"/>
  <c r="F366" i="1"/>
  <c r="F354" i="1"/>
  <c r="F342" i="1"/>
  <c r="F325" i="1"/>
  <c r="F303" i="1"/>
  <c r="F282" i="1"/>
  <c r="F260" i="1"/>
  <c r="F242" i="1"/>
  <c r="F220" i="1"/>
  <c r="F199" i="1"/>
  <c r="F181" i="1"/>
  <c r="F159" i="1"/>
  <c r="F377" i="1"/>
  <c r="F365" i="1"/>
  <c r="F353" i="1"/>
  <c r="F341" i="1"/>
  <c r="F320" i="1"/>
  <c r="F302" i="1"/>
  <c r="F280" i="1"/>
  <c r="F259" i="1"/>
  <c r="F241" i="1"/>
  <c r="F219" i="1"/>
  <c r="F198" i="1"/>
  <c r="F176" i="1"/>
  <c r="F158" i="1"/>
  <c r="F388" i="1"/>
  <c r="F376" i="1"/>
  <c r="F364" i="1"/>
  <c r="F352" i="1"/>
  <c r="F340" i="1"/>
  <c r="F319" i="1"/>
  <c r="F301" i="1"/>
  <c r="F279" i="1"/>
  <c r="F258" i="1"/>
  <c r="F236" i="1"/>
  <c r="F218" i="1"/>
  <c r="F196" i="1"/>
  <c r="F175" i="1"/>
  <c r="F157" i="1"/>
  <c r="F387" i="1"/>
  <c r="F375" i="1"/>
  <c r="F363" i="1"/>
  <c r="F351" i="1"/>
  <c r="F339" i="1"/>
  <c r="F318" i="1"/>
  <c r="F296" i="1"/>
  <c r="F278" i="1"/>
  <c r="F256" i="1"/>
  <c r="F235" i="1"/>
  <c r="F217" i="1"/>
  <c r="F195" i="1"/>
  <c r="F174" i="1"/>
  <c r="F152" i="1"/>
  <c r="F386" i="1"/>
  <c r="F374" i="1"/>
  <c r="F362" i="1"/>
  <c r="F350" i="1"/>
  <c r="F338" i="1"/>
  <c r="F316" i="1"/>
  <c r="F295" i="1"/>
  <c r="F277" i="1"/>
  <c r="F255" i="1"/>
  <c r="F234" i="1"/>
  <c r="F212" i="1"/>
  <c r="F194" i="1"/>
  <c r="F172" i="1"/>
  <c r="F151" i="1"/>
  <c r="F385" i="1"/>
  <c r="F373" i="1"/>
  <c r="F361" i="1"/>
  <c r="F349" i="1"/>
  <c r="F337" i="1"/>
  <c r="F315" i="1"/>
  <c r="F294" i="1"/>
  <c r="F272" i="1"/>
  <c r="F254" i="1"/>
  <c r="F232" i="1"/>
  <c r="F211" i="1"/>
  <c r="F193" i="1"/>
  <c r="F171" i="1"/>
  <c r="F150" i="1"/>
  <c r="F384" i="1"/>
  <c r="F372" i="1"/>
  <c r="F360" i="1"/>
  <c r="F348" i="1"/>
  <c r="F332" i="1"/>
  <c r="F314" i="1"/>
  <c r="F292" i="1"/>
  <c r="F271" i="1"/>
  <c r="F253" i="1"/>
  <c r="F231" i="1"/>
  <c r="F210" i="1"/>
  <c r="F188" i="1"/>
  <c r="F170" i="1"/>
  <c r="F148" i="1"/>
  <c r="F383" i="1"/>
  <c r="F371" i="1"/>
  <c r="F359" i="1"/>
  <c r="F347" i="1"/>
  <c r="F331" i="1"/>
  <c r="F313" i="1"/>
  <c r="F291" i="1"/>
  <c r="F270" i="1"/>
  <c r="F248" i="1"/>
  <c r="F230" i="1"/>
  <c r="F208" i="1"/>
  <c r="F187" i="1"/>
  <c r="F169" i="1"/>
  <c r="F147" i="1"/>
  <c r="F382" i="1"/>
  <c r="F370" i="1"/>
  <c r="F358" i="1"/>
  <c r="F346" i="1"/>
  <c r="F330" i="1"/>
  <c r="F308" i="1"/>
  <c r="F290" i="1"/>
  <c r="F268" i="1"/>
  <c r="F247" i="1"/>
  <c r="F229" i="1"/>
  <c r="F207" i="1"/>
  <c r="F164" i="1"/>
  <c r="F146" i="1"/>
  <c r="F336" i="1"/>
  <c r="F324" i="1"/>
  <c r="F312" i="1"/>
  <c r="F300" i="1"/>
  <c r="F288" i="1"/>
  <c r="F276" i="1"/>
  <c r="F264" i="1"/>
  <c r="F252" i="1"/>
  <c r="F240" i="1"/>
  <c r="F228" i="1"/>
  <c r="F216" i="1"/>
  <c r="F204" i="1"/>
  <c r="F192" i="1"/>
  <c r="F180" i="1"/>
  <c r="F168" i="1"/>
  <c r="F156" i="1"/>
  <c r="F335" i="1"/>
  <c r="F323" i="1"/>
  <c r="F311" i="1"/>
  <c r="F299" i="1"/>
  <c r="F287" i="1"/>
  <c r="F275" i="1"/>
  <c r="F263" i="1"/>
  <c r="F251" i="1"/>
  <c r="F239" i="1"/>
  <c r="F227" i="1"/>
  <c r="F215" i="1"/>
  <c r="F203" i="1"/>
  <c r="F191" i="1"/>
  <c r="F179" i="1"/>
  <c r="F167" i="1"/>
  <c r="F155" i="1"/>
  <c r="F334" i="1"/>
  <c r="F322" i="1"/>
  <c r="F310" i="1"/>
  <c r="F298" i="1"/>
  <c r="F286" i="1"/>
  <c r="F274" i="1"/>
  <c r="F262" i="1"/>
  <c r="F250" i="1"/>
  <c r="F238" i="1"/>
  <c r="F226" i="1"/>
  <c r="F214" i="1"/>
  <c r="F202" i="1"/>
  <c r="F190" i="1"/>
  <c r="F178" i="1"/>
  <c r="F166" i="1"/>
  <c r="F154" i="1"/>
  <c r="F142" i="1"/>
  <c r="F130" i="1"/>
  <c r="F333" i="1"/>
  <c r="F321" i="1"/>
  <c r="F309" i="1"/>
  <c r="F297" i="1"/>
  <c r="F285" i="1"/>
  <c r="F273" i="1"/>
  <c r="F261" i="1"/>
  <c r="F249" i="1"/>
  <c r="F237" i="1"/>
  <c r="F225" i="1"/>
  <c r="F213" i="1"/>
  <c r="F201" i="1"/>
  <c r="F189" i="1"/>
  <c r="F177" i="1"/>
  <c r="F165" i="1"/>
  <c r="F153" i="1"/>
  <c r="F329" i="1"/>
  <c r="F317" i="1"/>
  <c r="F305" i="1"/>
  <c r="F293" i="1"/>
  <c r="F281" i="1"/>
  <c r="F269" i="1"/>
  <c r="F257" i="1"/>
  <c r="F245" i="1"/>
  <c r="F233" i="1"/>
  <c r="F221" i="1"/>
  <c r="F209" i="1"/>
  <c r="F197" i="1"/>
  <c r="F185" i="1"/>
  <c r="F173" i="1"/>
  <c r="F161" i="1"/>
  <c r="F149" i="1"/>
  <c r="F137" i="1"/>
  <c r="C25" i="1"/>
  <c r="E25" i="1" s="1"/>
  <c r="C26" i="1"/>
  <c r="E26" i="1" s="1"/>
  <c r="C61" i="1"/>
  <c r="E61" i="1" s="1"/>
  <c r="C62" i="1"/>
  <c r="E62" i="1" s="1"/>
  <c r="C109" i="1"/>
  <c r="E109" i="1" s="1"/>
  <c r="C110" i="1"/>
  <c r="E110" i="1" s="1"/>
  <c r="C145" i="1"/>
  <c r="C157" i="1"/>
  <c r="C169" i="1"/>
  <c r="C170" i="1"/>
  <c r="C217" i="1"/>
  <c r="C218" i="1"/>
  <c r="C254" i="1"/>
  <c r="C265" i="1"/>
  <c r="C289" i="1"/>
  <c r="C301" i="1"/>
  <c r="C337" i="1"/>
  <c r="C349" i="1"/>
  <c r="C362" i="1"/>
  <c r="C385" i="1"/>
  <c r="C398" i="1"/>
  <c r="C12" i="1"/>
  <c r="E12" i="1" s="1"/>
  <c r="C13" i="1"/>
  <c r="E13" i="1" s="1"/>
  <c r="C14" i="1"/>
  <c r="E14" i="1" s="1"/>
  <c r="C15" i="1"/>
  <c r="E15" i="1" s="1"/>
  <c r="C16" i="1"/>
  <c r="E16" i="1" s="1"/>
  <c r="C17" i="1"/>
  <c r="E17" i="1" s="1"/>
  <c r="C18" i="1"/>
  <c r="E18" i="1" s="1"/>
  <c r="C19" i="1"/>
  <c r="E19" i="1" s="1"/>
  <c r="C20" i="1"/>
  <c r="E20" i="1" s="1"/>
  <c r="C21" i="1"/>
  <c r="E21" i="1" s="1"/>
  <c r="C22" i="1"/>
  <c r="E22" i="1" s="1"/>
  <c r="C23" i="1"/>
  <c r="E23" i="1" s="1"/>
  <c r="C24" i="1"/>
  <c r="E24" i="1" s="1"/>
  <c r="C27" i="1"/>
  <c r="E27" i="1" s="1"/>
  <c r="C28" i="1"/>
  <c r="E28" i="1" s="1"/>
  <c r="C29" i="1"/>
  <c r="E29" i="1" s="1"/>
  <c r="C30" i="1"/>
  <c r="E30" i="1" s="1"/>
  <c r="C31" i="1"/>
  <c r="E31" i="1" s="1"/>
  <c r="C32" i="1"/>
  <c r="E32" i="1" s="1"/>
  <c r="C33" i="1"/>
  <c r="E33" i="1" s="1"/>
  <c r="C34" i="1"/>
  <c r="E34" i="1" s="1"/>
  <c r="C35" i="1"/>
  <c r="E35" i="1" s="1"/>
  <c r="C36" i="1"/>
  <c r="E36" i="1" s="1"/>
  <c r="C37" i="1"/>
  <c r="E37" i="1" s="1"/>
  <c r="C38" i="1"/>
  <c r="E38" i="1" s="1"/>
  <c r="C39" i="1"/>
  <c r="E39" i="1" s="1"/>
  <c r="C40" i="1"/>
  <c r="E40" i="1" s="1"/>
  <c r="C41" i="1"/>
  <c r="E41" i="1" s="1"/>
  <c r="C42" i="1"/>
  <c r="E42" i="1" s="1"/>
  <c r="C43" i="1"/>
  <c r="E43" i="1" s="1"/>
  <c r="C44" i="1"/>
  <c r="E44" i="1" s="1"/>
  <c r="C45" i="1"/>
  <c r="E45" i="1" s="1"/>
  <c r="C46" i="1"/>
  <c r="E46" i="1" s="1"/>
  <c r="C47" i="1"/>
  <c r="E47" i="1" s="1"/>
  <c r="C48" i="1"/>
  <c r="E48" i="1" s="1"/>
  <c r="C49" i="1"/>
  <c r="E49" i="1" s="1"/>
  <c r="C50" i="1"/>
  <c r="E50" i="1" s="1"/>
  <c r="C51" i="1"/>
  <c r="E51" i="1" s="1"/>
  <c r="C52" i="1"/>
  <c r="E52" i="1" s="1"/>
  <c r="C53" i="1"/>
  <c r="E53" i="1" s="1"/>
  <c r="C54" i="1"/>
  <c r="E54" i="1" s="1"/>
  <c r="C55" i="1"/>
  <c r="E55" i="1" s="1"/>
  <c r="C56" i="1"/>
  <c r="E56" i="1" s="1"/>
  <c r="C57" i="1"/>
  <c r="E57" i="1" s="1"/>
  <c r="C58" i="1"/>
  <c r="E58" i="1" s="1"/>
  <c r="C59" i="1"/>
  <c r="E59" i="1" s="1"/>
  <c r="C60" i="1"/>
  <c r="E60" i="1" s="1"/>
  <c r="C63" i="1"/>
  <c r="E63" i="1" s="1"/>
  <c r="C64" i="1"/>
  <c r="E64" i="1" s="1"/>
  <c r="C65" i="1"/>
  <c r="E65" i="1" s="1"/>
  <c r="C66" i="1"/>
  <c r="E66" i="1" s="1"/>
  <c r="C67" i="1"/>
  <c r="E67" i="1" s="1"/>
  <c r="C68" i="1"/>
  <c r="E68" i="1" s="1"/>
  <c r="C69" i="1"/>
  <c r="E69" i="1" s="1"/>
  <c r="C70" i="1"/>
  <c r="E70" i="1" s="1"/>
  <c r="C71" i="1"/>
  <c r="E71" i="1" s="1"/>
  <c r="C72" i="1"/>
  <c r="E72" i="1" s="1"/>
  <c r="C73" i="1"/>
  <c r="E73" i="1" s="1"/>
  <c r="C74" i="1"/>
  <c r="E74" i="1" s="1"/>
  <c r="C75" i="1"/>
  <c r="E75" i="1" s="1"/>
  <c r="C76" i="1"/>
  <c r="E76" i="1" s="1"/>
  <c r="C77" i="1"/>
  <c r="E77" i="1" s="1"/>
  <c r="C78" i="1"/>
  <c r="E78" i="1" s="1"/>
  <c r="C79" i="1"/>
  <c r="E79" i="1" s="1"/>
  <c r="C80" i="1"/>
  <c r="E80" i="1" s="1"/>
  <c r="C81" i="1"/>
  <c r="E81" i="1" s="1"/>
  <c r="C82" i="1"/>
  <c r="E82" i="1" s="1"/>
  <c r="C83" i="1"/>
  <c r="E83" i="1" s="1"/>
  <c r="C84" i="1"/>
  <c r="E84" i="1" s="1"/>
  <c r="C85" i="1"/>
  <c r="E85" i="1" s="1"/>
  <c r="C86" i="1"/>
  <c r="E86" i="1" s="1"/>
  <c r="C87" i="1"/>
  <c r="E87" i="1" s="1"/>
  <c r="C88" i="1"/>
  <c r="E88" i="1" s="1"/>
  <c r="C89" i="1"/>
  <c r="E89" i="1" s="1"/>
  <c r="C90" i="1"/>
  <c r="E90" i="1" s="1"/>
  <c r="C91" i="1"/>
  <c r="E91" i="1" s="1"/>
  <c r="C92" i="1"/>
  <c r="E92" i="1" s="1"/>
  <c r="C93" i="1"/>
  <c r="E93" i="1" s="1"/>
  <c r="C94" i="1"/>
  <c r="E94" i="1" s="1"/>
  <c r="C95" i="1"/>
  <c r="E95" i="1" s="1"/>
  <c r="C96" i="1"/>
  <c r="E96" i="1" s="1"/>
  <c r="C97" i="1"/>
  <c r="E97" i="1" s="1"/>
  <c r="C98" i="1"/>
  <c r="E98" i="1" s="1"/>
  <c r="C99" i="1"/>
  <c r="E99" i="1" s="1"/>
  <c r="C100" i="1"/>
  <c r="E100" i="1" s="1"/>
  <c r="C101" i="1"/>
  <c r="E101" i="1" s="1"/>
  <c r="C102" i="1"/>
  <c r="E102" i="1" s="1"/>
  <c r="C103" i="1"/>
  <c r="E103" i="1" s="1"/>
  <c r="C104" i="1"/>
  <c r="E104" i="1" s="1"/>
  <c r="C105" i="1"/>
  <c r="E105" i="1" s="1"/>
  <c r="C106" i="1"/>
  <c r="E106" i="1" s="1"/>
  <c r="C107" i="1"/>
  <c r="E107" i="1" s="1"/>
  <c r="C108" i="1"/>
  <c r="E108" i="1" s="1"/>
  <c r="C111" i="1"/>
  <c r="E111" i="1" s="1"/>
  <c r="C112" i="1"/>
  <c r="E112" i="1" s="1"/>
  <c r="C113" i="1"/>
  <c r="E113" i="1" s="1"/>
  <c r="C114" i="1"/>
  <c r="E114" i="1" s="1"/>
  <c r="C115" i="1"/>
  <c r="E115" i="1" s="1"/>
  <c r="C116" i="1"/>
  <c r="E116" i="1" s="1"/>
  <c r="C117" i="1"/>
  <c r="E117" i="1" s="1"/>
  <c r="C118" i="1"/>
  <c r="E118" i="1" s="1"/>
  <c r="C119" i="1"/>
  <c r="E119" i="1" s="1"/>
  <c r="C120" i="1"/>
  <c r="E120" i="1" s="1"/>
  <c r="C121" i="1"/>
  <c r="E121" i="1" s="1"/>
  <c r="C122" i="1"/>
  <c r="E122" i="1" s="1"/>
  <c r="C123" i="1"/>
  <c r="E123" i="1" s="1"/>
  <c r="C124" i="1"/>
  <c r="E124" i="1" s="1"/>
  <c r="C125" i="1"/>
  <c r="E125" i="1" s="1"/>
  <c r="C126" i="1"/>
  <c r="E126" i="1" s="1"/>
  <c r="C127" i="1"/>
  <c r="E127" i="1" s="1"/>
  <c r="C128" i="1"/>
  <c r="E128" i="1" s="1"/>
  <c r="C129" i="1"/>
  <c r="E129" i="1" s="1"/>
  <c r="C130" i="1"/>
  <c r="E130" i="1" s="1"/>
  <c r="C131" i="1"/>
  <c r="E131" i="1" s="1"/>
  <c r="C132" i="1"/>
  <c r="E132" i="1" s="1"/>
  <c r="C133" i="1"/>
  <c r="E133" i="1" s="1"/>
  <c r="C134" i="1"/>
  <c r="E134" i="1" s="1"/>
  <c r="C135" i="1"/>
  <c r="E135" i="1" s="1"/>
  <c r="C136" i="1"/>
  <c r="E136" i="1" s="1"/>
  <c r="C137" i="1"/>
  <c r="E137" i="1" s="1"/>
  <c r="C138" i="1"/>
  <c r="E138" i="1" s="1"/>
  <c r="C139" i="1"/>
  <c r="E139" i="1" s="1"/>
  <c r="C140" i="1"/>
  <c r="E140" i="1" s="1"/>
  <c r="C141" i="1"/>
  <c r="E141" i="1" s="1"/>
  <c r="C142" i="1"/>
  <c r="E142" i="1" s="1"/>
  <c r="C143" i="1"/>
  <c r="E143" i="1" s="1"/>
  <c r="C144" i="1"/>
  <c r="E144" i="1" s="1"/>
  <c r="C146" i="1"/>
  <c r="C147" i="1"/>
  <c r="C148" i="1"/>
  <c r="C149" i="1"/>
  <c r="C150" i="1"/>
  <c r="C151" i="1"/>
  <c r="C152" i="1"/>
  <c r="C153" i="1"/>
  <c r="C154" i="1"/>
  <c r="C155" i="1"/>
  <c r="C156" i="1"/>
  <c r="C158" i="1"/>
  <c r="C159" i="1"/>
  <c r="C160" i="1"/>
  <c r="C161" i="1"/>
  <c r="C162" i="1"/>
  <c r="C163" i="1"/>
  <c r="C164" i="1"/>
  <c r="C165" i="1"/>
  <c r="C166" i="1"/>
  <c r="C167" i="1"/>
  <c r="C168"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5" i="1"/>
  <c r="C256" i="1"/>
  <c r="C257" i="1"/>
  <c r="C258" i="1"/>
  <c r="C259" i="1"/>
  <c r="C260" i="1"/>
  <c r="C261" i="1"/>
  <c r="C262" i="1"/>
  <c r="C263" i="1"/>
  <c r="C264" i="1"/>
  <c r="C266" i="1"/>
  <c r="C267" i="1"/>
  <c r="C268" i="1"/>
  <c r="C269" i="1"/>
  <c r="C270" i="1"/>
  <c r="C271" i="1"/>
  <c r="C272" i="1"/>
  <c r="C273" i="1"/>
  <c r="C274" i="1"/>
  <c r="C275" i="1"/>
  <c r="C276" i="1"/>
  <c r="C277" i="1"/>
  <c r="C278" i="1"/>
  <c r="C279" i="1"/>
  <c r="C280" i="1"/>
  <c r="C281" i="1"/>
  <c r="C282" i="1"/>
  <c r="C283" i="1"/>
  <c r="C284" i="1"/>
  <c r="C285" i="1"/>
  <c r="C286" i="1"/>
  <c r="C287" i="1"/>
  <c r="C288" i="1"/>
  <c r="C290" i="1"/>
  <c r="C291" i="1"/>
  <c r="C292" i="1"/>
  <c r="C293" i="1"/>
  <c r="C294" i="1"/>
  <c r="C295" i="1"/>
  <c r="C296" i="1"/>
  <c r="C297" i="1"/>
  <c r="C298" i="1"/>
  <c r="C299" i="1"/>
  <c r="C300"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8" i="1"/>
  <c r="C339" i="1"/>
  <c r="C340" i="1"/>
  <c r="C341" i="1"/>
  <c r="C342" i="1"/>
  <c r="C343" i="1"/>
  <c r="C344" i="1"/>
  <c r="C345" i="1"/>
  <c r="C346" i="1"/>
  <c r="C347" i="1"/>
  <c r="C348" i="1"/>
  <c r="C350" i="1"/>
  <c r="C351" i="1"/>
  <c r="C352" i="1"/>
  <c r="C353" i="1"/>
  <c r="C354" i="1"/>
  <c r="C355" i="1"/>
  <c r="C356" i="1"/>
  <c r="C357" i="1"/>
  <c r="C358" i="1"/>
  <c r="C359" i="1"/>
  <c r="C360" i="1"/>
  <c r="C361" i="1"/>
  <c r="C363" i="1"/>
  <c r="C364" i="1"/>
  <c r="C365" i="1"/>
  <c r="C366" i="1"/>
  <c r="C367" i="1"/>
  <c r="C368" i="1"/>
  <c r="C369" i="1"/>
  <c r="C370" i="1"/>
  <c r="C371" i="1"/>
  <c r="C372" i="1"/>
  <c r="C373" i="1"/>
  <c r="C374" i="1"/>
  <c r="C375" i="1"/>
  <c r="C376" i="1"/>
  <c r="C377" i="1"/>
  <c r="C378" i="1"/>
  <c r="C379" i="1"/>
  <c r="C380" i="1"/>
  <c r="C381" i="1"/>
  <c r="C382" i="1"/>
  <c r="C383" i="1"/>
  <c r="C384" i="1"/>
  <c r="C386" i="1"/>
  <c r="C387" i="1"/>
  <c r="C388" i="1"/>
  <c r="C389" i="1"/>
  <c r="C390" i="1"/>
  <c r="C391" i="1"/>
  <c r="C392" i="1"/>
  <c r="C393" i="1"/>
  <c r="C394" i="1"/>
  <c r="C395" i="1"/>
  <c r="C396" i="1"/>
  <c r="C397" i="1"/>
  <c r="C399" i="1"/>
  <c r="C400" i="1"/>
  <c r="C401" i="1"/>
  <c r="C402" i="1"/>
  <c r="C403" i="1"/>
  <c r="AA2" i="2"/>
  <c r="AB2" i="2" s="1"/>
  <c r="C2" i="1" s="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N187" i="1"/>
  <c r="N323" i="1"/>
  <c r="N325" i="1"/>
  <c r="N347" i="1"/>
  <c r="N364" i="1"/>
  <c r="N37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2" i="1"/>
  <c r="L316" i="1"/>
  <c r="N316" i="1" s="1"/>
  <c r="L317" i="1"/>
  <c r="N317" i="1" s="1"/>
  <c r="L318" i="1"/>
  <c r="N318" i="1" s="1"/>
  <c r="L319" i="1"/>
  <c r="N319" i="1" s="1"/>
  <c r="L320" i="1"/>
  <c r="N320" i="1" s="1"/>
  <c r="L321" i="1"/>
  <c r="N321" i="1" s="1"/>
  <c r="L322" i="1"/>
  <c r="N322" i="1" s="1"/>
  <c r="L323" i="1"/>
  <c r="L324" i="1"/>
  <c r="N324" i="1" s="1"/>
  <c r="L325" i="1"/>
  <c r="L326" i="1"/>
  <c r="N326" i="1" s="1"/>
  <c r="L327" i="1"/>
  <c r="N327" i="1" s="1"/>
  <c r="L328" i="1"/>
  <c r="N328" i="1" s="1"/>
  <c r="L329" i="1"/>
  <c r="N329" i="1" s="1"/>
  <c r="L330" i="1"/>
  <c r="N330" i="1" s="1"/>
  <c r="L331" i="1"/>
  <c r="N331" i="1" s="1"/>
  <c r="L332" i="1"/>
  <c r="N332" i="1" s="1"/>
  <c r="L333" i="1"/>
  <c r="N333" i="1" s="1"/>
  <c r="L334" i="1"/>
  <c r="N334" i="1" s="1"/>
  <c r="L335" i="1"/>
  <c r="N335" i="1" s="1"/>
  <c r="L336" i="1"/>
  <c r="N336" i="1" s="1"/>
  <c r="L337" i="1"/>
  <c r="N337" i="1" s="1"/>
  <c r="L338" i="1"/>
  <c r="N338" i="1" s="1"/>
  <c r="L339" i="1"/>
  <c r="N339" i="1" s="1"/>
  <c r="L340" i="1"/>
  <c r="N340" i="1" s="1"/>
  <c r="L341" i="1"/>
  <c r="N341" i="1" s="1"/>
  <c r="L342" i="1"/>
  <c r="N342" i="1" s="1"/>
  <c r="L343" i="1"/>
  <c r="N343" i="1" s="1"/>
  <c r="L344" i="1"/>
  <c r="N344" i="1" s="1"/>
  <c r="L345" i="1"/>
  <c r="N345" i="1" s="1"/>
  <c r="L346" i="1"/>
  <c r="N346" i="1" s="1"/>
  <c r="L347" i="1"/>
  <c r="L348" i="1"/>
  <c r="N348" i="1" s="1"/>
  <c r="L349" i="1"/>
  <c r="N349" i="1" s="1"/>
  <c r="L350" i="1"/>
  <c r="N350" i="1" s="1"/>
  <c r="L351" i="1"/>
  <c r="N351" i="1" s="1"/>
  <c r="L352" i="1"/>
  <c r="N352" i="1" s="1"/>
  <c r="L353" i="1"/>
  <c r="N353" i="1" s="1"/>
  <c r="L354" i="1"/>
  <c r="N354" i="1" s="1"/>
  <c r="L355" i="1"/>
  <c r="N355" i="1" s="1"/>
  <c r="L356" i="1"/>
  <c r="N356" i="1" s="1"/>
  <c r="L357" i="1"/>
  <c r="N357" i="1" s="1"/>
  <c r="L358" i="1"/>
  <c r="N358" i="1" s="1"/>
  <c r="L359" i="1"/>
  <c r="N359" i="1" s="1"/>
  <c r="L360" i="1"/>
  <c r="N360" i="1" s="1"/>
  <c r="L361" i="1"/>
  <c r="N361" i="1" s="1"/>
  <c r="L362" i="1"/>
  <c r="N362" i="1" s="1"/>
  <c r="L363" i="1"/>
  <c r="N363" i="1" s="1"/>
  <c r="L364" i="1"/>
  <c r="L365" i="1"/>
  <c r="N365" i="1" s="1"/>
  <c r="L366" i="1"/>
  <c r="N366" i="1" s="1"/>
  <c r="L367" i="1"/>
  <c r="N367" i="1" s="1"/>
  <c r="L368" i="1"/>
  <c r="N368" i="1" s="1"/>
  <c r="L369" i="1"/>
  <c r="N369" i="1" s="1"/>
  <c r="L370" i="1"/>
  <c r="N370" i="1" s="1"/>
  <c r="L371" i="1"/>
  <c r="L372" i="1"/>
  <c r="N372" i="1" s="1"/>
  <c r="L373" i="1"/>
  <c r="N373" i="1" s="1"/>
  <c r="L374" i="1"/>
  <c r="N374" i="1" s="1"/>
  <c r="L375" i="1"/>
  <c r="N375" i="1" s="1"/>
  <c r="L376" i="1"/>
  <c r="N376" i="1" s="1"/>
  <c r="L377" i="1"/>
  <c r="N377" i="1" s="1"/>
  <c r="L378" i="1"/>
  <c r="N378" i="1" s="1"/>
  <c r="L379" i="1"/>
  <c r="N379" i="1" s="1"/>
  <c r="L380" i="1"/>
  <c r="N380" i="1" s="1"/>
  <c r="L381" i="1"/>
  <c r="N381" i="1" s="1"/>
  <c r="L382" i="1"/>
  <c r="N382" i="1" s="1"/>
  <c r="L383" i="1"/>
  <c r="N383" i="1" s="1"/>
  <c r="L384" i="1"/>
  <c r="N384" i="1" s="1"/>
  <c r="L385" i="1"/>
  <c r="N385" i="1" s="1"/>
  <c r="L386" i="1"/>
  <c r="N386" i="1" s="1"/>
  <c r="L387" i="1"/>
  <c r="N387" i="1" s="1"/>
  <c r="L388" i="1"/>
  <c r="N388" i="1" s="1"/>
  <c r="L87" i="1"/>
  <c r="N87" i="1" s="1"/>
  <c r="L88" i="1"/>
  <c r="N88" i="1" s="1"/>
  <c r="L89" i="1"/>
  <c r="N89" i="1" s="1"/>
  <c r="L90" i="1"/>
  <c r="N90" i="1" s="1"/>
  <c r="L91" i="1"/>
  <c r="N91" i="1" s="1"/>
  <c r="L92" i="1"/>
  <c r="N92" i="1" s="1"/>
  <c r="L93" i="1"/>
  <c r="N93" i="1" s="1"/>
  <c r="L94" i="1"/>
  <c r="N94" i="1" s="1"/>
  <c r="L95" i="1"/>
  <c r="N95" i="1" s="1"/>
  <c r="L96" i="1"/>
  <c r="N96" i="1" s="1"/>
  <c r="L97" i="1"/>
  <c r="N97" i="1" s="1"/>
  <c r="L98" i="1"/>
  <c r="N98" i="1" s="1"/>
  <c r="L99" i="1"/>
  <c r="N99" i="1" s="1"/>
  <c r="L100" i="1"/>
  <c r="N100" i="1" s="1"/>
  <c r="L101" i="1"/>
  <c r="N101" i="1" s="1"/>
  <c r="L102" i="1"/>
  <c r="N102" i="1" s="1"/>
  <c r="L103" i="1"/>
  <c r="N103" i="1" s="1"/>
  <c r="L104" i="1"/>
  <c r="N104" i="1" s="1"/>
  <c r="L105" i="1"/>
  <c r="N105" i="1" s="1"/>
  <c r="L106" i="1"/>
  <c r="N106" i="1" s="1"/>
  <c r="L107" i="1"/>
  <c r="N107" i="1" s="1"/>
  <c r="L108" i="1"/>
  <c r="N108" i="1" s="1"/>
  <c r="L109" i="1"/>
  <c r="N109" i="1" s="1"/>
  <c r="L110" i="1"/>
  <c r="N110" i="1" s="1"/>
  <c r="L111" i="1"/>
  <c r="N111" i="1" s="1"/>
  <c r="L112" i="1"/>
  <c r="N112" i="1" s="1"/>
  <c r="L113" i="1"/>
  <c r="N113" i="1" s="1"/>
  <c r="L114" i="1"/>
  <c r="N114" i="1" s="1"/>
  <c r="L115" i="1"/>
  <c r="N115" i="1" s="1"/>
  <c r="L116" i="1"/>
  <c r="N116" i="1" s="1"/>
  <c r="L117" i="1"/>
  <c r="N117" i="1" s="1"/>
  <c r="L118" i="1"/>
  <c r="N118" i="1" s="1"/>
  <c r="L119" i="1"/>
  <c r="N119" i="1" s="1"/>
  <c r="L120" i="1"/>
  <c r="N120" i="1" s="1"/>
  <c r="L121" i="1"/>
  <c r="N121" i="1" s="1"/>
  <c r="L122" i="1"/>
  <c r="N122" i="1" s="1"/>
  <c r="L123" i="1"/>
  <c r="N123" i="1" s="1"/>
  <c r="L124" i="1"/>
  <c r="N124" i="1" s="1"/>
  <c r="L125" i="1"/>
  <c r="N125" i="1" s="1"/>
  <c r="L126" i="1"/>
  <c r="N126" i="1" s="1"/>
  <c r="L127" i="1"/>
  <c r="N127" i="1" s="1"/>
  <c r="L128" i="1"/>
  <c r="N128" i="1" s="1"/>
  <c r="L129" i="1"/>
  <c r="N129" i="1" s="1"/>
  <c r="L130" i="1"/>
  <c r="N130" i="1" s="1"/>
  <c r="L131" i="1"/>
  <c r="N131" i="1" s="1"/>
  <c r="L132" i="1"/>
  <c r="N132" i="1" s="1"/>
  <c r="L133" i="1"/>
  <c r="N133" i="1" s="1"/>
  <c r="L134" i="1"/>
  <c r="N134" i="1" s="1"/>
  <c r="L135" i="1"/>
  <c r="N135" i="1" s="1"/>
  <c r="L136" i="1"/>
  <c r="N136" i="1" s="1"/>
  <c r="L137" i="1"/>
  <c r="N137" i="1" s="1"/>
  <c r="L138" i="1"/>
  <c r="N138" i="1" s="1"/>
  <c r="L139" i="1"/>
  <c r="N139" i="1" s="1"/>
  <c r="L140" i="1"/>
  <c r="N140" i="1" s="1"/>
  <c r="L141" i="1"/>
  <c r="N141" i="1" s="1"/>
  <c r="L142" i="1"/>
  <c r="N142" i="1" s="1"/>
  <c r="L143" i="1"/>
  <c r="N143" i="1" s="1"/>
  <c r="L144" i="1"/>
  <c r="N144" i="1" s="1"/>
  <c r="L145" i="1"/>
  <c r="N145" i="1" s="1"/>
  <c r="L146" i="1"/>
  <c r="N146" i="1" s="1"/>
  <c r="L147" i="1"/>
  <c r="N147" i="1" s="1"/>
  <c r="L148" i="1"/>
  <c r="N148" i="1" s="1"/>
  <c r="L149" i="1"/>
  <c r="N149" i="1" s="1"/>
  <c r="L150" i="1"/>
  <c r="N150" i="1" s="1"/>
  <c r="L151" i="1"/>
  <c r="N151" i="1" s="1"/>
  <c r="L152" i="1"/>
  <c r="N152" i="1" s="1"/>
  <c r="L153" i="1"/>
  <c r="N153" i="1" s="1"/>
  <c r="L154" i="1"/>
  <c r="N154" i="1" s="1"/>
  <c r="L155" i="1"/>
  <c r="N155" i="1" s="1"/>
  <c r="L156" i="1"/>
  <c r="N156" i="1" s="1"/>
  <c r="L157" i="1"/>
  <c r="N157" i="1" s="1"/>
  <c r="L158" i="1"/>
  <c r="N158" i="1" s="1"/>
  <c r="L159" i="1"/>
  <c r="N159" i="1" s="1"/>
  <c r="L160" i="1"/>
  <c r="N160" i="1" s="1"/>
  <c r="L161" i="1"/>
  <c r="N161" i="1" s="1"/>
  <c r="L162" i="1"/>
  <c r="N162" i="1" s="1"/>
  <c r="L163" i="1"/>
  <c r="N163" i="1" s="1"/>
  <c r="L164" i="1"/>
  <c r="N164" i="1" s="1"/>
  <c r="L165" i="1"/>
  <c r="N165" i="1" s="1"/>
  <c r="L166" i="1"/>
  <c r="N166" i="1" s="1"/>
  <c r="L167" i="1"/>
  <c r="N167" i="1" s="1"/>
  <c r="L168" i="1"/>
  <c r="N168" i="1" s="1"/>
  <c r="L169" i="1"/>
  <c r="N169" i="1" s="1"/>
  <c r="L170" i="1"/>
  <c r="N170" i="1" s="1"/>
  <c r="L171" i="1"/>
  <c r="N171" i="1" s="1"/>
  <c r="L172" i="1"/>
  <c r="N172" i="1" s="1"/>
  <c r="L173" i="1"/>
  <c r="N173" i="1" s="1"/>
  <c r="L174" i="1"/>
  <c r="N174" i="1" s="1"/>
  <c r="L175" i="1"/>
  <c r="N175" i="1" s="1"/>
  <c r="L176" i="1"/>
  <c r="N176" i="1" s="1"/>
  <c r="L177" i="1"/>
  <c r="N177" i="1" s="1"/>
  <c r="L178" i="1"/>
  <c r="N178" i="1" s="1"/>
  <c r="L179" i="1"/>
  <c r="N179" i="1" s="1"/>
  <c r="L180" i="1"/>
  <c r="N180" i="1" s="1"/>
  <c r="L181" i="1"/>
  <c r="N181" i="1" s="1"/>
  <c r="L182" i="1"/>
  <c r="N182" i="1" s="1"/>
  <c r="L183" i="1"/>
  <c r="N183" i="1" s="1"/>
  <c r="L184" i="1"/>
  <c r="N184" i="1" s="1"/>
  <c r="L185" i="1"/>
  <c r="N185" i="1" s="1"/>
  <c r="L186" i="1"/>
  <c r="N186" i="1" s="1"/>
  <c r="L187" i="1"/>
  <c r="L188" i="1"/>
  <c r="N188" i="1" s="1"/>
  <c r="L189" i="1"/>
  <c r="N189" i="1" s="1"/>
  <c r="L190" i="1"/>
  <c r="N190" i="1" s="1"/>
  <c r="L191" i="1"/>
  <c r="N191" i="1" s="1"/>
  <c r="L192" i="1"/>
  <c r="N192" i="1" s="1"/>
  <c r="L193" i="1"/>
  <c r="N193" i="1" s="1"/>
  <c r="L194" i="1"/>
  <c r="N194" i="1" s="1"/>
  <c r="L195" i="1"/>
  <c r="N195" i="1" s="1"/>
  <c r="L196" i="1"/>
  <c r="N196" i="1" s="1"/>
  <c r="L197" i="1"/>
  <c r="N197" i="1" s="1"/>
  <c r="L198" i="1"/>
  <c r="N198" i="1" s="1"/>
  <c r="L199" i="1"/>
  <c r="N199" i="1" s="1"/>
  <c r="L200" i="1"/>
  <c r="N200" i="1" s="1"/>
  <c r="L201" i="1"/>
  <c r="N201" i="1" s="1"/>
  <c r="L202" i="1"/>
  <c r="N202" i="1" s="1"/>
  <c r="L203" i="1"/>
  <c r="N203" i="1" s="1"/>
  <c r="L204" i="1"/>
  <c r="N204" i="1" s="1"/>
  <c r="L205" i="1"/>
  <c r="N205" i="1" s="1"/>
  <c r="L206" i="1"/>
  <c r="N206" i="1" s="1"/>
  <c r="L207" i="1"/>
  <c r="N207" i="1" s="1"/>
  <c r="L208" i="1"/>
  <c r="N208" i="1" s="1"/>
  <c r="L209" i="1"/>
  <c r="N209" i="1" s="1"/>
  <c r="L210" i="1"/>
  <c r="N210" i="1" s="1"/>
  <c r="L211" i="1"/>
  <c r="N211" i="1" s="1"/>
  <c r="L212" i="1"/>
  <c r="N212" i="1" s="1"/>
  <c r="L213" i="1"/>
  <c r="N213" i="1" s="1"/>
  <c r="L214" i="1"/>
  <c r="N214" i="1" s="1"/>
  <c r="L215" i="1"/>
  <c r="N215" i="1" s="1"/>
  <c r="L216" i="1"/>
  <c r="N216" i="1" s="1"/>
  <c r="L217" i="1"/>
  <c r="N217" i="1" s="1"/>
  <c r="L218" i="1"/>
  <c r="N218" i="1" s="1"/>
  <c r="L219" i="1"/>
  <c r="N219" i="1" s="1"/>
  <c r="L220" i="1"/>
  <c r="N220" i="1" s="1"/>
  <c r="L221" i="1"/>
  <c r="N221" i="1" s="1"/>
  <c r="L222" i="1"/>
  <c r="N222" i="1" s="1"/>
  <c r="L223" i="1"/>
  <c r="N223" i="1" s="1"/>
  <c r="L224" i="1"/>
  <c r="N224" i="1" s="1"/>
  <c r="L225" i="1"/>
  <c r="N225" i="1" s="1"/>
  <c r="L226" i="1"/>
  <c r="N226" i="1" s="1"/>
  <c r="L227" i="1"/>
  <c r="N227" i="1" s="1"/>
  <c r="L228" i="1"/>
  <c r="N228" i="1" s="1"/>
  <c r="L229" i="1"/>
  <c r="N229" i="1" s="1"/>
  <c r="L230" i="1"/>
  <c r="N230" i="1" s="1"/>
  <c r="L231" i="1"/>
  <c r="N231" i="1" s="1"/>
  <c r="L232" i="1"/>
  <c r="N232" i="1" s="1"/>
  <c r="L233" i="1"/>
  <c r="N233" i="1" s="1"/>
  <c r="L234" i="1"/>
  <c r="N234" i="1" s="1"/>
  <c r="L235" i="1"/>
  <c r="N235" i="1" s="1"/>
  <c r="L236" i="1"/>
  <c r="N236" i="1" s="1"/>
  <c r="L237" i="1"/>
  <c r="N237" i="1" s="1"/>
  <c r="L238" i="1"/>
  <c r="N238" i="1" s="1"/>
  <c r="L239" i="1"/>
  <c r="N239" i="1" s="1"/>
  <c r="L240" i="1"/>
  <c r="N240" i="1" s="1"/>
  <c r="L241" i="1"/>
  <c r="N241" i="1" s="1"/>
  <c r="L242" i="1"/>
  <c r="N242" i="1" s="1"/>
  <c r="L243" i="1"/>
  <c r="N243" i="1" s="1"/>
  <c r="L244" i="1"/>
  <c r="N244" i="1" s="1"/>
  <c r="L245" i="1"/>
  <c r="N245" i="1" s="1"/>
  <c r="L246" i="1"/>
  <c r="N246" i="1" s="1"/>
  <c r="L247" i="1"/>
  <c r="N247" i="1" s="1"/>
  <c r="L248" i="1"/>
  <c r="N248" i="1" s="1"/>
  <c r="L249" i="1"/>
  <c r="N249" i="1" s="1"/>
  <c r="L250" i="1"/>
  <c r="N250" i="1" s="1"/>
  <c r="L251" i="1"/>
  <c r="N251" i="1" s="1"/>
  <c r="L252" i="1"/>
  <c r="N252" i="1" s="1"/>
  <c r="L253" i="1"/>
  <c r="N253" i="1" s="1"/>
  <c r="L254" i="1"/>
  <c r="N254" i="1" s="1"/>
  <c r="L255" i="1"/>
  <c r="N255" i="1" s="1"/>
  <c r="L256" i="1"/>
  <c r="N256" i="1" s="1"/>
  <c r="L257" i="1"/>
  <c r="N257" i="1" s="1"/>
  <c r="L258" i="1"/>
  <c r="N258" i="1" s="1"/>
  <c r="L259" i="1"/>
  <c r="N259" i="1" s="1"/>
  <c r="L260" i="1"/>
  <c r="N260" i="1" s="1"/>
  <c r="L261" i="1"/>
  <c r="N261" i="1" s="1"/>
  <c r="L262" i="1"/>
  <c r="N262" i="1" s="1"/>
  <c r="L263" i="1"/>
  <c r="N263" i="1" s="1"/>
  <c r="L264" i="1"/>
  <c r="N264" i="1" s="1"/>
  <c r="L265" i="1"/>
  <c r="N265" i="1" s="1"/>
  <c r="L266" i="1"/>
  <c r="N266" i="1" s="1"/>
  <c r="L267" i="1"/>
  <c r="N267" i="1" s="1"/>
  <c r="L268" i="1"/>
  <c r="N268" i="1" s="1"/>
  <c r="L269" i="1"/>
  <c r="N269" i="1" s="1"/>
  <c r="L270" i="1"/>
  <c r="N270" i="1" s="1"/>
  <c r="L271" i="1"/>
  <c r="N271" i="1" s="1"/>
  <c r="L272" i="1"/>
  <c r="N272" i="1" s="1"/>
  <c r="L273" i="1"/>
  <c r="N273" i="1" s="1"/>
  <c r="L274" i="1"/>
  <c r="N274" i="1" s="1"/>
  <c r="L275" i="1"/>
  <c r="N275" i="1" s="1"/>
  <c r="L276" i="1"/>
  <c r="N276" i="1" s="1"/>
  <c r="L277" i="1"/>
  <c r="N277" i="1" s="1"/>
  <c r="L278" i="1"/>
  <c r="N278" i="1" s="1"/>
  <c r="L279" i="1"/>
  <c r="N279" i="1" s="1"/>
  <c r="L280" i="1"/>
  <c r="N280" i="1" s="1"/>
  <c r="L281" i="1"/>
  <c r="N281" i="1" s="1"/>
  <c r="L282" i="1"/>
  <c r="N282" i="1" s="1"/>
  <c r="L283" i="1"/>
  <c r="N283" i="1" s="1"/>
  <c r="L284" i="1"/>
  <c r="N284" i="1" s="1"/>
  <c r="L285" i="1"/>
  <c r="N285" i="1" s="1"/>
  <c r="L286" i="1"/>
  <c r="N286" i="1" s="1"/>
  <c r="L287" i="1"/>
  <c r="N287" i="1" s="1"/>
  <c r="L288" i="1"/>
  <c r="N288" i="1" s="1"/>
  <c r="L289" i="1"/>
  <c r="N289" i="1" s="1"/>
  <c r="L290" i="1"/>
  <c r="N290" i="1" s="1"/>
  <c r="L291" i="1"/>
  <c r="N291" i="1" s="1"/>
  <c r="L292" i="1"/>
  <c r="N292" i="1" s="1"/>
  <c r="L293" i="1"/>
  <c r="N293" i="1" s="1"/>
  <c r="L294" i="1"/>
  <c r="N294" i="1" s="1"/>
  <c r="L295" i="1"/>
  <c r="N295" i="1" s="1"/>
  <c r="L296" i="1"/>
  <c r="N296" i="1" s="1"/>
  <c r="L297" i="1"/>
  <c r="N297" i="1" s="1"/>
  <c r="L298" i="1"/>
  <c r="N298" i="1" s="1"/>
  <c r="L299" i="1"/>
  <c r="N299" i="1" s="1"/>
  <c r="L300" i="1"/>
  <c r="N300" i="1" s="1"/>
  <c r="L301" i="1"/>
  <c r="N301" i="1" s="1"/>
  <c r="L302" i="1"/>
  <c r="N302" i="1" s="1"/>
  <c r="L303" i="1"/>
  <c r="N303" i="1" s="1"/>
  <c r="L304" i="1"/>
  <c r="N304" i="1" s="1"/>
  <c r="L305" i="1"/>
  <c r="N305" i="1" s="1"/>
  <c r="L306" i="1"/>
  <c r="N306" i="1" s="1"/>
  <c r="L307" i="1"/>
  <c r="N307" i="1" s="1"/>
  <c r="L308" i="1"/>
  <c r="N308" i="1" s="1"/>
  <c r="L309" i="1"/>
  <c r="N309" i="1" s="1"/>
  <c r="L310" i="1"/>
  <c r="N310" i="1" s="1"/>
  <c r="L311" i="1"/>
  <c r="N311" i="1" s="1"/>
  <c r="L312" i="1"/>
  <c r="N312" i="1" s="1"/>
  <c r="L313" i="1"/>
  <c r="N313" i="1" s="1"/>
  <c r="L314" i="1"/>
  <c r="N314" i="1" s="1"/>
  <c r="L315" i="1"/>
  <c r="N315" i="1" s="1"/>
  <c r="L52" i="1"/>
  <c r="N52" i="1" s="1"/>
  <c r="L53" i="1"/>
  <c r="N53" i="1" s="1"/>
  <c r="L54" i="1"/>
  <c r="N54" i="1" s="1"/>
  <c r="L55" i="1"/>
  <c r="N55" i="1" s="1"/>
  <c r="L56" i="1"/>
  <c r="N56" i="1" s="1"/>
  <c r="L57" i="1"/>
  <c r="N57" i="1" s="1"/>
  <c r="L58" i="1"/>
  <c r="N58" i="1" s="1"/>
  <c r="L59" i="1"/>
  <c r="N59" i="1" s="1"/>
  <c r="L60" i="1"/>
  <c r="N60" i="1" s="1"/>
  <c r="L61" i="1"/>
  <c r="N61" i="1" s="1"/>
  <c r="L62" i="1"/>
  <c r="N62" i="1" s="1"/>
  <c r="L63" i="1"/>
  <c r="N63" i="1" s="1"/>
  <c r="L64" i="1"/>
  <c r="N64" i="1" s="1"/>
  <c r="L65" i="1"/>
  <c r="N65" i="1" s="1"/>
  <c r="L66" i="1"/>
  <c r="N66" i="1" s="1"/>
  <c r="L67" i="1"/>
  <c r="N67" i="1" s="1"/>
  <c r="L68" i="1"/>
  <c r="N68" i="1" s="1"/>
  <c r="L69" i="1"/>
  <c r="N69" i="1" s="1"/>
  <c r="L70" i="1"/>
  <c r="N70" i="1" s="1"/>
  <c r="L71" i="1"/>
  <c r="N71" i="1" s="1"/>
  <c r="L72" i="1"/>
  <c r="N72" i="1" s="1"/>
  <c r="L73" i="1"/>
  <c r="N73" i="1" s="1"/>
  <c r="L74" i="1"/>
  <c r="N74" i="1" s="1"/>
  <c r="L75" i="1"/>
  <c r="N75" i="1" s="1"/>
  <c r="L76" i="1"/>
  <c r="N76" i="1" s="1"/>
  <c r="L77" i="1"/>
  <c r="N77" i="1" s="1"/>
  <c r="L78" i="1"/>
  <c r="N78" i="1" s="1"/>
  <c r="L79" i="1"/>
  <c r="N79" i="1" s="1"/>
  <c r="L80" i="1"/>
  <c r="N80" i="1" s="1"/>
  <c r="L81" i="1"/>
  <c r="N81" i="1" s="1"/>
  <c r="L82" i="1"/>
  <c r="N82" i="1" s="1"/>
  <c r="L83" i="1"/>
  <c r="N83" i="1" s="1"/>
  <c r="L84" i="1"/>
  <c r="N84" i="1" s="1"/>
  <c r="L85" i="1"/>
  <c r="N85" i="1" s="1"/>
  <c r="L86" i="1"/>
  <c r="N86" i="1" s="1"/>
  <c r="L3" i="1"/>
  <c r="N3" i="1" s="1"/>
  <c r="L4" i="1"/>
  <c r="N4" i="1" s="1"/>
  <c r="L5" i="1"/>
  <c r="N5" i="1" s="1"/>
  <c r="L6" i="1"/>
  <c r="N6" i="1" s="1"/>
  <c r="L7" i="1"/>
  <c r="N7" i="1" s="1"/>
  <c r="L8" i="1"/>
  <c r="N8" i="1" s="1"/>
  <c r="L9" i="1"/>
  <c r="N9" i="1" s="1"/>
  <c r="L10" i="1"/>
  <c r="N10" i="1" s="1"/>
  <c r="L11" i="1"/>
  <c r="N11" i="1" s="1"/>
  <c r="L12" i="1"/>
  <c r="N12" i="1" s="1"/>
  <c r="L13" i="1"/>
  <c r="N13" i="1" s="1"/>
  <c r="L14" i="1"/>
  <c r="N14" i="1" s="1"/>
  <c r="L15" i="1"/>
  <c r="N15" i="1" s="1"/>
  <c r="L16" i="1"/>
  <c r="N16" i="1" s="1"/>
  <c r="L17" i="1"/>
  <c r="N17" i="1" s="1"/>
  <c r="L18" i="1"/>
  <c r="N18" i="1" s="1"/>
  <c r="L19" i="1"/>
  <c r="N19" i="1" s="1"/>
  <c r="L20" i="1"/>
  <c r="N20" i="1" s="1"/>
  <c r="L21" i="1"/>
  <c r="N21" i="1" s="1"/>
  <c r="L22" i="1"/>
  <c r="N22" i="1" s="1"/>
  <c r="L23" i="1"/>
  <c r="N23" i="1" s="1"/>
  <c r="L24" i="1"/>
  <c r="N24" i="1" s="1"/>
  <c r="L25" i="1"/>
  <c r="N25" i="1" s="1"/>
  <c r="L26" i="1"/>
  <c r="N26" i="1" s="1"/>
  <c r="L27" i="1"/>
  <c r="N27" i="1" s="1"/>
  <c r="L28" i="1"/>
  <c r="N28" i="1" s="1"/>
  <c r="L29" i="1"/>
  <c r="N29" i="1" s="1"/>
  <c r="L30" i="1"/>
  <c r="N30" i="1" s="1"/>
  <c r="L31" i="1"/>
  <c r="N31" i="1" s="1"/>
  <c r="L32" i="1"/>
  <c r="N32" i="1" s="1"/>
  <c r="L33" i="1"/>
  <c r="N33" i="1" s="1"/>
  <c r="L34" i="1"/>
  <c r="N34" i="1" s="1"/>
  <c r="L35" i="1"/>
  <c r="N35" i="1" s="1"/>
  <c r="L36" i="1"/>
  <c r="N36" i="1" s="1"/>
  <c r="L37" i="1"/>
  <c r="N37" i="1" s="1"/>
  <c r="L38" i="1"/>
  <c r="N38" i="1" s="1"/>
  <c r="L39" i="1"/>
  <c r="N39" i="1" s="1"/>
  <c r="L40" i="1"/>
  <c r="N40" i="1" s="1"/>
  <c r="L41" i="1"/>
  <c r="N41" i="1" s="1"/>
  <c r="L42" i="1"/>
  <c r="N42" i="1" s="1"/>
  <c r="L43" i="1"/>
  <c r="N43" i="1" s="1"/>
  <c r="L44" i="1"/>
  <c r="N44" i="1" s="1"/>
  <c r="L45" i="1"/>
  <c r="N45" i="1" s="1"/>
  <c r="L46" i="1"/>
  <c r="N46" i="1" s="1"/>
  <c r="L47" i="1"/>
  <c r="N47" i="1" s="1"/>
  <c r="L48" i="1"/>
  <c r="N48" i="1" s="1"/>
  <c r="L49" i="1"/>
  <c r="N49" i="1" s="1"/>
  <c r="L50" i="1"/>
  <c r="N50" i="1" s="1"/>
  <c r="L51" i="1"/>
  <c r="N51" i="1" s="1"/>
  <c r="L2" i="1"/>
  <c r="N2" i="1" s="1"/>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F113" i="1" l="1"/>
  <c r="F125" i="1"/>
  <c r="F127" i="1"/>
  <c r="F114" i="1"/>
  <c r="F115" i="1"/>
  <c r="F68" i="1"/>
  <c r="F76" i="1"/>
  <c r="F104" i="1"/>
  <c r="D104" i="1" s="1"/>
  <c r="F100" i="1"/>
  <c r="F101" i="1"/>
  <c r="F64" i="1"/>
  <c r="G64" i="1" s="1"/>
  <c r="F88" i="1"/>
  <c r="G88" i="1" s="1"/>
  <c r="F80" i="1"/>
  <c r="G80" i="1" s="1"/>
  <c r="F92" i="1"/>
  <c r="D92" i="1" s="1"/>
  <c r="F52" i="1"/>
  <c r="G52" i="1" s="1"/>
  <c r="F54" i="1"/>
  <c r="D54" i="1" s="1"/>
  <c r="F75" i="1"/>
  <c r="D75" i="1" s="1"/>
  <c r="F77" i="1"/>
  <c r="F78" i="1"/>
  <c r="G78" i="1" s="1"/>
  <c r="F93" i="1"/>
  <c r="G93" i="1" s="1"/>
  <c r="F94" i="1"/>
  <c r="G94" i="1" s="1"/>
  <c r="F95" i="1"/>
  <c r="G95" i="1" s="1"/>
  <c r="F96" i="1"/>
  <c r="F91" i="1"/>
  <c r="G91" i="1" s="1"/>
  <c r="F55" i="1"/>
  <c r="F135" i="1"/>
  <c r="F121" i="1"/>
  <c r="G121" i="1" s="1"/>
  <c r="F87" i="1"/>
  <c r="G87" i="1" s="1"/>
  <c r="F89" i="1"/>
  <c r="G89" i="1" s="1"/>
  <c r="F90" i="1"/>
  <c r="G90" i="1" s="1"/>
  <c r="F105" i="1"/>
  <c r="G105" i="1" s="1"/>
  <c r="F106" i="1"/>
  <c r="G106" i="1" s="1"/>
  <c r="F107" i="1"/>
  <c r="D107" i="1" s="1"/>
  <c r="F108" i="1"/>
  <c r="G108" i="1" s="1"/>
  <c r="F126" i="1"/>
  <c r="G126" i="1" s="1"/>
  <c r="F103" i="1"/>
  <c r="G103" i="1" s="1"/>
  <c r="F139" i="1"/>
  <c r="F99" i="1"/>
  <c r="G99" i="1" s="1"/>
  <c r="F102" i="1"/>
  <c r="G102" i="1" s="1"/>
  <c r="F117" i="1"/>
  <c r="F118" i="1"/>
  <c r="D118" i="1" s="1"/>
  <c r="F119" i="1"/>
  <c r="G119" i="1" s="1"/>
  <c r="F120" i="1"/>
  <c r="F133" i="1"/>
  <c r="G133" i="1" s="1"/>
  <c r="F111" i="1"/>
  <c r="F129" i="1"/>
  <c r="G129" i="1" s="1"/>
  <c r="F131" i="1"/>
  <c r="F132" i="1"/>
  <c r="F67" i="1"/>
  <c r="D67" i="1" s="1"/>
  <c r="F79" i="1"/>
  <c r="G79" i="1" s="1"/>
  <c r="F56" i="1"/>
  <c r="G56" i="1" s="1"/>
  <c r="F141" i="1"/>
  <c r="F143" i="1"/>
  <c r="G143" i="1" s="1"/>
  <c r="F144" i="1"/>
  <c r="G144" i="1" s="1"/>
  <c r="F97" i="1"/>
  <c r="G97" i="1" s="1"/>
  <c r="F122" i="1"/>
  <c r="G122" i="1" s="1"/>
  <c r="F61" i="1"/>
  <c r="G61" i="1" s="1"/>
  <c r="F136" i="1"/>
  <c r="G136" i="1" s="1"/>
  <c r="F140" i="1"/>
  <c r="F109" i="1"/>
  <c r="F134" i="1"/>
  <c r="G134" i="1" s="1"/>
  <c r="F73" i="1"/>
  <c r="G73" i="1" s="1"/>
  <c r="F98" i="1"/>
  <c r="D98" i="1" s="1"/>
  <c r="F116" i="1"/>
  <c r="G116" i="1" s="1"/>
  <c r="F123" i="1"/>
  <c r="G123" i="1" s="1"/>
  <c r="F112" i="1"/>
  <c r="G112" i="1" s="1"/>
  <c r="F57" i="1"/>
  <c r="G57" i="1" s="1"/>
  <c r="F58" i="1"/>
  <c r="D58" i="1" s="1"/>
  <c r="F59" i="1"/>
  <c r="G59" i="1" s="1"/>
  <c r="F60" i="1"/>
  <c r="G60" i="1" s="1"/>
  <c r="F86" i="1"/>
  <c r="G86" i="1" s="1"/>
  <c r="F128" i="1"/>
  <c r="D128" i="1" s="1"/>
  <c r="F138" i="1"/>
  <c r="F53" i="1"/>
  <c r="G53" i="1" s="1"/>
  <c r="F69" i="1"/>
  <c r="D69" i="1" s="1"/>
  <c r="F70" i="1"/>
  <c r="G70" i="1" s="1"/>
  <c r="F71" i="1"/>
  <c r="G71" i="1" s="1"/>
  <c r="F72" i="1"/>
  <c r="G72" i="1" s="1"/>
  <c r="F124" i="1"/>
  <c r="G124" i="1" s="1"/>
  <c r="F62" i="1"/>
  <c r="D62" i="1" s="1"/>
  <c r="F63" i="1"/>
  <c r="G63" i="1" s="1"/>
  <c r="F65" i="1"/>
  <c r="D65" i="1" s="1"/>
  <c r="F66" i="1"/>
  <c r="F81" i="1"/>
  <c r="G81" i="1" s="1"/>
  <c r="F82" i="1"/>
  <c r="D82" i="1" s="1"/>
  <c r="F83" i="1"/>
  <c r="D83" i="1" s="1"/>
  <c r="F84" i="1"/>
  <c r="G84" i="1" s="1"/>
  <c r="F110" i="1"/>
  <c r="G110" i="1" s="1"/>
  <c r="F74" i="1"/>
  <c r="D74" i="1" s="1"/>
  <c r="F85" i="1"/>
  <c r="G85" i="1" s="1"/>
  <c r="F51" i="1"/>
  <c r="G51" i="1" s="1"/>
  <c r="F39" i="1"/>
  <c r="G39" i="1" s="1"/>
  <c r="F29" i="1"/>
  <c r="D29" i="1" s="1"/>
  <c r="F31" i="1"/>
  <c r="G31" i="1" s="1"/>
  <c r="F41" i="1"/>
  <c r="G41" i="1" s="1"/>
  <c r="F42" i="1"/>
  <c r="G42" i="1" s="1"/>
  <c r="F45" i="1"/>
  <c r="D45" i="1" s="1"/>
  <c r="F46" i="1"/>
  <c r="D46" i="1" s="1"/>
  <c r="F48" i="1"/>
  <c r="G48" i="1" s="1"/>
  <c r="F20" i="1"/>
  <c r="D20" i="1" s="1"/>
  <c r="E2" i="1"/>
  <c r="F2" i="1"/>
  <c r="D2" i="1" s="1"/>
  <c r="F23" i="1"/>
  <c r="D23" i="1" s="1"/>
  <c r="F35" i="1"/>
  <c r="D35" i="1" s="1"/>
  <c r="F25" i="1"/>
  <c r="G25" i="1" s="1"/>
  <c r="F47" i="1"/>
  <c r="G47" i="1" s="1"/>
  <c r="F14" i="1"/>
  <c r="D14" i="1" s="1"/>
  <c r="F38" i="1"/>
  <c r="D38" i="1" s="1"/>
  <c r="F12" i="1"/>
  <c r="G12" i="1" s="1"/>
  <c r="F49" i="1"/>
  <c r="G49" i="1" s="1"/>
  <c r="W566" i="2"/>
  <c r="X566" i="2" s="1"/>
  <c r="W554" i="2"/>
  <c r="X554" i="2" s="1"/>
  <c r="W542" i="2"/>
  <c r="X542" i="2" s="1"/>
  <c r="W530" i="2"/>
  <c r="X530" i="2" s="1"/>
  <c r="W518" i="2"/>
  <c r="X518" i="2" s="1"/>
  <c r="W506" i="2"/>
  <c r="X506" i="2" s="1"/>
  <c r="W494" i="2"/>
  <c r="X494" i="2" s="1"/>
  <c r="W482" i="2"/>
  <c r="X482" i="2" s="1"/>
  <c r="W470" i="2"/>
  <c r="X470" i="2" s="1"/>
  <c r="W458" i="2"/>
  <c r="X458" i="2" s="1"/>
  <c r="W446" i="2"/>
  <c r="X446" i="2" s="1"/>
  <c r="W434" i="2"/>
  <c r="X434" i="2" s="1"/>
  <c r="W422" i="2"/>
  <c r="X422" i="2" s="1"/>
  <c r="W410" i="2"/>
  <c r="X410" i="2" s="1"/>
  <c r="W398" i="2"/>
  <c r="X398" i="2" s="1"/>
  <c r="W386" i="2"/>
  <c r="X386" i="2" s="1"/>
  <c r="Y386" i="2" s="1"/>
  <c r="W374" i="2"/>
  <c r="X374" i="2" s="1"/>
  <c r="Y374" i="2" s="1"/>
  <c r="W362" i="2"/>
  <c r="X362" i="2" s="1"/>
  <c r="W350" i="2"/>
  <c r="X350" i="2" s="1"/>
  <c r="Y350" i="2" s="1"/>
  <c r="W338" i="2"/>
  <c r="X338" i="2" s="1"/>
  <c r="W326" i="2"/>
  <c r="X326" i="2" s="1"/>
  <c r="Y326" i="2" s="1"/>
  <c r="W314" i="2"/>
  <c r="X314" i="2" s="1"/>
  <c r="Y314" i="2" s="1"/>
  <c r="W302" i="2"/>
  <c r="X302" i="2" s="1"/>
  <c r="Y302" i="2" s="1"/>
  <c r="W290" i="2"/>
  <c r="X290" i="2" s="1"/>
  <c r="Y290" i="2" s="1"/>
  <c r="W278" i="2"/>
  <c r="X278" i="2" s="1"/>
  <c r="Y278" i="2" s="1"/>
  <c r="W266" i="2"/>
  <c r="X266" i="2" s="1"/>
  <c r="Y266" i="2" s="1"/>
  <c r="W254" i="2"/>
  <c r="X254" i="2" s="1"/>
  <c r="W242" i="2"/>
  <c r="X242" i="2" s="1"/>
  <c r="Y242" i="2" s="1"/>
  <c r="W230" i="2"/>
  <c r="X230" i="2" s="1"/>
  <c r="Y230" i="2" s="1"/>
  <c r="W218" i="2"/>
  <c r="X218" i="2" s="1"/>
  <c r="W206" i="2"/>
  <c r="X206" i="2" s="1"/>
  <c r="V206" i="1" s="1"/>
  <c r="W194" i="2"/>
  <c r="X194" i="2" s="1"/>
  <c r="Y194" i="2" s="1"/>
  <c r="W182" i="2"/>
  <c r="X182" i="2" s="1"/>
  <c r="Y182" i="2" s="1"/>
  <c r="W170" i="2"/>
  <c r="X170" i="2" s="1"/>
  <c r="Y170" i="2" s="1"/>
  <c r="W158" i="2"/>
  <c r="X158" i="2" s="1"/>
  <c r="Y158" i="2" s="1"/>
  <c r="W146" i="2"/>
  <c r="X146" i="2" s="1"/>
  <c r="Y146" i="2" s="1"/>
  <c r="W134" i="2"/>
  <c r="X134" i="2" s="1"/>
  <c r="Y134" i="2" s="1"/>
  <c r="W122" i="2"/>
  <c r="X122" i="2" s="1"/>
  <c r="Y122" i="2" s="1"/>
  <c r="F21" i="1"/>
  <c r="G21" i="1" s="1"/>
  <c r="F24" i="1"/>
  <c r="G24" i="1" s="1"/>
  <c r="F17" i="1"/>
  <c r="D17" i="1" s="1"/>
  <c r="F33" i="1"/>
  <c r="G33" i="1" s="1"/>
  <c r="F36" i="1"/>
  <c r="G36" i="1" s="1"/>
  <c r="F26" i="1"/>
  <c r="G26" i="1" s="1"/>
  <c r="F16" i="1"/>
  <c r="D16" i="1" s="1"/>
  <c r="F28" i="1"/>
  <c r="G28" i="1" s="1"/>
  <c r="F32" i="1"/>
  <c r="G32" i="1" s="1"/>
  <c r="F22" i="1"/>
  <c r="G22" i="1" s="1"/>
  <c r="F13" i="1"/>
  <c r="G13" i="1" s="1"/>
  <c r="F19" i="1"/>
  <c r="G19" i="1" s="1"/>
  <c r="F15" i="1"/>
  <c r="G15" i="1" s="1"/>
  <c r="F40" i="1"/>
  <c r="G40" i="1" s="1"/>
  <c r="F18" i="1"/>
  <c r="G18" i="1" s="1"/>
  <c r="F44" i="1"/>
  <c r="G44" i="1" s="1"/>
  <c r="F34" i="1"/>
  <c r="G34" i="1" s="1"/>
  <c r="F50" i="1"/>
  <c r="D50" i="1" s="1"/>
  <c r="F37" i="1"/>
  <c r="D37" i="1" s="1"/>
  <c r="F27" i="1"/>
  <c r="G27" i="1" s="1"/>
  <c r="F30" i="1"/>
  <c r="G30" i="1" s="1"/>
  <c r="F43" i="1"/>
  <c r="G43" i="1" s="1"/>
  <c r="G347" i="1"/>
  <c r="D347" i="1"/>
  <c r="G253" i="1"/>
  <c r="D253" i="1"/>
  <c r="G361" i="1"/>
  <c r="D361" i="1"/>
  <c r="G255" i="1"/>
  <c r="D255" i="1"/>
  <c r="G363" i="1"/>
  <c r="D363" i="1"/>
  <c r="G258" i="1"/>
  <c r="D258" i="1"/>
  <c r="G365" i="1"/>
  <c r="D365" i="1"/>
  <c r="G282" i="1"/>
  <c r="D282" i="1"/>
  <c r="G182" i="1"/>
  <c r="D182" i="1"/>
  <c r="G327" i="1"/>
  <c r="D327" i="1"/>
  <c r="G206" i="1"/>
  <c r="D206" i="1"/>
  <c r="G359" i="1"/>
  <c r="D359" i="1"/>
  <c r="G271" i="1"/>
  <c r="D271" i="1"/>
  <c r="G150" i="1"/>
  <c r="D150" i="1"/>
  <c r="G373" i="1"/>
  <c r="D373" i="1"/>
  <c r="G277" i="1"/>
  <c r="D277" i="1"/>
  <c r="G152" i="1"/>
  <c r="D152" i="1"/>
  <c r="G375" i="1"/>
  <c r="D375" i="1"/>
  <c r="G279" i="1"/>
  <c r="D279" i="1"/>
  <c r="G158" i="1"/>
  <c r="D158" i="1"/>
  <c r="G377" i="1"/>
  <c r="D377" i="1"/>
  <c r="G303" i="1"/>
  <c r="D303" i="1"/>
  <c r="G200" i="1"/>
  <c r="D200" i="1"/>
  <c r="G344" i="1"/>
  <c r="D344" i="1"/>
  <c r="G224" i="1"/>
  <c r="D224" i="1"/>
  <c r="G147" i="1"/>
  <c r="D147" i="1"/>
  <c r="G371" i="1"/>
  <c r="D371" i="1"/>
  <c r="G292" i="1"/>
  <c r="D292" i="1"/>
  <c r="G171" i="1"/>
  <c r="D171" i="1"/>
  <c r="G385" i="1"/>
  <c r="D385" i="1"/>
  <c r="G295" i="1"/>
  <c r="D295" i="1"/>
  <c r="G174" i="1"/>
  <c r="D174" i="1"/>
  <c r="G387" i="1"/>
  <c r="D387" i="1"/>
  <c r="G301" i="1"/>
  <c r="D301" i="1"/>
  <c r="G176" i="1"/>
  <c r="D176" i="1"/>
  <c r="G325" i="1"/>
  <c r="D325" i="1"/>
  <c r="G222" i="1"/>
  <c r="D222" i="1"/>
  <c r="G356" i="1"/>
  <c r="D356" i="1"/>
  <c r="G246" i="1"/>
  <c r="D246" i="1"/>
  <c r="G169" i="1"/>
  <c r="D169" i="1"/>
  <c r="G383" i="1"/>
  <c r="D383" i="1"/>
  <c r="G314" i="1"/>
  <c r="D314" i="1"/>
  <c r="G193" i="1"/>
  <c r="D193" i="1"/>
  <c r="G316" i="1"/>
  <c r="D316" i="1"/>
  <c r="G195" i="1"/>
  <c r="D195" i="1"/>
  <c r="G319" i="1"/>
  <c r="D319" i="1"/>
  <c r="G198" i="1"/>
  <c r="D198" i="1"/>
  <c r="G342" i="1"/>
  <c r="D342" i="1"/>
  <c r="G243" i="1"/>
  <c r="D243" i="1"/>
  <c r="G140" i="1"/>
  <c r="D140" i="1"/>
  <c r="G368" i="1"/>
  <c r="D368" i="1"/>
  <c r="G332" i="1"/>
  <c r="D332" i="1"/>
  <c r="G211" i="1"/>
  <c r="D211" i="1"/>
  <c r="G55" i="1"/>
  <c r="D55" i="1"/>
  <c r="G338" i="1"/>
  <c r="D338" i="1"/>
  <c r="G217" i="1"/>
  <c r="D217" i="1"/>
  <c r="G340" i="1"/>
  <c r="D340" i="1"/>
  <c r="G219" i="1"/>
  <c r="D219" i="1"/>
  <c r="G354" i="1"/>
  <c r="D354" i="1"/>
  <c r="G265" i="1"/>
  <c r="D265" i="1"/>
  <c r="G162" i="1"/>
  <c r="D162" i="1"/>
  <c r="G380" i="1"/>
  <c r="D380" i="1"/>
  <c r="G186" i="1"/>
  <c r="D186" i="1"/>
  <c r="G208" i="1"/>
  <c r="D208" i="1"/>
  <c r="G348" i="1"/>
  <c r="D348" i="1"/>
  <c r="G232" i="1"/>
  <c r="D232" i="1"/>
  <c r="D103" i="1"/>
  <c r="G350" i="1"/>
  <c r="D350" i="1"/>
  <c r="G235" i="1"/>
  <c r="D235" i="1"/>
  <c r="G352" i="1"/>
  <c r="D352" i="1"/>
  <c r="G241" i="1"/>
  <c r="D241" i="1"/>
  <c r="G138" i="1"/>
  <c r="D138" i="1"/>
  <c r="G366" i="1"/>
  <c r="D366" i="1"/>
  <c r="G283" i="1"/>
  <c r="D283" i="1"/>
  <c r="G183" i="1"/>
  <c r="D183" i="1"/>
  <c r="G345" i="1"/>
  <c r="D345" i="1"/>
  <c r="G267" i="1"/>
  <c r="D267" i="1"/>
  <c r="G230" i="1"/>
  <c r="D230" i="1"/>
  <c r="G127" i="1"/>
  <c r="D127" i="1"/>
  <c r="G360" i="1"/>
  <c r="D360" i="1"/>
  <c r="G254" i="1"/>
  <c r="D254" i="1"/>
  <c r="G362" i="1"/>
  <c r="D362" i="1"/>
  <c r="G256" i="1"/>
  <c r="D256" i="1"/>
  <c r="G135" i="1"/>
  <c r="D135" i="1"/>
  <c r="G364" i="1"/>
  <c r="D364" i="1"/>
  <c r="G259" i="1"/>
  <c r="D259" i="1"/>
  <c r="G159" i="1"/>
  <c r="D159" i="1"/>
  <c r="G378" i="1"/>
  <c r="D378" i="1"/>
  <c r="G304" i="1"/>
  <c r="D304" i="1"/>
  <c r="G205" i="1"/>
  <c r="D205" i="1"/>
  <c r="D123" i="1"/>
  <c r="G289" i="1"/>
  <c r="D289" i="1"/>
  <c r="G248" i="1"/>
  <c r="D248" i="1"/>
  <c r="G148" i="1"/>
  <c r="D148" i="1"/>
  <c r="G372" i="1"/>
  <c r="D372" i="1"/>
  <c r="G272" i="1"/>
  <c r="D272" i="1"/>
  <c r="G151" i="1"/>
  <c r="D151" i="1"/>
  <c r="G374" i="1"/>
  <c r="D374" i="1"/>
  <c r="G278" i="1"/>
  <c r="D278" i="1"/>
  <c r="G157" i="1"/>
  <c r="D157" i="1"/>
  <c r="G376" i="1"/>
  <c r="D376" i="1"/>
  <c r="G280" i="1"/>
  <c r="D280" i="1"/>
  <c r="G181" i="1"/>
  <c r="D181" i="1"/>
  <c r="G326" i="1"/>
  <c r="D326" i="1"/>
  <c r="G223" i="1"/>
  <c r="D223" i="1"/>
  <c r="G357" i="1"/>
  <c r="D357" i="1"/>
  <c r="G307" i="1"/>
  <c r="D307" i="1"/>
  <c r="D81" i="1"/>
  <c r="G322" i="1"/>
  <c r="D322" i="1"/>
  <c r="G131" i="1"/>
  <c r="D131" i="1"/>
  <c r="G228" i="1"/>
  <c r="D228" i="1"/>
  <c r="G382" i="1"/>
  <c r="D382" i="1"/>
  <c r="G221" i="1"/>
  <c r="D221" i="1"/>
  <c r="G334" i="1"/>
  <c r="D334" i="1"/>
  <c r="G287" i="1"/>
  <c r="D287" i="1"/>
  <c r="G240" i="1"/>
  <c r="D240" i="1"/>
  <c r="G202" i="1"/>
  <c r="D202" i="1"/>
  <c r="G155" i="1"/>
  <c r="D155" i="1"/>
  <c r="G252" i="1"/>
  <c r="D252" i="1"/>
  <c r="G101" i="1"/>
  <c r="D101" i="1"/>
  <c r="G117" i="1"/>
  <c r="D117" i="1"/>
  <c r="G167" i="1"/>
  <c r="D167" i="1"/>
  <c r="G120" i="1"/>
  <c r="D120" i="1"/>
  <c r="G264" i="1"/>
  <c r="D264" i="1"/>
  <c r="G113" i="1"/>
  <c r="D113" i="1"/>
  <c r="G66" i="1"/>
  <c r="D66" i="1"/>
  <c r="G273" i="1"/>
  <c r="D273" i="1"/>
  <c r="G226" i="1"/>
  <c r="D226" i="1"/>
  <c r="G179" i="1"/>
  <c r="D179" i="1"/>
  <c r="G132" i="1"/>
  <c r="D132" i="1"/>
  <c r="G276" i="1"/>
  <c r="D276" i="1"/>
  <c r="G100" i="1"/>
  <c r="D100" i="1"/>
  <c r="G269" i="1"/>
  <c r="D269" i="1"/>
  <c r="G104" i="1"/>
  <c r="G285" i="1"/>
  <c r="D285" i="1"/>
  <c r="G335" i="1"/>
  <c r="D335" i="1"/>
  <c r="G268" i="1"/>
  <c r="D268" i="1"/>
  <c r="G281" i="1"/>
  <c r="D281" i="1"/>
  <c r="G297" i="1"/>
  <c r="D297" i="1"/>
  <c r="G250" i="1"/>
  <c r="D250" i="1"/>
  <c r="G203" i="1"/>
  <c r="D203" i="1"/>
  <c r="G300" i="1"/>
  <c r="D300" i="1"/>
  <c r="G290" i="1"/>
  <c r="D290" i="1"/>
  <c r="G149" i="1"/>
  <c r="D149" i="1"/>
  <c r="G293" i="1"/>
  <c r="D293" i="1"/>
  <c r="G309" i="1"/>
  <c r="D309" i="1"/>
  <c r="G262" i="1"/>
  <c r="D262" i="1"/>
  <c r="G215" i="1"/>
  <c r="D215" i="1"/>
  <c r="G168" i="1"/>
  <c r="D168" i="1"/>
  <c r="G312" i="1"/>
  <c r="D312" i="1"/>
  <c r="G111" i="1"/>
  <c r="D111" i="1"/>
  <c r="G161" i="1"/>
  <c r="D161" i="1"/>
  <c r="G114" i="1"/>
  <c r="D114" i="1"/>
  <c r="G177" i="1"/>
  <c r="D177" i="1"/>
  <c r="G130" i="1"/>
  <c r="D130" i="1"/>
  <c r="G227" i="1"/>
  <c r="D227" i="1"/>
  <c r="G180" i="1"/>
  <c r="D180" i="1"/>
  <c r="G324" i="1"/>
  <c r="D324" i="1"/>
  <c r="G173" i="1"/>
  <c r="D173" i="1"/>
  <c r="G317" i="1"/>
  <c r="D317" i="1"/>
  <c r="G333" i="1"/>
  <c r="D333" i="1"/>
  <c r="G286" i="1"/>
  <c r="D286" i="1"/>
  <c r="G239" i="1"/>
  <c r="D239" i="1"/>
  <c r="G336" i="1"/>
  <c r="D336" i="1"/>
  <c r="G185" i="1"/>
  <c r="D185" i="1"/>
  <c r="G329" i="1"/>
  <c r="D329" i="1"/>
  <c r="G201" i="1"/>
  <c r="D201" i="1"/>
  <c r="G154" i="1"/>
  <c r="D154" i="1"/>
  <c r="G298" i="1"/>
  <c r="D298" i="1"/>
  <c r="G107" i="1"/>
  <c r="G251" i="1"/>
  <c r="D251" i="1"/>
  <c r="G204" i="1"/>
  <c r="D204" i="1"/>
  <c r="D86" i="1"/>
  <c r="G358" i="1"/>
  <c r="D358" i="1"/>
  <c r="G270" i="1"/>
  <c r="D270" i="1"/>
  <c r="G170" i="1"/>
  <c r="D170" i="1"/>
  <c r="G384" i="1"/>
  <c r="D384" i="1"/>
  <c r="G294" i="1"/>
  <c r="D294" i="1"/>
  <c r="G172" i="1"/>
  <c r="D172" i="1"/>
  <c r="G386" i="1"/>
  <c r="D386" i="1"/>
  <c r="G296" i="1"/>
  <c r="D296" i="1"/>
  <c r="G175" i="1"/>
  <c r="D175" i="1"/>
  <c r="G388" i="1"/>
  <c r="D388" i="1"/>
  <c r="G302" i="1"/>
  <c r="D302" i="1"/>
  <c r="G199" i="1"/>
  <c r="D199" i="1"/>
  <c r="G343" i="1"/>
  <c r="D343" i="1"/>
  <c r="G244" i="1"/>
  <c r="D244" i="1"/>
  <c r="G145" i="1"/>
  <c r="D145" i="1"/>
  <c r="G163" i="1"/>
  <c r="D163" i="1"/>
  <c r="G209" i="1"/>
  <c r="D209" i="1"/>
  <c r="G225" i="1"/>
  <c r="D225" i="1"/>
  <c r="G178" i="1"/>
  <c r="D178" i="1"/>
  <c r="G275" i="1"/>
  <c r="D275" i="1"/>
  <c r="G146" i="1"/>
  <c r="D146" i="1"/>
  <c r="G77" i="1"/>
  <c r="D77" i="1"/>
  <c r="G237" i="1"/>
  <c r="D237" i="1"/>
  <c r="G190" i="1"/>
  <c r="D190" i="1"/>
  <c r="G96" i="1"/>
  <c r="D96" i="1"/>
  <c r="G164" i="1"/>
  <c r="D164" i="1"/>
  <c r="G233" i="1"/>
  <c r="D233" i="1"/>
  <c r="G68" i="1"/>
  <c r="D68" i="1"/>
  <c r="G249" i="1"/>
  <c r="D249" i="1"/>
  <c r="G299" i="1"/>
  <c r="D299" i="1"/>
  <c r="G207" i="1"/>
  <c r="D207" i="1"/>
  <c r="G76" i="1"/>
  <c r="D76" i="1"/>
  <c r="G245" i="1"/>
  <c r="D245" i="1"/>
  <c r="G261" i="1"/>
  <c r="D261" i="1"/>
  <c r="G214" i="1"/>
  <c r="D214" i="1"/>
  <c r="G311" i="1"/>
  <c r="D311" i="1"/>
  <c r="G229" i="1"/>
  <c r="D229" i="1"/>
  <c r="G257" i="1"/>
  <c r="D257" i="1"/>
  <c r="G82" i="1"/>
  <c r="G323" i="1"/>
  <c r="D323" i="1"/>
  <c r="G247" i="1"/>
  <c r="D247" i="1"/>
  <c r="G125" i="1"/>
  <c r="D125" i="1"/>
  <c r="G141" i="1"/>
  <c r="D141" i="1"/>
  <c r="G238" i="1"/>
  <c r="D238" i="1"/>
  <c r="G191" i="1"/>
  <c r="D191" i="1"/>
  <c r="G288" i="1"/>
  <c r="D288" i="1"/>
  <c r="G137" i="1"/>
  <c r="D137" i="1"/>
  <c r="G153" i="1"/>
  <c r="D153" i="1"/>
  <c r="G156" i="1"/>
  <c r="D156" i="1"/>
  <c r="G187" i="1"/>
  <c r="D187" i="1"/>
  <c r="G165" i="1"/>
  <c r="D165" i="1"/>
  <c r="G118" i="1"/>
  <c r="G308" i="1"/>
  <c r="D308" i="1"/>
  <c r="G305" i="1"/>
  <c r="D305" i="1"/>
  <c r="G321" i="1"/>
  <c r="D321" i="1"/>
  <c r="G274" i="1"/>
  <c r="D274" i="1"/>
  <c r="G330" i="1"/>
  <c r="D330" i="1"/>
  <c r="G189" i="1"/>
  <c r="D189" i="1"/>
  <c r="G142" i="1"/>
  <c r="D142" i="1"/>
  <c r="G192" i="1"/>
  <c r="D192" i="1"/>
  <c r="G346" i="1"/>
  <c r="D346" i="1"/>
  <c r="G197" i="1"/>
  <c r="D197" i="1"/>
  <c r="G213" i="1"/>
  <c r="D213" i="1"/>
  <c r="G166" i="1"/>
  <c r="D166" i="1"/>
  <c r="G310" i="1"/>
  <c r="D310" i="1"/>
  <c r="D119" i="1"/>
  <c r="G263" i="1"/>
  <c r="D263" i="1"/>
  <c r="G216" i="1"/>
  <c r="D216" i="1"/>
  <c r="G370" i="1"/>
  <c r="D370" i="1"/>
  <c r="G291" i="1"/>
  <c r="D291" i="1"/>
  <c r="G188" i="1"/>
  <c r="D188" i="1"/>
  <c r="G315" i="1"/>
  <c r="D315" i="1"/>
  <c r="G194" i="1"/>
  <c r="D194" i="1"/>
  <c r="G318" i="1"/>
  <c r="D318" i="1"/>
  <c r="G196" i="1"/>
  <c r="D196" i="1"/>
  <c r="G320" i="1"/>
  <c r="D320" i="1"/>
  <c r="G220" i="1"/>
  <c r="D220" i="1"/>
  <c r="G355" i="1"/>
  <c r="D355" i="1"/>
  <c r="G266" i="1"/>
  <c r="D266" i="1"/>
  <c r="G369" i="1"/>
  <c r="D369" i="1"/>
  <c r="G328" i="1"/>
  <c r="D328" i="1"/>
  <c r="G313" i="1"/>
  <c r="D313" i="1"/>
  <c r="G210" i="1"/>
  <c r="D210" i="1"/>
  <c r="G337" i="1"/>
  <c r="D337" i="1"/>
  <c r="G212" i="1"/>
  <c r="D212" i="1"/>
  <c r="G339" i="1"/>
  <c r="D339" i="1"/>
  <c r="G218" i="1"/>
  <c r="D218" i="1"/>
  <c r="G67" i="1"/>
  <c r="G341" i="1"/>
  <c r="D341" i="1"/>
  <c r="G242" i="1"/>
  <c r="D242" i="1"/>
  <c r="G139" i="1"/>
  <c r="D139" i="1"/>
  <c r="G367" i="1"/>
  <c r="D367" i="1"/>
  <c r="G284" i="1"/>
  <c r="D284" i="1"/>
  <c r="G381" i="1"/>
  <c r="D381" i="1"/>
  <c r="G331" i="1"/>
  <c r="D331" i="1"/>
  <c r="G231" i="1"/>
  <c r="D231" i="1"/>
  <c r="G349" i="1"/>
  <c r="D349" i="1"/>
  <c r="G234" i="1"/>
  <c r="D234" i="1"/>
  <c r="G109" i="1"/>
  <c r="D109" i="1"/>
  <c r="G351" i="1"/>
  <c r="D351" i="1"/>
  <c r="G236" i="1"/>
  <c r="D236" i="1"/>
  <c r="G115" i="1"/>
  <c r="D115" i="1"/>
  <c r="G353" i="1"/>
  <c r="D353" i="1"/>
  <c r="G260" i="1"/>
  <c r="D260" i="1"/>
  <c r="G160" i="1"/>
  <c r="D160" i="1"/>
  <c r="G379" i="1"/>
  <c r="D379" i="1"/>
  <c r="G306" i="1"/>
  <c r="D306" i="1"/>
  <c r="G184" i="1"/>
  <c r="D184" i="1"/>
  <c r="W788" i="2"/>
  <c r="X788" i="2" s="1"/>
  <c r="W776" i="2"/>
  <c r="X776" i="2" s="1"/>
  <c r="W764" i="2"/>
  <c r="X764" i="2" s="1"/>
  <c r="W752" i="2"/>
  <c r="X752" i="2" s="1"/>
  <c r="W740" i="2"/>
  <c r="X740" i="2" s="1"/>
  <c r="W728" i="2"/>
  <c r="X728" i="2" s="1"/>
  <c r="W716" i="2"/>
  <c r="X716" i="2" s="1"/>
  <c r="W704" i="2"/>
  <c r="X704" i="2" s="1"/>
  <c r="W680" i="2"/>
  <c r="X680" i="2" s="1"/>
  <c r="W668" i="2"/>
  <c r="X668" i="2" s="1"/>
  <c r="W656" i="2"/>
  <c r="X656" i="2" s="1"/>
  <c r="W644" i="2"/>
  <c r="X644" i="2" s="1"/>
  <c r="W632" i="2"/>
  <c r="X632" i="2" s="1"/>
  <c r="W620" i="2"/>
  <c r="X620" i="2" s="1"/>
  <c r="W608" i="2"/>
  <c r="X608" i="2" s="1"/>
  <c r="W596" i="2"/>
  <c r="X596" i="2" s="1"/>
  <c r="W584" i="2"/>
  <c r="X584" i="2" s="1"/>
  <c r="W572" i="2"/>
  <c r="X572" i="2" s="1"/>
  <c r="W560" i="2"/>
  <c r="X560" i="2" s="1"/>
  <c r="W548" i="2"/>
  <c r="X548" i="2" s="1"/>
  <c r="W536" i="2"/>
  <c r="X536" i="2" s="1"/>
  <c r="W524" i="2"/>
  <c r="X524" i="2" s="1"/>
  <c r="W512" i="2"/>
  <c r="X512" i="2" s="1"/>
  <c r="W500" i="2"/>
  <c r="X500" i="2" s="1"/>
  <c r="W488" i="2"/>
  <c r="X488" i="2" s="1"/>
  <c r="W476" i="2"/>
  <c r="X476" i="2" s="1"/>
  <c r="W464" i="2"/>
  <c r="X464" i="2" s="1"/>
  <c r="W452" i="2"/>
  <c r="X452" i="2" s="1"/>
  <c r="W440" i="2"/>
  <c r="X440" i="2" s="1"/>
  <c r="W428" i="2"/>
  <c r="X428" i="2" s="1"/>
  <c r="W416" i="2"/>
  <c r="X416" i="2" s="1"/>
  <c r="W404" i="2"/>
  <c r="X404" i="2" s="1"/>
  <c r="W392" i="2"/>
  <c r="X392" i="2" s="1"/>
  <c r="W380" i="2"/>
  <c r="X380" i="2" s="1"/>
  <c r="Y380" i="2" s="1"/>
  <c r="W368" i="2"/>
  <c r="X368" i="2" s="1"/>
  <c r="Y368" i="2" s="1"/>
  <c r="W356" i="2"/>
  <c r="X356" i="2" s="1"/>
  <c r="Y356" i="2" s="1"/>
  <c r="W344" i="2"/>
  <c r="X344" i="2" s="1"/>
  <c r="Y344" i="2" s="1"/>
  <c r="W332" i="2"/>
  <c r="X332" i="2" s="1"/>
  <c r="Y332" i="2" s="1"/>
  <c r="W320" i="2"/>
  <c r="X320" i="2" s="1"/>
  <c r="Y320" i="2" s="1"/>
  <c r="W308" i="2"/>
  <c r="X308" i="2" s="1"/>
  <c r="Y308" i="2" s="1"/>
  <c r="W296" i="2"/>
  <c r="X296" i="2" s="1"/>
  <c r="Y296" i="2" s="1"/>
  <c r="W284" i="2"/>
  <c r="X284" i="2" s="1"/>
  <c r="Y284" i="2" s="1"/>
  <c r="W272" i="2"/>
  <c r="X272" i="2" s="1"/>
  <c r="Y272" i="2" s="1"/>
  <c r="W260" i="2"/>
  <c r="X260" i="2" s="1"/>
  <c r="Y260" i="2" s="1"/>
  <c r="W248" i="2"/>
  <c r="X248" i="2" s="1"/>
  <c r="Y248" i="2" s="1"/>
  <c r="W236" i="2"/>
  <c r="X236" i="2" s="1"/>
  <c r="Y236" i="2" s="1"/>
  <c r="W224" i="2"/>
  <c r="X224" i="2" s="1"/>
  <c r="Y224" i="2" s="1"/>
  <c r="W212" i="2"/>
  <c r="X212" i="2" s="1"/>
  <c r="Y212" i="2" s="1"/>
  <c r="W200" i="2"/>
  <c r="X200" i="2" s="1"/>
  <c r="Y200" i="2" s="1"/>
  <c r="W188" i="2"/>
  <c r="X188" i="2" s="1"/>
  <c r="Y188" i="2" s="1"/>
  <c r="W176" i="2"/>
  <c r="X176" i="2" s="1"/>
  <c r="Y176" i="2" s="1"/>
  <c r="W164" i="2"/>
  <c r="X164" i="2" s="1"/>
  <c r="Y164" i="2" s="1"/>
  <c r="W796" i="2"/>
  <c r="X796" i="2" s="1"/>
  <c r="W784" i="2"/>
  <c r="X784" i="2" s="1"/>
  <c r="W772" i="2"/>
  <c r="X772" i="2" s="1"/>
  <c r="W760" i="2"/>
  <c r="X760" i="2" s="1"/>
  <c r="W748" i="2"/>
  <c r="X748" i="2" s="1"/>
  <c r="W736" i="2"/>
  <c r="X736" i="2" s="1"/>
  <c r="W724" i="2"/>
  <c r="X724" i="2" s="1"/>
  <c r="W712" i="2"/>
  <c r="X712" i="2" s="1"/>
  <c r="W700" i="2"/>
  <c r="X700" i="2" s="1"/>
  <c r="W688" i="2"/>
  <c r="X688" i="2" s="1"/>
  <c r="W676" i="2"/>
  <c r="X676" i="2" s="1"/>
  <c r="W664" i="2"/>
  <c r="X664" i="2" s="1"/>
  <c r="W652" i="2"/>
  <c r="X652" i="2" s="1"/>
  <c r="W640" i="2"/>
  <c r="X640" i="2" s="1"/>
  <c r="W628" i="2"/>
  <c r="X628" i="2" s="1"/>
  <c r="W616" i="2"/>
  <c r="X616" i="2" s="1"/>
  <c r="W604" i="2"/>
  <c r="X604" i="2" s="1"/>
  <c r="W592" i="2"/>
  <c r="X592" i="2" s="1"/>
  <c r="W580" i="2"/>
  <c r="X580" i="2" s="1"/>
  <c r="W568" i="2"/>
  <c r="X568" i="2" s="1"/>
  <c r="W556" i="2"/>
  <c r="X556" i="2" s="1"/>
  <c r="W544" i="2"/>
  <c r="X544" i="2" s="1"/>
  <c r="W532" i="2"/>
  <c r="X532" i="2" s="1"/>
  <c r="W520" i="2"/>
  <c r="X520" i="2" s="1"/>
  <c r="W508" i="2"/>
  <c r="X508" i="2" s="1"/>
  <c r="W496" i="2"/>
  <c r="X496" i="2" s="1"/>
  <c r="W484" i="2"/>
  <c r="X484" i="2" s="1"/>
  <c r="W472" i="2"/>
  <c r="X472" i="2" s="1"/>
  <c r="W460" i="2"/>
  <c r="X460" i="2" s="1"/>
  <c r="W448" i="2"/>
  <c r="X448" i="2" s="1"/>
  <c r="W436" i="2"/>
  <c r="X436" i="2" s="1"/>
  <c r="W424" i="2"/>
  <c r="X424" i="2" s="1"/>
  <c r="W692" i="2"/>
  <c r="X692" i="2" s="1"/>
  <c r="W790" i="2"/>
  <c r="X790" i="2" s="1"/>
  <c r="W778" i="2"/>
  <c r="X778" i="2" s="1"/>
  <c r="W766" i="2"/>
  <c r="X766" i="2" s="1"/>
  <c r="W754" i="2"/>
  <c r="X754" i="2" s="1"/>
  <c r="W742" i="2"/>
  <c r="X742" i="2" s="1"/>
  <c r="W730" i="2"/>
  <c r="X730" i="2" s="1"/>
  <c r="W718" i="2"/>
  <c r="X718" i="2" s="1"/>
  <c r="W706" i="2"/>
  <c r="X706" i="2" s="1"/>
  <c r="W694" i="2"/>
  <c r="X694" i="2" s="1"/>
  <c r="W682" i="2"/>
  <c r="X682" i="2" s="1"/>
  <c r="W670" i="2"/>
  <c r="X670" i="2" s="1"/>
  <c r="W658" i="2"/>
  <c r="X658" i="2" s="1"/>
  <c r="W646" i="2"/>
  <c r="X646" i="2" s="1"/>
  <c r="W634" i="2"/>
  <c r="X634" i="2" s="1"/>
  <c r="W622" i="2"/>
  <c r="X622" i="2" s="1"/>
  <c r="W610" i="2"/>
  <c r="X610" i="2" s="1"/>
  <c r="W598" i="2"/>
  <c r="X598" i="2" s="1"/>
  <c r="W586" i="2"/>
  <c r="X586" i="2" s="1"/>
  <c r="W574" i="2"/>
  <c r="X574" i="2" s="1"/>
  <c r="W562" i="2"/>
  <c r="X562" i="2" s="1"/>
  <c r="W550" i="2"/>
  <c r="X550" i="2" s="1"/>
  <c r="W538" i="2"/>
  <c r="X538" i="2" s="1"/>
  <c r="W526" i="2"/>
  <c r="X526" i="2" s="1"/>
  <c r="W514" i="2"/>
  <c r="X514" i="2" s="1"/>
  <c r="W502" i="2"/>
  <c r="X502" i="2" s="1"/>
  <c r="W490" i="2"/>
  <c r="X490" i="2" s="1"/>
  <c r="W478" i="2"/>
  <c r="X478" i="2" s="1"/>
  <c r="W466" i="2"/>
  <c r="X466" i="2" s="1"/>
  <c r="W454" i="2"/>
  <c r="X454" i="2" s="1"/>
  <c r="W442" i="2"/>
  <c r="X442" i="2" s="1"/>
  <c r="W430" i="2"/>
  <c r="X430" i="2" s="1"/>
  <c r="W418" i="2"/>
  <c r="X418" i="2" s="1"/>
  <c r="W406" i="2"/>
  <c r="X406" i="2" s="1"/>
  <c r="W394" i="2"/>
  <c r="X394" i="2" s="1"/>
  <c r="W382" i="2"/>
  <c r="X382" i="2" s="1"/>
  <c r="Y382" i="2" s="1"/>
  <c r="W370" i="2"/>
  <c r="X370" i="2" s="1"/>
  <c r="Y370" i="2" s="1"/>
  <c r="W358" i="2"/>
  <c r="X358" i="2" s="1"/>
  <c r="Y358" i="2" s="1"/>
  <c r="W346" i="2"/>
  <c r="X346" i="2" s="1"/>
  <c r="Y346" i="2" s="1"/>
  <c r="W334" i="2"/>
  <c r="X334" i="2" s="1"/>
  <c r="Y334" i="2" s="1"/>
  <c r="W322" i="2"/>
  <c r="X322" i="2" s="1"/>
  <c r="Y322" i="2" s="1"/>
  <c r="W310" i="2"/>
  <c r="X310" i="2" s="1"/>
  <c r="Y310" i="2" s="1"/>
  <c r="W298" i="2"/>
  <c r="X298" i="2" s="1"/>
  <c r="Y298" i="2" s="1"/>
  <c r="W286" i="2"/>
  <c r="X286" i="2" s="1"/>
  <c r="Y286" i="2" s="1"/>
  <c r="W274" i="2"/>
  <c r="X274" i="2" s="1"/>
  <c r="Y274" i="2" s="1"/>
  <c r="W262" i="2"/>
  <c r="X262" i="2" s="1"/>
  <c r="Y262" i="2" s="1"/>
  <c r="W250" i="2"/>
  <c r="X250" i="2" s="1"/>
  <c r="Y250" i="2" s="1"/>
  <c r="W238" i="2"/>
  <c r="X238" i="2" s="1"/>
  <c r="Y238" i="2" s="1"/>
  <c r="W226" i="2"/>
  <c r="X226" i="2" s="1"/>
  <c r="Y226" i="2" s="1"/>
  <c r="W214" i="2"/>
  <c r="X214" i="2" s="1"/>
  <c r="Y214" i="2" s="1"/>
  <c r="W202" i="2"/>
  <c r="X202" i="2" s="1"/>
  <c r="Y202" i="2" s="1"/>
  <c r="W190" i="2"/>
  <c r="X190" i="2" s="1"/>
  <c r="Y190" i="2" s="1"/>
  <c r="W178" i="2"/>
  <c r="X178" i="2" s="1"/>
  <c r="Y178" i="2" s="1"/>
  <c r="W166" i="2"/>
  <c r="X166" i="2" s="1"/>
  <c r="Y166" i="2" s="1"/>
  <c r="W154" i="2"/>
  <c r="X154" i="2" s="1"/>
  <c r="Y154" i="2" s="1"/>
  <c r="W142" i="2"/>
  <c r="X142" i="2" s="1"/>
  <c r="Y142" i="2" s="1"/>
  <c r="W130" i="2"/>
  <c r="X130" i="2" s="1"/>
  <c r="Y130" i="2" s="1"/>
  <c r="W118" i="2"/>
  <c r="X118" i="2" s="1"/>
  <c r="Y118" i="2" s="1"/>
  <c r="W141" i="2"/>
  <c r="X141" i="2" s="1"/>
  <c r="Y141" i="2" s="1"/>
  <c r="W129" i="2"/>
  <c r="X129" i="2" s="1"/>
  <c r="Y129" i="2" s="1"/>
  <c r="W117" i="2"/>
  <c r="X117" i="2" s="1"/>
  <c r="Y117" i="2" s="1"/>
  <c r="W209" i="2"/>
  <c r="X209" i="2" s="1"/>
  <c r="Y209" i="2" s="1"/>
  <c r="W197" i="2"/>
  <c r="X197" i="2" s="1"/>
  <c r="Y197" i="2" s="1"/>
  <c r="AB6" i="2"/>
  <c r="C6" i="1" s="1"/>
  <c r="AB5" i="2"/>
  <c r="C5" i="1" s="1"/>
  <c r="AB4" i="2"/>
  <c r="C4" i="1" s="1"/>
  <c r="AB3" i="2"/>
  <c r="C3" i="1" s="1"/>
  <c r="W787" i="2"/>
  <c r="X787" i="2" s="1"/>
  <c r="W775" i="2"/>
  <c r="X775" i="2" s="1"/>
  <c r="W763" i="2"/>
  <c r="X763" i="2" s="1"/>
  <c r="W751" i="2"/>
  <c r="X751" i="2" s="1"/>
  <c r="W739" i="2"/>
  <c r="X739" i="2" s="1"/>
  <c r="W727" i="2"/>
  <c r="X727" i="2" s="1"/>
  <c r="W715" i="2"/>
  <c r="X715" i="2" s="1"/>
  <c r="W703" i="2"/>
  <c r="X703" i="2" s="1"/>
  <c r="W691" i="2"/>
  <c r="X691" i="2" s="1"/>
  <c r="W185" i="2"/>
  <c r="X185" i="2" s="1"/>
  <c r="Y185" i="2" s="1"/>
  <c r="W173" i="2"/>
  <c r="X173" i="2" s="1"/>
  <c r="Y173" i="2" s="1"/>
  <c r="W161" i="2"/>
  <c r="X161" i="2" s="1"/>
  <c r="Y161" i="2" s="1"/>
  <c r="W149" i="2"/>
  <c r="X149" i="2" s="1"/>
  <c r="Y149" i="2" s="1"/>
  <c r="W137" i="2"/>
  <c r="X137" i="2" s="1"/>
  <c r="Y137" i="2" s="1"/>
  <c r="W125" i="2"/>
  <c r="X125" i="2" s="1"/>
  <c r="Y125" i="2" s="1"/>
  <c r="AB11" i="2"/>
  <c r="C11" i="1" s="1"/>
  <c r="W412" i="2"/>
  <c r="X412" i="2" s="1"/>
  <c r="W400" i="2"/>
  <c r="X400" i="2" s="1"/>
  <c r="W352" i="2"/>
  <c r="X352" i="2" s="1"/>
  <c r="Y352" i="2" s="1"/>
  <c r="W316" i="2"/>
  <c r="X316" i="2" s="1"/>
  <c r="Y316" i="2" s="1"/>
  <c r="W304" i="2"/>
  <c r="X304" i="2" s="1"/>
  <c r="Y304" i="2" s="1"/>
  <c r="W292" i="2"/>
  <c r="X292" i="2" s="1"/>
  <c r="Y292" i="2" s="1"/>
  <c r="W280" i="2"/>
  <c r="X280" i="2" s="1"/>
  <c r="Y280" i="2" s="1"/>
  <c r="W268" i="2"/>
  <c r="X268" i="2" s="1"/>
  <c r="Y268" i="2" s="1"/>
  <c r="W256" i="2"/>
  <c r="X256" i="2" s="1"/>
  <c r="Y256" i="2" s="1"/>
  <c r="W244" i="2"/>
  <c r="X244" i="2" s="1"/>
  <c r="Y244" i="2" s="1"/>
  <c r="W232" i="2"/>
  <c r="X232" i="2" s="1"/>
  <c r="Y232" i="2" s="1"/>
  <c r="W220" i="2"/>
  <c r="X220" i="2" s="1"/>
  <c r="Y220" i="2" s="1"/>
  <c r="W208" i="2"/>
  <c r="X208" i="2" s="1"/>
  <c r="Y208" i="2" s="1"/>
  <c r="W196" i="2"/>
  <c r="X196" i="2" s="1"/>
  <c r="Y196" i="2" s="1"/>
  <c r="W184" i="2"/>
  <c r="X184" i="2" s="1"/>
  <c r="Y184" i="2" s="1"/>
  <c r="W172" i="2"/>
  <c r="X172" i="2" s="1"/>
  <c r="Y172" i="2" s="1"/>
  <c r="W160" i="2"/>
  <c r="X160" i="2" s="1"/>
  <c r="Y160" i="2" s="1"/>
  <c r="W148" i="2"/>
  <c r="X148" i="2" s="1"/>
  <c r="Y148" i="2" s="1"/>
  <c r="W136" i="2"/>
  <c r="X136" i="2" s="1"/>
  <c r="Y136" i="2" s="1"/>
  <c r="W124" i="2"/>
  <c r="X124" i="2" s="1"/>
  <c r="Y124" i="2" s="1"/>
  <c r="AB10" i="2"/>
  <c r="C10" i="1" s="1"/>
  <c r="AB9" i="2"/>
  <c r="C9" i="1" s="1"/>
  <c r="W794" i="2"/>
  <c r="X794" i="2" s="1"/>
  <c r="W782" i="2"/>
  <c r="X782" i="2" s="1"/>
  <c r="W770" i="2"/>
  <c r="X770" i="2" s="1"/>
  <c r="W758" i="2"/>
  <c r="X758" i="2" s="1"/>
  <c r="W746" i="2"/>
  <c r="X746" i="2" s="1"/>
  <c r="W734" i="2"/>
  <c r="X734" i="2" s="1"/>
  <c r="W722" i="2"/>
  <c r="X722" i="2" s="1"/>
  <c r="W710" i="2"/>
  <c r="X710" i="2" s="1"/>
  <c r="W698" i="2"/>
  <c r="X698" i="2" s="1"/>
  <c r="W686" i="2"/>
  <c r="X686" i="2" s="1"/>
  <c r="W674" i="2"/>
  <c r="X674" i="2" s="1"/>
  <c r="W662" i="2"/>
  <c r="X662" i="2" s="1"/>
  <c r="W650" i="2"/>
  <c r="X650" i="2" s="1"/>
  <c r="W638" i="2"/>
  <c r="X638" i="2" s="1"/>
  <c r="W626" i="2"/>
  <c r="X626" i="2" s="1"/>
  <c r="W614" i="2"/>
  <c r="X614" i="2" s="1"/>
  <c r="W602" i="2"/>
  <c r="X602" i="2" s="1"/>
  <c r="W590" i="2"/>
  <c r="X590" i="2" s="1"/>
  <c r="W578" i="2"/>
  <c r="X578" i="2" s="1"/>
  <c r="AB8" i="2"/>
  <c r="C8" i="1" s="1"/>
  <c r="AB7" i="2"/>
  <c r="C7" i="1" s="1"/>
  <c r="W793" i="2"/>
  <c r="X793" i="2" s="1"/>
  <c r="W781" i="2"/>
  <c r="X781" i="2" s="1"/>
  <c r="W769" i="2"/>
  <c r="X769" i="2" s="1"/>
  <c r="W757" i="2"/>
  <c r="X757" i="2" s="1"/>
  <c r="W745" i="2"/>
  <c r="X745" i="2" s="1"/>
  <c r="W733" i="2"/>
  <c r="X733" i="2" s="1"/>
  <c r="W721" i="2"/>
  <c r="X721" i="2" s="1"/>
  <c r="W709" i="2"/>
  <c r="X709" i="2" s="1"/>
  <c r="W697" i="2"/>
  <c r="X697" i="2" s="1"/>
  <c r="W685" i="2"/>
  <c r="X685" i="2" s="1"/>
  <c r="W673" i="2"/>
  <c r="X673" i="2" s="1"/>
  <c r="W661" i="2"/>
  <c r="X661" i="2" s="1"/>
  <c r="W649" i="2"/>
  <c r="X649" i="2" s="1"/>
  <c r="W637" i="2"/>
  <c r="X637" i="2" s="1"/>
  <c r="W625" i="2"/>
  <c r="X625" i="2" s="1"/>
  <c r="W613" i="2"/>
  <c r="X613" i="2" s="1"/>
  <c r="W601" i="2"/>
  <c r="X601" i="2" s="1"/>
  <c r="W589" i="2"/>
  <c r="X589" i="2" s="1"/>
  <c r="W577" i="2"/>
  <c r="X577" i="2" s="1"/>
  <c r="W565" i="2"/>
  <c r="X565" i="2" s="1"/>
  <c r="W553" i="2"/>
  <c r="X553" i="2" s="1"/>
  <c r="W541" i="2"/>
  <c r="X541" i="2" s="1"/>
  <c r="W529" i="2"/>
  <c r="X529" i="2" s="1"/>
  <c r="W517" i="2"/>
  <c r="X517" i="2" s="1"/>
  <c r="W505" i="2"/>
  <c r="X505" i="2" s="1"/>
  <c r="W493" i="2"/>
  <c r="X493" i="2" s="1"/>
  <c r="W481" i="2"/>
  <c r="X481" i="2" s="1"/>
  <c r="W469" i="2"/>
  <c r="X469" i="2" s="1"/>
  <c r="W457" i="2"/>
  <c r="X457" i="2" s="1"/>
  <c r="W445" i="2"/>
  <c r="X445" i="2" s="1"/>
  <c r="W433" i="2"/>
  <c r="X433" i="2" s="1"/>
  <c r="W421" i="2"/>
  <c r="X421" i="2" s="1"/>
  <c r="W409" i="2"/>
  <c r="X409" i="2" s="1"/>
  <c r="W397" i="2"/>
  <c r="X397" i="2" s="1"/>
  <c r="W385" i="2"/>
  <c r="X385" i="2" s="1"/>
  <c r="Y385" i="2" s="1"/>
  <c r="W373" i="2"/>
  <c r="X373" i="2" s="1"/>
  <c r="Y373" i="2" s="1"/>
  <c r="W361" i="2"/>
  <c r="X361" i="2" s="1"/>
  <c r="Y361" i="2" s="1"/>
  <c r="W152" i="2"/>
  <c r="X152" i="2" s="1"/>
  <c r="Y152" i="2" s="1"/>
  <c r="W140" i="2"/>
  <c r="X140" i="2" s="1"/>
  <c r="Y140" i="2" s="1"/>
  <c r="W128" i="2"/>
  <c r="X128" i="2" s="1"/>
  <c r="Y128" i="2" s="1"/>
  <c r="W786" i="2"/>
  <c r="X786" i="2" s="1"/>
  <c r="W774" i="2"/>
  <c r="X774" i="2" s="1"/>
  <c r="W762" i="2"/>
  <c r="X762" i="2" s="1"/>
  <c r="W750" i="2"/>
  <c r="X750" i="2" s="1"/>
  <c r="W738" i="2"/>
  <c r="X738" i="2" s="1"/>
  <c r="W726" i="2"/>
  <c r="X726" i="2" s="1"/>
  <c r="W714" i="2"/>
  <c r="X714" i="2" s="1"/>
  <c r="W702" i="2"/>
  <c r="X702" i="2" s="1"/>
  <c r="W690" i="2"/>
  <c r="X690" i="2" s="1"/>
  <c r="W678" i="2"/>
  <c r="X678" i="2" s="1"/>
  <c r="W666" i="2"/>
  <c r="X666" i="2" s="1"/>
  <c r="W654" i="2"/>
  <c r="X654" i="2" s="1"/>
  <c r="W642" i="2"/>
  <c r="X642" i="2" s="1"/>
  <c r="W630" i="2"/>
  <c r="X630" i="2" s="1"/>
  <c r="W618" i="2"/>
  <c r="X618" i="2" s="1"/>
  <c r="W606" i="2"/>
  <c r="X606" i="2" s="1"/>
  <c r="W594" i="2"/>
  <c r="X594" i="2" s="1"/>
  <c r="W582" i="2"/>
  <c r="X582" i="2" s="1"/>
  <c r="W570" i="2"/>
  <c r="X570" i="2" s="1"/>
  <c r="W558" i="2"/>
  <c r="X558" i="2" s="1"/>
  <c r="W546" i="2"/>
  <c r="X546" i="2" s="1"/>
  <c r="W534" i="2"/>
  <c r="X534" i="2" s="1"/>
  <c r="W522" i="2"/>
  <c r="X522" i="2" s="1"/>
  <c r="W510" i="2"/>
  <c r="X510" i="2" s="1"/>
  <c r="W498" i="2"/>
  <c r="X498" i="2" s="1"/>
  <c r="W486" i="2"/>
  <c r="X486" i="2" s="1"/>
  <c r="W474" i="2"/>
  <c r="X474" i="2" s="1"/>
  <c r="W462" i="2"/>
  <c r="X462" i="2" s="1"/>
  <c r="W450" i="2"/>
  <c r="X450" i="2" s="1"/>
  <c r="W438" i="2"/>
  <c r="X438" i="2" s="1"/>
  <c r="W426" i="2"/>
  <c r="X426" i="2" s="1"/>
  <c r="W414" i="2"/>
  <c r="X414" i="2" s="1"/>
  <c r="W402" i="2"/>
  <c r="X402" i="2" s="1"/>
  <c r="W390" i="2"/>
  <c r="X390" i="2" s="1"/>
  <c r="W378" i="2"/>
  <c r="X378" i="2" s="1"/>
  <c r="Y378" i="2" s="1"/>
  <c r="W366" i="2"/>
  <c r="X366" i="2" s="1"/>
  <c r="Y366" i="2" s="1"/>
  <c r="W354" i="2"/>
  <c r="X354" i="2" s="1"/>
  <c r="Y354" i="2" s="1"/>
  <c r="W342" i="2"/>
  <c r="X342" i="2" s="1"/>
  <c r="Y342" i="2" s="1"/>
  <c r="W330" i="2"/>
  <c r="X330" i="2" s="1"/>
  <c r="Y330" i="2" s="1"/>
  <c r="W318" i="2"/>
  <c r="X318" i="2" s="1"/>
  <c r="Y318" i="2" s="1"/>
  <c r="W306" i="2"/>
  <c r="X306" i="2" s="1"/>
  <c r="Y306" i="2" s="1"/>
  <c r="W294" i="2"/>
  <c r="X294" i="2" s="1"/>
  <c r="Y294" i="2" s="1"/>
  <c r="W282" i="2"/>
  <c r="X282" i="2" s="1"/>
  <c r="Y282" i="2" s="1"/>
  <c r="W270" i="2"/>
  <c r="X270" i="2" s="1"/>
  <c r="Y270" i="2" s="1"/>
  <c r="W258" i="2"/>
  <c r="X258" i="2" s="1"/>
  <c r="Y258" i="2" s="1"/>
  <c r="W246" i="2"/>
  <c r="X246" i="2" s="1"/>
  <c r="Y246" i="2" s="1"/>
  <c r="W234" i="2"/>
  <c r="X234" i="2" s="1"/>
  <c r="Y234" i="2" s="1"/>
  <c r="W222" i="2"/>
  <c r="X222" i="2" s="1"/>
  <c r="Y222" i="2" s="1"/>
  <c r="W210" i="2"/>
  <c r="X210" i="2" s="1"/>
  <c r="Y210" i="2" s="1"/>
  <c r="W349" i="2"/>
  <c r="X349" i="2" s="1"/>
  <c r="Y349" i="2" s="1"/>
  <c r="W337" i="2"/>
  <c r="X337" i="2" s="1"/>
  <c r="Y337" i="2" s="1"/>
  <c r="W325" i="2"/>
  <c r="X325" i="2" s="1"/>
  <c r="Y325" i="2" s="1"/>
  <c r="W313" i="2"/>
  <c r="X313" i="2" s="1"/>
  <c r="Y313" i="2" s="1"/>
  <c r="W301" i="2"/>
  <c r="X301" i="2" s="1"/>
  <c r="Y301" i="2" s="1"/>
  <c r="W289" i="2"/>
  <c r="X289" i="2" s="1"/>
  <c r="Y289" i="2" s="1"/>
  <c r="W277" i="2"/>
  <c r="X277" i="2" s="1"/>
  <c r="Y277" i="2" s="1"/>
  <c r="W265" i="2"/>
  <c r="X265" i="2" s="1"/>
  <c r="Y265" i="2" s="1"/>
  <c r="W253" i="2"/>
  <c r="X253" i="2" s="1"/>
  <c r="Y253" i="2" s="1"/>
  <c r="W241" i="2"/>
  <c r="X241" i="2" s="1"/>
  <c r="Y241" i="2" s="1"/>
  <c r="W229" i="2"/>
  <c r="X229" i="2" s="1"/>
  <c r="Y229" i="2" s="1"/>
  <c r="W217" i="2"/>
  <c r="X217" i="2" s="1"/>
  <c r="Y217" i="2" s="1"/>
  <c r="W205" i="2"/>
  <c r="X205" i="2" s="1"/>
  <c r="Y205" i="2" s="1"/>
  <c r="W193" i="2"/>
  <c r="X193" i="2" s="1"/>
  <c r="Y193" i="2" s="1"/>
  <c r="W181" i="2"/>
  <c r="X181" i="2" s="1"/>
  <c r="Y181" i="2" s="1"/>
  <c r="W169" i="2"/>
  <c r="X169" i="2" s="1"/>
  <c r="Y169" i="2" s="1"/>
  <c r="W157" i="2"/>
  <c r="X157" i="2" s="1"/>
  <c r="Y157" i="2" s="1"/>
  <c r="W145" i="2"/>
  <c r="X145" i="2" s="1"/>
  <c r="Y145" i="2" s="1"/>
  <c r="W133" i="2"/>
  <c r="X133" i="2" s="1"/>
  <c r="Y133" i="2" s="1"/>
  <c r="W121" i="2"/>
  <c r="X121" i="2" s="1"/>
  <c r="Y121" i="2" s="1"/>
  <c r="W792" i="2"/>
  <c r="X792" i="2" s="1"/>
  <c r="W780" i="2"/>
  <c r="X780" i="2" s="1"/>
  <c r="W768" i="2"/>
  <c r="X768" i="2" s="1"/>
  <c r="W756" i="2"/>
  <c r="X756" i="2" s="1"/>
  <c r="W744" i="2"/>
  <c r="X744" i="2" s="1"/>
  <c r="W732" i="2"/>
  <c r="X732" i="2" s="1"/>
  <c r="W720" i="2"/>
  <c r="X720" i="2" s="1"/>
  <c r="W708" i="2"/>
  <c r="X708" i="2" s="1"/>
  <c r="W696" i="2"/>
  <c r="X696" i="2" s="1"/>
  <c r="W684" i="2"/>
  <c r="X684" i="2" s="1"/>
  <c r="W672" i="2"/>
  <c r="X672" i="2" s="1"/>
  <c r="W660" i="2"/>
  <c r="X660" i="2" s="1"/>
  <c r="W648" i="2"/>
  <c r="X648" i="2" s="1"/>
  <c r="W636" i="2"/>
  <c r="X636" i="2" s="1"/>
  <c r="W624" i="2"/>
  <c r="X624" i="2" s="1"/>
  <c r="W612" i="2"/>
  <c r="X612" i="2" s="1"/>
  <c r="W600" i="2"/>
  <c r="X600" i="2" s="1"/>
  <c r="W588" i="2"/>
  <c r="X588" i="2" s="1"/>
  <c r="W576" i="2"/>
  <c r="X576" i="2" s="1"/>
  <c r="W564" i="2"/>
  <c r="X564" i="2" s="1"/>
  <c r="W552" i="2"/>
  <c r="X552" i="2" s="1"/>
  <c r="W540" i="2"/>
  <c r="X540" i="2" s="1"/>
  <c r="W528" i="2"/>
  <c r="X528" i="2" s="1"/>
  <c r="W516" i="2"/>
  <c r="X516" i="2" s="1"/>
  <c r="W504" i="2"/>
  <c r="X504" i="2" s="1"/>
  <c r="W492" i="2"/>
  <c r="X492" i="2" s="1"/>
  <c r="W480" i="2"/>
  <c r="X480" i="2" s="1"/>
  <c r="W468" i="2"/>
  <c r="X468" i="2" s="1"/>
  <c r="W456" i="2"/>
  <c r="X456" i="2" s="1"/>
  <c r="W444" i="2"/>
  <c r="X444" i="2" s="1"/>
  <c r="W432" i="2"/>
  <c r="X432" i="2" s="1"/>
  <c r="W420" i="2"/>
  <c r="X420" i="2" s="1"/>
  <c r="W408" i="2"/>
  <c r="X408" i="2" s="1"/>
  <c r="W396" i="2"/>
  <c r="X396" i="2" s="1"/>
  <c r="W384" i="2"/>
  <c r="X384" i="2" s="1"/>
  <c r="Y384" i="2" s="1"/>
  <c r="W372" i="2"/>
  <c r="X372" i="2" s="1"/>
  <c r="Y372" i="2" s="1"/>
  <c r="W360" i="2"/>
  <c r="X360" i="2" s="1"/>
  <c r="Y360" i="2" s="1"/>
  <c r="W348" i="2"/>
  <c r="X348" i="2" s="1"/>
  <c r="Y348" i="2" s="1"/>
  <c r="W336" i="2"/>
  <c r="X336" i="2" s="1"/>
  <c r="Y336" i="2" s="1"/>
  <c r="W324" i="2"/>
  <c r="X324" i="2" s="1"/>
  <c r="Y324" i="2" s="1"/>
  <c r="W312" i="2"/>
  <c r="X312" i="2" s="1"/>
  <c r="Y312" i="2" s="1"/>
  <c r="W300" i="2"/>
  <c r="X300" i="2" s="1"/>
  <c r="Y300" i="2" s="1"/>
  <c r="W288" i="2"/>
  <c r="X288" i="2" s="1"/>
  <c r="Y288" i="2" s="1"/>
  <c r="W276" i="2"/>
  <c r="X276" i="2" s="1"/>
  <c r="Y276" i="2" s="1"/>
  <c r="W264" i="2"/>
  <c r="X264" i="2" s="1"/>
  <c r="Y264" i="2" s="1"/>
  <c r="W252" i="2"/>
  <c r="X252" i="2" s="1"/>
  <c r="Y252" i="2" s="1"/>
  <c r="W240" i="2"/>
  <c r="X240" i="2" s="1"/>
  <c r="Y240" i="2" s="1"/>
  <c r="W228" i="2"/>
  <c r="X228" i="2" s="1"/>
  <c r="Y228" i="2" s="1"/>
  <c r="W216" i="2"/>
  <c r="X216" i="2" s="1"/>
  <c r="Y216" i="2" s="1"/>
  <c r="W204" i="2"/>
  <c r="X204" i="2" s="1"/>
  <c r="Y204" i="2" s="1"/>
  <c r="W192" i="2"/>
  <c r="X192" i="2" s="1"/>
  <c r="Y192" i="2" s="1"/>
  <c r="W180" i="2"/>
  <c r="X180" i="2" s="1"/>
  <c r="Y180" i="2" s="1"/>
  <c r="W168" i="2"/>
  <c r="X168" i="2" s="1"/>
  <c r="Y168" i="2" s="1"/>
  <c r="W156" i="2"/>
  <c r="X156" i="2" s="1"/>
  <c r="Y156" i="2" s="1"/>
  <c r="W144" i="2"/>
  <c r="X144" i="2" s="1"/>
  <c r="Y144" i="2" s="1"/>
  <c r="W132" i="2"/>
  <c r="X132" i="2" s="1"/>
  <c r="Y132" i="2" s="1"/>
  <c r="W120" i="2"/>
  <c r="X120" i="2" s="1"/>
  <c r="Y120" i="2" s="1"/>
  <c r="W791" i="2"/>
  <c r="X791" i="2" s="1"/>
  <c r="W779" i="2"/>
  <c r="X779" i="2" s="1"/>
  <c r="W767" i="2"/>
  <c r="X767" i="2" s="1"/>
  <c r="W755" i="2"/>
  <c r="X755" i="2" s="1"/>
  <c r="W743" i="2"/>
  <c r="X743" i="2" s="1"/>
  <c r="W731" i="2"/>
  <c r="X731" i="2" s="1"/>
  <c r="W719" i="2"/>
  <c r="X719" i="2" s="1"/>
  <c r="W707" i="2"/>
  <c r="X707" i="2" s="1"/>
  <c r="W695" i="2"/>
  <c r="X695" i="2" s="1"/>
  <c r="W683" i="2"/>
  <c r="X683" i="2" s="1"/>
  <c r="W671" i="2"/>
  <c r="X671" i="2" s="1"/>
  <c r="W659" i="2"/>
  <c r="X659" i="2" s="1"/>
  <c r="W647" i="2"/>
  <c r="X647" i="2" s="1"/>
  <c r="W635" i="2"/>
  <c r="X635" i="2" s="1"/>
  <c r="W623" i="2"/>
  <c r="X623" i="2" s="1"/>
  <c r="W611" i="2"/>
  <c r="X611" i="2" s="1"/>
  <c r="W599" i="2"/>
  <c r="X599" i="2" s="1"/>
  <c r="W587" i="2"/>
  <c r="X587" i="2" s="1"/>
  <c r="W575" i="2"/>
  <c r="X575" i="2" s="1"/>
  <c r="W563" i="2"/>
  <c r="X563" i="2" s="1"/>
  <c r="W551" i="2"/>
  <c r="X551" i="2" s="1"/>
  <c r="W539" i="2"/>
  <c r="X539" i="2" s="1"/>
  <c r="W527" i="2"/>
  <c r="X527" i="2" s="1"/>
  <c r="W515" i="2"/>
  <c r="X515" i="2" s="1"/>
  <c r="W503" i="2"/>
  <c r="X503" i="2" s="1"/>
  <c r="W491" i="2"/>
  <c r="X491" i="2" s="1"/>
  <c r="W479" i="2"/>
  <c r="X479" i="2" s="1"/>
  <c r="W467" i="2"/>
  <c r="X467" i="2" s="1"/>
  <c r="W455" i="2"/>
  <c r="X455" i="2" s="1"/>
  <c r="W443" i="2"/>
  <c r="X443" i="2" s="1"/>
  <c r="W431" i="2"/>
  <c r="X431" i="2" s="1"/>
  <c r="W419" i="2"/>
  <c r="X419" i="2" s="1"/>
  <c r="W407" i="2"/>
  <c r="X407" i="2" s="1"/>
  <c r="W395" i="2"/>
  <c r="X395" i="2" s="1"/>
  <c r="W383" i="2"/>
  <c r="X383" i="2" s="1"/>
  <c r="Y383" i="2" s="1"/>
  <c r="W371" i="2"/>
  <c r="X371" i="2" s="1"/>
  <c r="Y371" i="2" s="1"/>
  <c r="W359" i="2"/>
  <c r="X359" i="2" s="1"/>
  <c r="Y359" i="2" s="1"/>
  <c r="W347" i="2"/>
  <c r="X347" i="2" s="1"/>
  <c r="Y347" i="2" s="1"/>
  <c r="W335" i="2"/>
  <c r="X335" i="2" s="1"/>
  <c r="Y335" i="2" s="1"/>
  <c r="W323" i="2"/>
  <c r="X323" i="2" s="1"/>
  <c r="Y323" i="2" s="1"/>
  <c r="W311" i="2"/>
  <c r="X311" i="2" s="1"/>
  <c r="Y311" i="2" s="1"/>
  <c r="W299" i="2"/>
  <c r="X299" i="2" s="1"/>
  <c r="Y299" i="2" s="1"/>
  <c r="W287" i="2"/>
  <c r="X287" i="2" s="1"/>
  <c r="Y287" i="2" s="1"/>
  <c r="W275" i="2"/>
  <c r="X275" i="2" s="1"/>
  <c r="Y275" i="2" s="1"/>
  <c r="W263" i="2"/>
  <c r="X263" i="2" s="1"/>
  <c r="Y263" i="2" s="1"/>
  <c r="W251" i="2"/>
  <c r="X251" i="2" s="1"/>
  <c r="Y251" i="2" s="1"/>
  <c r="W239" i="2"/>
  <c r="X239" i="2" s="1"/>
  <c r="Y239" i="2" s="1"/>
  <c r="W227" i="2"/>
  <c r="X227" i="2" s="1"/>
  <c r="Y227" i="2" s="1"/>
  <c r="W215" i="2"/>
  <c r="X215" i="2" s="1"/>
  <c r="Y215" i="2" s="1"/>
  <c r="W203" i="2"/>
  <c r="X203" i="2" s="1"/>
  <c r="Y203" i="2" s="1"/>
  <c r="W191" i="2"/>
  <c r="X191" i="2" s="1"/>
  <c r="Y191" i="2" s="1"/>
  <c r="W179" i="2"/>
  <c r="X179" i="2" s="1"/>
  <c r="Y179" i="2" s="1"/>
  <c r="W167" i="2"/>
  <c r="X167" i="2" s="1"/>
  <c r="Y167" i="2" s="1"/>
  <c r="W155" i="2"/>
  <c r="X155" i="2" s="1"/>
  <c r="Y155" i="2" s="1"/>
  <c r="W143" i="2"/>
  <c r="X143" i="2" s="1"/>
  <c r="Y143" i="2" s="1"/>
  <c r="W131" i="2"/>
  <c r="X131" i="2" s="1"/>
  <c r="Y131" i="2" s="1"/>
  <c r="W119" i="2"/>
  <c r="X119" i="2" s="1"/>
  <c r="Y119" i="2" s="1"/>
  <c r="W789" i="2"/>
  <c r="X789" i="2" s="1"/>
  <c r="W777" i="2"/>
  <c r="X777" i="2" s="1"/>
  <c r="W765" i="2"/>
  <c r="X765" i="2" s="1"/>
  <c r="W753" i="2"/>
  <c r="X753" i="2" s="1"/>
  <c r="W741" i="2"/>
  <c r="X741" i="2" s="1"/>
  <c r="W729" i="2"/>
  <c r="X729" i="2" s="1"/>
  <c r="W717" i="2"/>
  <c r="X717" i="2" s="1"/>
  <c r="W705" i="2"/>
  <c r="X705" i="2" s="1"/>
  <c r="W693" i="2"/>
  <c r="X693" i="2" s="1"/>
  <c r="W681" i="2"/>
  <c r="X681" i="2" s="1"/>
  <c r="W669" i="2"/>
  <c r="X669" i="2" s="1"/>
  <c r="W657" i="2"/>
  <c r="X657" i="2" s="1"/>
  <c r="W645" i="2"/>
  <c r="X645" i="2" s="1"/>
  <c r="W633" i="2"/>
  <c r="X633" i="2" s="1"/>
  <c r="W621" i="2"/>
  <c r="X621" i="2" s="1"/>
  <c r="W609" i="2"/>
  <c r="X609" i="2" s="1"/>
  <c r="W597" i="2"/>
  <c r="X597" i="2" s="1"/>
  <c r="W585" i="2"/>
  <c r="X585" i="2" s="1"/>
  <c r="W573" i="2"/>
  <c r="X573" i="2" s="1"/>
  <c r="W561" i="2"/>
  <c r="X561" i="2" s="1"/>
  <c r="W549" i="2"/>
  <c r="X549" i="2" s="1"/>
  <c r="W537" i="2"/>
  <c r="X537" i="2" s="1"/>
  <c r="W525" i="2"/>
  <c r="X525" i="2" s="1"/>
  <c r="W513" i="2"/>
  <c r="X513" i="2" s="1"/>
  <c r="W501" i="2"/>
  <c r="X501" i="2" s="1"/>
  <c r="W489" i="2"/>
  <c r="X489" i="2" s="1"/>
  <c r="W477" i="2"/>
  <c r="X477" i="2" s="1"/>
  <c r="W465" i="2"/>
  <c r="X465" i="2" s="1"/>
  <c r="W453" i="2"/>
  <c r="X453" i="2" s="1"/>
  <c r="W441" i="2"/>
  <c r="X441" i="2" s="1"/>
  <c r="W429" i="2"/>
  <c r="X429" i="2" s="1"/>
  <c r="W417" i="2"/>
  <c r="X417" i="2" s="1"/>
  <c r="W405" i="2"/>
  <c r="X405" i="2" s="1"/>
  <c r="W393" i="2"/>
  <c r="X393" i="2" s="1"/>
  <c r="W381" i="2"/>
  <c r="X381" i="2" s="1"/>
  <c r="Y381" i="2" s="1"/>
  <c r="W369" i="2"/>
  <c r="X369" i="2" s="1"/>
  <c r="Y369" i="2" s="1"/>
  <c r="W357" i="2"/>
  <c r="X357" i="2" s="1"/>
  <c r="Y357" i="2" s="1"/>
  <c r="W345" i="2"/>
  <c r="X345" i="2" s="1"/>
  <c r="Y345" i="2" s="1"/>
  <c r="W333" i="2"/>
  <c r="X333" i="2" s="1"/>
  <c r="Y333" i="2" s="1"/>
  <c r="W321" i="2"/>
  <c r="X321" i="2" s="1"/>
  <c r="Y321" i="2" s="1"/>
  <c r="W309" i="2"/>
  <c r="X309" i="2" s="1"/>
  <c r="Y309" i="2" s="1"/>
  <c r="W297" i="2"/>
  <c r="X297" i="2" s="1"/>
  <c r="Y297" i="2" s="1"/>
  <c r="W285" i="2"/>
  <c r="X285" i="2" s="1"/>
  <c r="Y285" i="2" s="1"/>
  <c r="W273" i="2"/>
  <c r="X273" i="2" s="1"/>
  <c r="Y273" i="2" s="1"/>
  <c r="W261" i="2"/>
  <c r="X261" i="2" s="1"/>
  <c r="Y261" i="2" s="1"/>
  <c r="W249" i="2"/>
  <c r="X249" i="2" s="1"/>
  <c r="Y249" i="2" s="1"/>
  <c r="W237" i="2"/>
  <c r="X237" i="2" s="1"/>
  <c r="Y237" i="2" s="1"/>
  <c r="W225" i="2"/>
  <c r="X225" i="2" s="1"/>
  <c r="Y225" i="2" s="1"/>
  <c r="W213" i="2"/>
  <c r="X213" i="2" s="1"/>
  <c r="Y213" i="2" s="1"/>
  <c r="W201" i="2"/>
  <c r="X201" i="2" s="1"/>
  <c r="Y201" i="2" s="1"/>
  <c r="W189" i="2"/>
  <c r="X189" i="2" s="1"/>
  <c r="Y189" i="2" s="1"/>
  <c r="W177" i="2"/>
  <c r="X177" i="2" s="1"/>
  <c r="Y177" i="2" s="1"/>
  <c r="W165" i="2"/>
  <c r="X165" i="2" s="1"/>
  <c r="Y165" i="2" s="1"/>
  <c r="W153" i="2"/>
  <c r="X153" i="2" s="1"/>
  <c r="Y153" i="2" s="1"/>
  <c r="W679" i="2"/>
  <c r="X679" i="2" s="1"/>
  <c r="W667" i="2"/>
  <c r="X667" i="2" s="1"/>
  <c r="W655" i="2"/>
  <c r="X655" i="2" s="1"/>
  <c r="W643" i="2"/>
  <c r="X643" i="2" s="1"/>
  <c r="W631" i="2"/>
  <c r="X631" i="2" s="1"/>
  <c r="W619" i="2"/>
  <c r="X619" i="2" s="1"/>
  <c r="W607" i="2"/>
  <c r="X607" i="2" s="1"/>
  <c r="W595" i="2"/>
  <c r="X595" i="2" s="1"/>
  <c r="W583" i="2"/>
  <c r="X583" i="2" s="1"/>
  <c r="W571" i="2"/>
  <c r="X571" i="2" s="1"/>
  <c r="W559" i="2"/>
  <c r="X559" i="2" s="1"/>
  <c r="W547" i="2"/>
  <c r="X547" i="2" s="1"/>
  <c r="W535" i="2"/>
  <c r="X535" i="2" s="1"/>
  <c r="W523" i="2"/>
  <c r="X523" i="2" s="1"/>
  <c r="W511" i="2"/>
  <c r="X511" i="2" s="1"/>
  <c r="W499" i="2"/>
  <c r="X499" i="2" s="1"/>
  <c r="W487" i="2"/>
  <c r="X487" i="2" s="1"/>
  <c r="W475" i="2"/>
  <c r="X475" i="2" s="1"/>
  <c r="W463" i="2"/>
  <c r="X463" i="2" s="1"/>
  <c r="W451" i="2"/>
  <c r="X451" i="2" s="1"/>
  <c r="W439" i="2"/>
  <c r="X439" i="2" s="1"/>
  <c r="W427" i="2"/>
  <c r="X427" i="2" s="1"/>
  <c r="W415" i="2"/>
  <c r="X415" i="2" s="1"/>
  <c r="W403" i="2"/>
  <c r="X403" i="2" s="1"/>
  <c r="W391" i="2"/>
  <c r="X391" i="2" s="1"/>
  <c r="W379" i="2"/>
  <c r="X379" i="2" s="1"/>
  <c r="Y379" i="2" s="1"/>
  <c r="W367" i="2"/>
  <c r="X367" i="2" s="1"/>
  <c r="Y367" i="2" s="1"/>
  <c r="W355" i="2"/>
  <c r="X355" i="2" s="1"/>
  <c r="Y355" i="2" s="1"/>
  <c r="W343" i="2"/>
  <c r="X343" i="2" s="1"/>
  <c r="Y343" i="2" s="1"/>
  <c r="W331" i="2"/>
  <c r="X331" i="2" s="1"/>
  <c r="Y331" i="2" s="1"/>
  <c r="W319" i="2"/>
  <c r="X319" i="2" s="1"/>
  <c r="Y319" i="2" s="1"/>
  <c r="W307" i="2"/>
  <c r="X307" i="2" s="1"/>
  <c r="Y307" i="2" s="1"/>
  <c r="W295" i="2"/>
  <c r="X295" i="2" s="1"/>
  <c r="Y295" i="2" s="1"/>
  <c r="W283" i="2"/>
  <c r="X283" i="2" s="1"/>
  <c r="Y283" i="2" s="1"/>
  <c r="W271" i="2"/>
  <c r="X271" i="2" s="1"/>
  <c r="Y271" i="2" s="1"/>
  <c r="W259" i="2"/>
  <c r="X259" i="2" s="1"/>
  <c r="Y259" i="2" s="1"/>
  <c r="W247" i="2"/>
  <c r="X247" i="2" s="1"/>
  <c r="Y247" i="2" s="1"/>
  <c r="W235" i="2"/>
  <c r="X235" i="2" s="1"/>
  <c r="Y235" i="2" s="1"/>
  <c r="W223" i="2"/>
  <c r="X223" i="2" s="1"/>
  <c r="Y223" i="2" s="1"/>
  <c r="W211" i="2"/>
  <c r="X211" i="2" s="1"/>
  <c r="Y211" i="2" s="1"/>
  <c r="W199" i="2"/>
  <c r="X199" i="2" s="1"/>
  <c r="Y199" i="2" s="1"/>
  <c r="W187" i="2"/>
  <c r="X187" i="2" s="1"/>
  <c r="Y187" i="2" s="1"/>
  <c r="W175" i="2"/>
  <c r="X175" i="2" s="1"/>
  <c r="Y175" i="2" s="1"/>
  <c r="W163" i="2"/>
  <c r="X163" i="2" s="1"/>
  <c r="Y163" i="2" s="1"/>
  <c r="W151" i="2"/>
  <c r="X151" i="2" s="1"/>
  <c r="Y151" i="2" s="1"/>
  <c r="W139" i="2"/>
  <c r="X139" i="2" s="1"/>
  <c r="Y139" i="2" s="1"/>
  <c r="W127" i="2"/>
  <c r="X127" i="2" s="1"/>
  <c r="Y127" i="2" s="1"/>
  <c r="W198" i="2"/>
  <c r="X198" i="2" s="1"/>
  <c r="Y198" i="2" s="1"/>
  <c r="W186" i="2"/>
  <c r="X186" i="2" s="1"/>
  <c r="Y186" i="2" s="1"/>
  <c r="W174" i="2"/>
  <c r="X174" i="2" s="1"/>
  <c r="Y174" i="2" s="1"/>
  <c r="W162" i="2"/>
  <c r="X162" i="2" s="1"/>
  <c r="Y162" i="2" s="1"/>
  <c r="W150" i="2"/>
  <c r="X150" i="2" s="1"/>
  <c r="Y150" i="2" s="1"/>
  <c r="W138" i="2"/>
  <c r="X138" i="2" s="1"/>
  <c r="Y138" i="2" s="1"/>
  <c r="W126" i="2"/>
  <c r="X126" i="2" s="1"/>
  <c r="Y126" i="2" s="1"/>
  <c r="W797" i="2"/>
  <c r="X797" i="2" s="1"/>
  <c r="W785" i="2"/>
  <c r="X785" i="2" s="1"/>
  <c r="W773" i="2"/>
  <c r="X773" i="2" s="1"/>
  <c r="W761" i="2"/>
  <c r="X761" i="2" s="1"/>
  <c r="W749" i="2"/>
  <c r="X749" i="2" s="1"/>
  <c r="W737" i="2"/>
  <c r="X737" i="2" s="1"/>
  <c r="W725" i="2"/>
  <c r="X725" i="2" s="1"/>
  <c r="W713" i="2"/>
  <c r="X713" i="2" s="1"/>
  <c r="W701" i="2"/>
  <c r="X701" i="2" s="1"/>
  <c r="W689" i="2"/>
  <c r="X689" i="2" s="1"/>
  <c r="W677" i="2"/>
  <c r="X677" i="2" s="1"/>
  <c r="W665" i="2"/>
  <c r="X665" i="2" s="1"/>
  <c r="W653" i="2"/>
  <c r="X653" i="2" s="1"/>
  <c r="W641" i="2"/>
  <c r="X641" i="2" s="1"/>
  <c r="W629" i="2"/>
  <c r="X629" i="2" s="1"/>
  <c r="W617" i="2"/>
  <c r="X617" i="2" s="1"/>
  <c r="W605" i="2"/>
  <c r="X605" i="2" s="1"/>
  <c r="W593" i="2"/>
  <c r="X593" i="2" s="1"/>
  <c r="W581" i="2"/>
  <c r="X581" i="2" s="1"/>
  <c r="W569" i="2"/>
  <c r="X569" i="2" s="1"/>
  <c r="W557" i="2"/>
  <c r="X557" i="2" s="1"/>
  <c r="W545" i="2"/>
  <c r="X545" i="2" s="1"/>
  <c r="W533" i="2"/>
  <c r="X533" i="2" s="1"/>
  <c r="W521" i="2"/>
  <c r="X521" i="2" s="1"/>
  <c r="W509" i="2"/>
  <c r="X509" i="2" s="1"/>
  <c r="W497" i="2"/>
  <c r="X497" i="2" s="1"/>
  <c r="W485" i="2"/>
  <c r="X485" i="2" s="1"/>
  <c r="W473" i="2"/>
  <c r="X473" i="2" s="1"/>
  <c r="W461" i="2"/>
  <c r="X461" i="2" s="1"/>
  <c r="W449" i="2"/>
  <c r="X449" i="2" s="1"/>
  <c r="W437" i="2"/>
  <c r="X437" i="2" s="1"/>
  <c r="W425" i="2"/>
  <c r="X425" i="2" s="1"/>
  <c r="W413" i="2"/>
  <c r="X413" i="2" s="1"/>
  <c r="W401" i="2"/>
  <c r="X401" i="2" s="1"/>
  <c r="W389" i="2"/>
  <c r="X389" i="2" s="1"/>
  <c r="W377" i="2"/>
  <c r="X377" i="2" s="1"/>
  <c r="Y377" i="2" s="1"/>
  <c r="W365" i="2"/>
  <c r="X365" i="2" s="1"/>
  <c r="Y365" i="2" s="1"/>
  <c r="W353" i="2"/>
  <c r="X353" i="2" s="1"/>
  <c r="Y353" i="2" s="1"/>
  <c r="W341" i="2"/>
  <c r="X341" i="2" s="1"/>
  <c r="Y341" i="2" s="1"/>
  <c r="W329" i="2"/>
  <c r="X329" i="2" s="1"/>
  <c r="Y329" i="2" s="1"/>
  <c r="W317" i="2"/>
  <c r="X317" i="2" s="1"/>
  <c r="Y317" i="2" s="1"/>
  <c r="W305" i="2"/>
  <c r="X305" i="2" s="1"/>
  <c r="Y305" i="2" s="1"/>
  <c r="W293" i="2"/>
  <c r="X293" i="2" s="1"/>
  <c r="Y293" i="2" s="1"/>
  <c r="W281" i="2"/>
  <c r="X281" i="2" s="1"/>
  <c r="Y281" i="2" s="1"/>
  <c r="W269" i="2"/>
  <c r="X269" i="2" s="1"/>
  <c r="Y269" i="2" s="1"/>
  <c r="W257" i="2"/>
  <c r="X257" i="2" s="1"/>
  <c r="Y257" i="2" s="1"/>
  <c r="W245" i="2"/>
  <c r="X245" i="2" s="1"/>
  <c r="Y245" i="2" s="1"/>
  <c r="W233" i="2"/>
  <c r="X233" i="2" s="1"/>
  <c r="Y233" i="2" s="1"/>
  <c r="W221" i="2"/>
  <c r="X221" i="2" s="1"/>
  <c r="Y221" i="2" s="1"/>
  <c r="W388" i="2"/>
  <c r="X388" i="2" s="1"/>
  <c r="Y388" i="2" s="1"/>
  <c r="W376" i="2"/>
  <c r="X376" i="2" s="1"/>
  <c r="Y376" i="2" s="1"/>
  <c r="W364" i="2"/>
  <c r="X364" i="2" s="1"/>
  <c r="Y364" i="2" s="1"/>
  <c r="W340" i="2"/>
  <c r="X340" i="2" s="1"/>
  <c r="Y340" i="2" s="1"/>
  <c r="W328" i="2"/>
  <c r="X328" i="2" s="1"/>
  <c r="Y328" i="2" s="1"/>
  <c r="W795" i="2"/>
  <c r="X795" i="2" s="1"/>
  <c r="W783" i="2"/>
  <c r="X783" i="2" s="1"/>
  <c r="W771" i="2"/>
  <c r="X771" i="2" s="1"/>
  <c r="W759" i="2"/>
  <c r="X759" i="2" s="1"/>
  <c r="W747" i="2"/>
  <c r="X747" i="2" s="1"/>
  <c r="W735" i="2"/>
  <c r="X735" i="2" s="1"/>
  <c r="W723" i="2"/>
  <c r="X723" i="2" s="1"/>
  <c r="W711" i="2"/>
  <c r="X711" i="2" s="1"/>
  <c r="W699" i="2"/>
  <c r="X699" i="2" s="1"/>
  <c r="W687" i="2"/>
  <c r="X687" i="2" s="1"/>
  <c r="W675" i="2"/>
  <c r="X675" i="2" s="1"/>
  <c r="W663" i="2"/>
  <c r="X663" i="2" s="1"/>
  <c r="W651" i="2"/>
  <c r="X651" i="2" s="1"/>
  <c r="W639" i="2"/>
  <c r="X639" i="2" s="1"/>
  <c r="W627" i="2"/>
  <c r="X627" i="2" s="1"/>
  <c r="W615" i="2"/>
  <c r="X615" i="2" s="1"/>
  <c r="W603" i="2"/>
  <c r="X603" i="2" s="1"/>
  <c r="W591" i="2"/>
  <c r="X591" i="2" s="1"/>
  <c r="W579" i="2"/>
  <c r="X579" i="2" s="1"/>
  <c r="W567" i="2"/>
  <c r="X567" i="2" s="1"/>
  <c r="W555" i="2"/>
  <c r="X555" i="2" s="1"/>
  <c r="W543" i="2"/>
  <c r="X543" i="2" s="1"/>
  <c r="W531" i="2"/>
  <c r="X531" i="2" s="1"/>
  <c r="W519" i="2"/>
  <c r="X519" i="2" s="1"/>
  <c r="W507" i="2"/>
  <c r="X507" i="2" s="1"/>
  <c r="W495" i="2"/>
  <c r="X495" i="2" s="1"/>
  <c r="W483" i="2"/>
  <c r="X483" i="2" s="1"/>
  <c r="W471" i="2"/>
  <c r="X471" i="2" s="1"/>
  <c r="W459" i="2"/>
  <c r="X459" i="2" s="1"/>
  <c r="W447" i="2"/>
  <c r="X447" i="2" s="1"/>
  <c r="W435" i="2"/>
  <c r="X435" i="2" s="1"/>
  <c r="W423" i="2"/>
  <c r="X423" i="2" s="1"/>
  <c r="W411" i="2"/>
  <c r="X411" i="2" s="1"/>
  <c r="W399" i="2"/>
  <c r="X399" i="2" s="1"/>
  <c r="W387" i="2"/>
  <c r="X387" i="2" s="1"/>
  <c r="Y387" i="2" s="1"/>
  <c r="W375" i="2"/>
  <c r="X375" i="2" s="1"/>
  <c r="Y375" i="2" s="1"/>
  <c r="W363" i="2"/>
  <c r="X363" i="2" s="1"/>
  <c r="Y363" i="2" s="1"/>
  <c r="W351" i="2"/>
  <c r="X351" i="2" s="1"/>
  <c r="Y351" i="2" s="1"/>
  <c r="W339" i="2"/>
  <c r="X339" i="2" s="1"/>
  <c r="Y339" i="2" s="1"/>
  <c r="W327" i="2"/>
  <c r="X327" i="2" s="1"/>
  <c r="Y327" i="2" s="1"/>
  <c r="W315" i="2"/>
  <c r="X315" i="2" s="1"/>
  <c r="Y315" i="2" s="1"/>
  <c r="W303" i="2"/>
  <c r="X303" i="2" s="1"/>
  <c r="Y303" i="2" s="1"/>
  <c r="W291" i="2"/>
  <c r="X291" i="2" s="1"/>
  <c r="Y291" i="2" s="1"/>
  <c r="W279" i="2"/>
  <c r="X279" i="2" s="1"/>
  <c r="Y279" i="2" s="1"/>
  <c r="W267" i="2"/>
  <c r="X267" i="2" s="1"/>
  <c r="Y267" i="2" s="1"/>
  <c r="W255" i="2"/>
  <c r="X255" i="2" s="1"/>
  <c r="Y255" i="2" s="1"/>
  <c r="W243" i="2"/>
  <c r="X243" i="2" s="1"/>
  <c r="Y243" i="2" s="1"/>
  <c r="W231" i="2"/>
  <c r="X231" i="2" s="1"/>
  <c r="Y231" i="2" s="1"/>
  <c r="W219" i="2"/>
  <c r="X219" i="2" s="1"/>
  <c r="Y219" i="2" s="1"/>
  <c r="W207" i="2"/>
  <c r="X207" i="2" s="1"/>
  <c r="Y207" i="2" s="1"/>
  <c r="W195" i="2"/>
  <c r="X195" i="2" s="1"/>
  <c r="Y195" i="2" s="1"/>
  <c r="W183" i="2"/>
  <c r="X183" i="2" s="1"/>
  <c r="Y183" i="2" s="1"/>
  <c r="W171" i="2"/>
  <c r="X171" i="2" s="1"/>
  <c r="Y171" i="2" s="1"/>
  <c r="W159" i="2"/>
  <c r="X159" i="2" s="1"/>
  <c r="Y159" i="2" s="1"/>
  <c r="W147" i="2"/>
  <c r="X147" i="2" s="1"/>
  <c r="Y147" i="2" s="1"/>
  <c r="W135" i="2"/>
  <c r="X135" i="2" s="1"/>
  <c r="Y135" i="2" s="1"/>
  <c r="W123" i="2"/>
  <c r="X123" i="2" s="1"/>
  <c r="Y123" i="2" s="1"/>
  <c r="D102" i="1" l="1"/>
  <c r="G83" i="1"/>
  <c r="G92" i="1"/>
  <c r="D80" i="1"/>
  <c r="D88" i="1"/>
  <c r="D60" i="1"/>
  <c r="D121" i="1"/>
  <c r="D64" i="1"/>
  <c r="G29" i="1"/>
  <c r="D87" i="1"/>
  <c r="G75" i="1"/>
  <c r="D56" i="1"/>
  <c r="G54" i="1"/>
  <c r="G98" i="1"/>
  <c r="D53" i="1"/>
  <c r="D70" i="1"/>
  <c r="G74" i="1"/>
  <c r="G69" i="1"/>
  <c r="D84" i="1"/>
  <c r="D52" i="1"/>
  <c r="G45" i="1"/>
  <c r="D48" i="1"/>
  <c r="G46" i="1"/>
  <c r="D95" i="1"/>
  <c r="D129" i="1"/>
  <c r="D61" i="1"/>
  <c r="D59" i="1"/>
  <c r="D94" i="1"/>
  <c r="D63" i="1"/>
  <c r="D108" i="1"/>
  <c r="D47" i="1"/>
  <c r="G65" i="1"/>
  <c r="D71" i="1"/>
  <c r="D143" i="1"/>
  <c r="G62" i="1"/>
  <c r="D89" i="1"/>
  <c r="D106" i="1"/>
  <c r="D57" i="1"/>
  <c r="D122" i="1"/>
  <c r="D133" i="1"/>
  <c r="D97" i="1"/>
  <c r="G35" i="1"/>
  <c r="D85" i="1"/>
  <c r="D90" i="1"/>
  <c r="G58" i="1"/>
  <c r="D93" i="1"/>
  <c r="D124" i="1"/>
  <c r="D78" i="1"/>
  <c r="D112" i="1"/>
  <c r="D105" i="1"/>
  <c r="D33" i="1"/>
  <c r="D39" i="1"/>
  <c r="G37" i="1"/>
  <c r="D41" i="1"/>
  <c r="D36" i="1"/>
  <c r="D40" i="1"/>
  <c r="D72" i="1"/>
  <c r="D99" i="1"/>
  <c r="D144" i="1"/>
  <c r="G50" i="1"/>
  <c r="AC543" i="2"/>
  <c r="Y543" i="2"/>
  <c r="AC761" i="2"/>
  <c r="Y761" i="2"/>
  <c r="AC711" i="2"/>
  <c r="Y711" i="2"/>
  <c r="AC777" i="2"/>
  <c r="Y777" i="2"/>
  <c r="AC420" i="2"/>
  <c r="Y420" i="2"/>
  <c r="AC619" i="2"/>
  <c r="Y619" i="2"/>
  <c r="AC762" i="2"/>
  <c r="Y762" i="2"/>
  <c r="AC721" i="2"/>
  <c r="Y721" i="2"/>
  <c r="AC758" i="2"/>
  <c r="Y758" i="2"/>
  <c r="AC487" i="2"/>
  <c r="Y487" i="2"/>
  <c r="AC525" i="2"/>
  <c r="Y525" i="2"/>
  <c r="AC669" i="2"/>
  <c r="Y669" i="2"/>
  <c r="AC419" i="2"/>
  <c r="Y419" i="2"/>
  <c r="AC563" i="2"/>
  <c r="Y563" i="2"/>
  <c r="AC707" i="2"/>
  <c r="Y707" i="2"/>
  <c r="AC600" i="2"/>
  <c r="Y600" i="2"/>
  <c r="AC486" i="2"/>
  <c r="Y486" i="2"/>
  <c r="AC630" i="2"/>
  <c r="Y630" i="2"/>
  <c r="AC774" i="2"/>
  <c r="Y774" i="2"/>
  <c r="AC445" i="2"/>
  <c r="Y445" i="2"/>
  <c r="AC589" i="2"/>
  <c r="Y589" i="2"/>
  <c r="AC733" i="2"/>
  <c r="Y733" i="2"/>
  <c r="AC626" i="2"/>
  <c r="Y626" i="2"/>
  <c r="AC770" i="2"/>
  <c r="Y770" i="2"/>
  <c r="AC412" i="2"/>
  <c r="Y412" i="2"/>
  <c r="AC526" i="2"/>
  <c r="Y526" i="2"/>
  <c r="AC712" i="2"/>
  <c r="Y712" i="2"/>
  <c r="AC471" i="2"/>
  <c r="Y471" i="2"/>
  <c r="AC615" i="2"/>
  <c r="Y615" i="2"/>
  <c r="AC759" i="2"/>
  <c r="Y759" i="2"/>
  <c r="AC401" i="2"/>
  <c r="Y401" i="2"/>
  <c r="AC545" i="2"/>
  <c r="Y545" i="2"/>
  <c r="AC689" i="2"/>
  <c r="Y689" i="2"/>
  <c r="AC499" i="2"/>
  <c r="Y499" i="2"/>
  <c r="AC643" i="2"/>
  <c r="Y643" i="2"/>
  <c r="AC393" i="2"/>
  <c r="Y393" i="2"/>
  <c r="AC537" i="2"/>
  <c r="Y537" i="2"/>
  <c r="AC681" i="2"/>
  <c r="Y681" i="2"/>
  <c r="AC431" i="2"/>
  <c r="Y431" i="2"/>
  <c r="AC575" i="2"/>
  <c r="Y575" i="2"/>
  <c r="AC719" i="2"/>
  <c r="Y719" i="2"/>
  <c r="AC468" i="2"/>
  <c r="Y468" i="2"/>
  <c r="AC612" i="2"/>
  <c r="Y612" i="2"/>
  <c r="AC756" i="2"/>
  <c r="Y756" i="2"/>
  <c r="AC498" i="2"/>
  <c r="Y498" i="2"/>
  <c r="AC642" i="2"/>
  <c r="Y642" i="2"/>
  <c r="AC786" i="2"/>
  <c r="Y786" i="2"/>
  <c r="AC457" i="2"/>
  <c r="Y457" i="2"/>
  <c r="AC601" i="2"/>
  <c r="Y601" i="2"/>
  <c r="AC745" i="2"/>
  <c r="Y745" i="2"/>
  <c r="AC638" i="2"/>
  <c r="Y638" i="2"/>
  <c r="AC782" i="2"/>
  <c r="Y782" i="2"/>
  <c r="AC751" i="2"/>
  <c r="Y751" i="2"/>
  <c r="AC394" i="2"/>
  <c r="Y394" i="2"/>
  <c r="AC538" i="2"/>
  <c r="Y538" i="2"/>
  <c r="AC682" i="2"/>
  <c r="Y682" i="2"/>
  <c r="AC436" i="2"/>
  <c r="Y436" i="2"/>
  <c r="AC580" i="2"/>
  <c r="Y580" i="2"/>
  <c r="AC724" i="2"/>
  <c r="Y724" i="2"/>
  <c r="AC512" i="2"/>
  <c r="Y512" i="2"/>
  <c r="AC656" i="2"/>
  <c r="Y656" i="2"/>
  <c r="AC434" i="2"/>
  <c r="Y434" i="2"/>
  <c r="AC465" i="2"/>
  <c r="Y465" i="2"/>
  <c r="AC444" i="2"/>
  <c r="Y444" i="2"/>
  <c r="AC732" i="2"/>
  <c r="Y732" i="2"/>
  <c r="AC474" i="2"/>
  <c r="Y474" i="2"/>
  <c r="AC400" i="2"/>
  <c r="Y400" i="2"/>
  <c r="AC459" i="2"/>
  <c r="Y459" i="2"/>
  <c r="AC389" i="2"/>
  <c r="Y389" i="2"/>
  <c r="AC533" i="2"/>
  <c r="Y533" i="2"/>
  <c r="AC483" i="2"/>
  <c r="Y483" i="2"/>
  <c r="AC557" i="2"/>
  <c r="Y557" i="2"/>
  <c r="AC511" i="2"/>
  <c r="Y511" i="2"/>
  <c r="AC549" i="2"/>
  <c r="Y549" i="2"/>
  <c r="AC693" i="2"/>
  <c r="Y693" i="2"/>
  <c r="AC587" i="2"/>
  <c r="Y587" i="2"/>
  <c r="AC731" i="2"/>
  <c r="Y731" i="2"/>
  <c r="AC624" i="2"/>
  <c r="Y624" i="2"/>
  <c r="AC768" i="2"/>
  <c r="Y768" i="2"/>
  <c r="AC510" i="2"/>
  <c r="Y510" i="2"/>
  <c r="AC613" i="2"/>
  <c r="Y613" i="2"/>
  <c r="AC650" i="2"/>
  <c r="Y650" i="2"/>
  <c r="AC763" i="2"/>
  <c r="Y763" i="2"/>
  <c r="AC550" i="2"/>
  <c r="Y550" i="2"/>
  <c r="AC694" i="2"/>
  <c r="Y694" i="2"/>
  <c r="AC592" i="2"/>
  <c r="Y592" i="2"/>
  <c r="AC736" i="2"/>
  <c r="Y736" i="2"/>
  <c r="AC524" i="2"/>
  <c r="Y524" i="2"/>
  <c r="AC668" i="2"/>
  <c r="Y668" i="2"/>
  <c r="AC446" i="2"/>
  <c r="Y446" i="2"/>
  <c r="AC571" i="2"/>
  <c r="Y571" i="2"/>
  <c r="AC489" i="2"/>
  <c r="Y489" i="2"/>
  <c r="AC591" i="2"/>
  <c r="Y591" i="2"/>
  <c r="AC513" i="2"/>
  <c r="Y513" i="2"/>
  <c r="AC433" i="2"/>
  <c r="Y433" i="2"/>
  <c r="AC577" i="2"/>
  <c r="Y577" i="2"/>
  <c r="AC614" i="2"/>
  <c r="Y614" i="2"/>
  <c r="AC727" i="2"/>
  <c r="Y727" i="2"/>
  <c r="AC747" i="2"/>
  <c r="Y747" i="2"/>
  <c r="AC627" i="2"/>
  <c r="Y627" i="2"/>
  <c r="AC771" i="2"/>
  <c r="Y771" i="2"/>
  <c r="AC413" i="2"/>
  <c r="Y413" i="2"/>
  <c r="AC701" i="2"/>
  <c r="Y701" i="2"/>
  <c r="AC655" i="2"/>
  <c r="Y655" i="2"/>
  <c r="AC405" i="2"/>
  <c r="Y405" i="2"/>
  <c r="AC443" i="2"/>
  <c r="Y443" i="2"/>
  <c r="AC480" i="2"/>
  <c r="Y480" i="2"/>
  <c r="AC654" i="2"/>
  <c r="Y654" i="2"/>
  <c r="AC469" i="2"/>
  <c r="Y469" i="2"/>
  <c r="AC757" i="2"/>
  <c r="Y757" i="2"/>
  <c r="AC794" i="2"/>
  <c r="Y794" i="2"/>
  <c r="AC406" i="2"/>
  <c r="Y406" i="2"/>
  <c r="AC448" i="2"/>
  <c r="Y448" i="2"/>
  <c r="AC495" i="2"/>
  <c r="Y495" i="2"/>
  <c r="AC639" i="2"/>
  <c r="Y639" i="2"/>
  <c r="AC783" i="2"/>
  <c r="Y783" i="2"/>
  <c r="AC425" i="2"/>
  <c r="Y425" i="2"/>
  <c r="AC569" i="2"/>
  <c r="Y569" i="2"/>
  <c r="AC713" i="2"/>
  <c r="Y713" i="2"/>
  <c r="AC523" i="2"/>
  <c r="Y523" i="2"/>
  <c r="AC667" i="2"/>
  <c r="Y667" i="2"/>
  <c r="AC417" i="2"/>
  <c r="Y417" i="2"/>
  <c r="AC561" i="2"/>
  <c r="Y561" i="2"/>
  <c r="AC705" i="2"/>
  <c r="Y705" i="2"/>
  <c r="AC455" i="2"/>
  <c r="Y455" i="2"/>
  <c r="AC599" i="2"/>
  <c r="Y599" i="2"/>
  <c r="AC743" i="2"/>
  <c r="Y743" i="2"/>
  <c r="AC492" i="2"/>
  <c r="Y492" i="2"/>
  <c r="AC636" i="2"/>
  <c r="Y636" i="2"/>
  <c r="AC780" i="2"/>
  <c r="Y780" i="2"/>
  <c r="AC522" i="2"/>
  <c r="Y522" i="2"/>
  <c r="AC666" i="2"/>
  <c r="Y666" i="2"/>
  <c r="AC481" i="2"/>
  <c r="Y481" i="2"/>
  <c r="AC625" i="2"/>
  <c r="Y625" i="2"/>
  <c r="AC769" i="2"/>
  <c r="Y769" i="2"/>
  <c r="AC662" i="2"/>
  <c r="Y662" i="2"/>
  <c r="AC775" i="2"/>
  <c r="Y775" i="2"/>
  <c r="AC418" i="2"/>
  <c r="Y418" i="2"/>
  <c r="AC562" i="2"/>
  <c r="Y562" i="2"/>
  <c r="AC706" i="2"/>
  <c r="Y706" i="2"/>
  <c r="AC460" i="2"/>
  <c r="Y460" i="2"/>
  <c r="AC604" i="2"/>
  <c r="Y604" i="2"/>
  <c r="AC748" i="2"/>
  <c r="Y748" i="2"/>
  <c r="AC392" i="2"/>
  <c r="Y392" i="2"/>
  <c r="AC536" i="2"/>
  <c r="Y536" i="2"/>
  <c r="AC680" i="2"/>
  <c r="Y680" i="2"/>
  <c r="AC458" i="2"/>
  <c r="Y458" i="2"/>
  <c r="AC609" i="2"/>
  <c r="Y609" i="2"/>
  <c r="AC423" i="2"/>
  <c r="Y423" i="2"/>
  <c r="AC641" i="2"/>
  <c r="Y641" i="2"/>
  <c r="AC507" i="2"/>
  <c r="Y507" i="2"/>
  <c r="AC437" i="2"/>
  <c r="Y437" i="2"/>
  <c r="AC581" i="2"/>
  <c r="Y581" i="2"/>
  <c r="AC725" i="2"/>
  <c r="Y725" i="2"/>
  <c r="AC391" i="2"/>
  <c r="Y391" i="2"/>
  <c r="AC573" i="2"/>
  <c r="Y573" i="2"/>
  <c r="AC717" i="2"/>
  <c r="Y717" i="2"/>
  <c r="AC637" i="2"/>
  <c r="Y637" i="2"/>
  <c r="AC787" i="2"/>
  <c r="Y787" i="2"/>
  <c r="AC760" i="2"/>
  <c r="Y760" i="2"/>
  <c r="AC470" i="2"/>
  <c r="Y470" i="2"/>
  <c r="AC687" i="2"/>
  <c r="Y687" i="2"/>
  <c r="AC497" i="2"/>
  <c r="Y497" i="2"/>
  <c r="AC451" i="2"/>
  <c r="Y451" i="2"/>
  <c r="AC708" i="2"/>
  <c r="Y708" i="2"/>
  <c r="AC467" i="2"/>
  <c r="Y467" i="2"/>
  <c r="AC755" i="2"/>
  <c r="Y755" i="2"/>
  <c r="AC504" i="2"/>
  <c r="Y504" i="2"/>
  <c r="AC648" i="2"/>
  <c r="Y648" i="2"/>
  <c r="AC792" i="2"/>
  <c r="Y792" i="2"/>
  <c r="AC390" i="2"/>
  <c r="Y390" i="2"/>
  <c r="AC678" i="2"/>
  <c r="Y678" i="2"/>
  <c r="AC493" i="2"/>
  <c r="Y493" i="2"/>
  <c r="AC781" i="2"/>
  <c r="Y781" i="2"/>
  <c r="AC574" i="2"/>
  <c r="Y574" i="2"/>
  <c r="AC616" i="2"/>
  <c r="Y616" i="2"/>
  <c r="AC548" i="2"/>
  <c r="Y548" i="2"/>
  <c r="AC663" i="2"/>
  <c r="Y663" i="2"/>
  <c r="AC593" i="2"/>
  <c r="Y593" i="2"/>
  <c r="AC403" i="2"/>
  <c r="Y403" i="2"/>
  <c r="AC547" i="2"/>
  <c r="Y547" i="2"/>
  <c r="AC441" i="2"/>
  <c r="Y441" i="2"/>
  <c r="AC585" i="2"/>
  <c r="Y585" i="2"/>
  <c r="AC729" i="2"/>
  <c r="Y729" i="2"/>
  <c r="AC479" i="2"/>
  <c r="Y479" i="2"/>
  <c r="AC623" i="2"/>
  <c r="Y623" i="2"/>
  <c r="AC767" i="2"/>
  <c r="Y767" i="2"/>
  <c r="AC516" i="2"/>
  <c r="Y516" i="2"/>
  <c r="AC660" i="2"/>
  <c r="Y660" i="2"/>
  <c r="AC402" i="2"/>
  <c r="Y402" i="2"/>
  <c r="AC546" i="2"/>
  <c r="Y546" i="2"/>
  <c r="AC690" i="2"/>
  <c r="Y690" i="2"/>
  <c r="AC505" i="2"/>
  <c r="Y505" i="2"/>
  <c r="AC649" i="2"/>
  <c r="Y649" i="2"/>
  <c r="AC793" i="2"/>
  <c r="Y793" i="2"/>
  <c r="AC686" i="2"/>
  <c r="Y686" i="2"/>
  <c r="AC442" i="2"/>
  <c r="Y442" i="2"/>
  <c r="AC586" i="2"/>
  <c r="Y586" i="2"/>
  <c r="AC730" i="2"/>
  <c r="Y730" i="2"/>
  <c r="AC484" i="2"/>
  <c r="Y484" i="2"/>
  <c r="AC628" i="2"/>
  <c r="Y628" i="2"/>
  <c r="AC772" i="2"/>
  <c r="Y772" i="2"/>
  <c r="AC416" i="2"/>
  <c r="Y416" i="2"/>
  <c r="AC560" i="2"/>
  <c r="Y560" i="2"/>
  <c r="AC716" i="2"/>
  <c r="Y716" i="2"/>
  <c r="AC338" i="2"/>
  <c r="K338" i="1" s="1"/>
  <c r="Y338" i="2"/>
  <c r="W338" i="1" s="1"/>
  <c r="AC482" i="2"/>
  <c r="Y482" i="2"/>
  <c r="AC567" i="2"/>
  <c r="Y567" i="2"/>
  <c r="AC447" i="2"/>
  <c r="Y447" i="2"/>
  <c r="AC735" i="2"/>
  <c r="Y735" i="2"/>
  <c r="AC651" i="2"/>
  <c r="Y651" i="2"/>
  <c r="AC795" i="2"/>
  <c r="Y795" i="2"/>
  <c r="AC535" i="2"/>
  <c r="Y535" i="2"/>
  <c r="AC679" i="2"/>
  <c r="Y679" i="2"/>
  <c r="AC429" i="2"/>
  <c r="Y429" i="2"/>
  <c r="AC611" i="2"/>
  <c r="Y611" i="2"/>
  <c r="AC534" i="2"/>
  <c r="Y534" i="2"/>
  <c r="AC674" i="2"/>
  <c r="Y674" i="2"/>
  <c r="AC430" i="2"/>
  <c r="Y430" i="2"/>
  <c r="AC718" i="2"/>
  <c r="Y718" i="2"/>
  <c r="AC472" i="2"/>
  <c r="Y472" i="2"/>
  <c r="AC404" i="2"/>
  <c r="Y404" i="2"/>
  <c r="AC704" i="2"/>
  <c r="Y704" i="2"/>
  <c r="AC519" i="2"/>
  <c r="Y519" i="2"/>
  <c r="AC449" i="2"/>
  <c r="Y449" i="2"/>
  <c r="AC737" i="2"/>
  <c r="Y737" i="2"/>
  <c r="AC531" i="2"/>
  <c r="Y531" i="2"/>
  <c r="AC675" i="2"/>
  <c r="Y675" i="2"/>
  <c r="AC461" i="2"/>
  <c r="Y461" i="2"/>
  <c r="AC605" i="2"/>
  <c r="Y605" i="2"/>
  <c r="AC749" i="2"/>
  <c r="Y749" i="2"/>
  <c r="AC415" i="2"/>
  <c r="Y415" i="2"/>
  <c r="AC559" i="2"/>
  <c r="Y559" i="2"/>
  <c r="AC453" i="2"/>
  <c r="Y453" i="2"/>
  <c r="AC597" i="2"/>
  <c r="Y597" i="2"/>
  <c r="AC741" i="2"/>
  <c r="Y741" i="2"/>
  <c r="AC491" i="2"/>
  <c r="Y491" i="2"/>
  <c r="AC635" i="2"/>
  <c r="Y635" i="2"/>
  <c r="AC779" i="2"/>
  <c r="Y779" i="2"/>
  <c r="AC528" i="2"/>
  <c r="Y528" i="2"/>
  <c r="AC672" i="2"/>
  <c r="Y672" i="2"/>
  <c r="AC414" i="2"/>
  <c r="Y414" i="2"/>
  <c r="AC558" i="2"/>
  <c r="Y558" i="2"/>
  <c r="AC702" i="2"/>
  <c r="Y702" i="2"/>
  <c r="AC517" i="2"/>
  <c r="Y517" i="2"/>
  <c r="AC661" i="2"/>
  <c r="Y661" i="2"/>
  <c r="AC698" i="2"/>
  <c r="Y698" i="2"/>
  <c r="AC454" i="2"/>
  <c r="Y454" i="2"/>
  <c r="AC598" i="2"/>
  <c r="Y598" i="2"/>
  <c r="AC742" i="2"/>
  <c r="Y742" i="2"/>
  <c r="AC496" i="2"/>
  <c r="Y496" i="2"/>
  <c r="AC640" i="2"/>
  <c r="Y640" i="2"/>
  <c r="AC784" i="2"/>
  <c r="Y784" i="2"/>
  <c r="AC428" i="2"/>
  <c r="Y428" i="2"/>
  <c r="AC572" i="2"/>
  <c r="Y572" i="2"/>
  <c r="AC728" i="2"/>
  <c r="Y728" i="2"/>
  <c r="AC206" i="2"/>
  <c r="K206" i="1" s="1"/>
  <c r="Y206" i="2"/>
  <c r="AC494" i="2"/>
  <c r="Y494" i="2"/>
  <c r="AC427" i="2"/>
  <c r="Y427" i="2"/>
  <c r="AC503" i="2"/>
  <c r="Y503" i="2"/>
  <c r="AC647" i="2"/>
  <c r="Y647" i="2"/>
  <c r="AC791" i="2"/>
  <c r="Y791" i="2"/>
  <c r="AC396" i="2"/>
  <c r="Y396" i="2"/>
  <c r="AC540" i="2"/>
  <c r="Y540" i="2"/>
  <c r="AC570" i="2"/>
  <c r="Y570" i="2"/>
  <c r="AC610" i="2"/>
  <c r="Y610" i="2"/>
  <c r="AC508" i="2"/>
  <c r="Y508" i="2"/>
  <c r="AC440" i="2"/>
  <c r="Y440" i="2"/>
  <c r="AC584" i="2"/>
  <c r="Y584" i="2"/>
  <c r="AC740" i="2"/>
  <c r="Y740" i="2"/>
  <c r="AC218" i="2"/>
  <c r="K218" i="1" s="1"/>
  <c r="Y218" i="2"/>
  <c r="AC362" i="2"/>
  <c r="K362" i="1" s="1"/>
  <c r="Y362" i="2"/>
  <c r="W362" i="1" s="1"/>
  <c r="AC506" i="2"/>
  <c r="Y506" i="2"/>
  <c r="AC399" i="2"/>
  <c r="Y399" i="2"/>
  <c r="AC753" i="2"/>
  <c r="Y753" i="2"/>
  <c r="AC684" i="2"/>
  <c r="Y684" i="2"/>
  <c r="AC426" i="2"/>
  <c r="Y426" i="2"/>
  <c r="AC714" i="2"/>
  <c r="Y714" i="2"/>
  <c r="AC529" i="2"/>
  <c r="Y529" i="2"/>
  <c r="AC673" i="2"/>
  <c r="Y673" i="2"/>
  <c r="AC710" i="2"/>
  <c r="Y710" i="2"/>
  <c r="AC466" i="2"/>
  <c r="Y466" i="2"/>
  <c r="AC754" i="2"/>
  <c r="Y754" i="2"/>
  <c r="AC652" i="2"/>
  <c r="Y652" i="2"/>
  <c r="AC796" i="2"/>
  <c r="Y796" i="2"/>
  <c r="AC411" i="2"/>
  <c r="Y411" i="2"/>
  <c r="AC555" i="2"/>
  <c r="Y555" i="2"/>
  <c r="AC699" i="2"/>
  <c r="Y699" i="2"/>
  <c r="AC485" i="2"/>
  <c r="Y485" i="2"/>
  <c r="AC629" i="2"/>
  <c r="Y629" i="2"/>
  <c r="AC773" i="2"/>
  <c r="Y773" i="2"/>
  <c r="AC439" i="2"/>
  <c r="Y439" i="2"/>
  <c r="AC583" i="2"/>
  <c r="Y583" i="2"/>
  <c r="AC477" i="2"/>
  <c r="Y477" i="2"/>
  <c r="AC621" i="2"/>
  <c r="Y621" i="2"/>
  <c r="AC765" i="2"/>
  <c r="Y765" i="2"/>
  <c r="AC515" i="2"/>
  <c r="Y515" i="2"/>
  <c r="AC659" i="2"/>
  <c r="Y659" i="2"/>
  <c r="AC408" i="2"/>
  <c r="Y408" i="2"/>
  <c r="AC552" i="2"/>
  <c r="Y552" i="2"/>
  <c r="AC696" i="2"/>
  <c r="Y696" i="2"/>
  <c r="AC438" i="2"/>
  <c r="Y438" i="2"/>
  <c r="AC582" i="2"/>
  <c r="Y582" i="2"/>
  <c r="AC726" i="2"/>
  <c r="Y726" i="2"/>
  <c r="AC397" i="2"/>
  <c r="Y397" i="2"/>
  <c r="AC541" i="2"/>
  <c r="Y541" i="2"/>
  <c r="AC685" i="2"/>
  <c r="Y685" i="2"/>
  <c r="AC578" i="2"/>
  <c r="Y578" i="2"/>
  <c r="AC722" i="2"/>
  <c r="Y722" i="2"/>
  <c r="AC691" i="2"/>
  <c r="Y691" i="2"/>
  <c r="AC478" i="2"/>
  <c r="Y478" i="2"/>
  <c r="AC622" i="2"/>
  <c r="Y622" i="2"/>
  <c r="AC766" i="2"/>
  <c r="Y766" i="2"/>
  <c r="AC520" i="2"/>
  <c r="Y520" i="2"/>
  <c r="AC664" i="2"/>
  <c r="Y664" i="2"/>
  <c r="AC452" i="2"/>
  <c r="Y452" i="2"/>
  <c r="AC596" i="2"/>
  <c r="Y596" i="2"/>
  <c r="AC752" i="2"/>
  <c r="Y752" i="2"/>
  <c r="AC518" i="2"/>
  <c r="Y518" i="2"/>
  <c r="AC564" i="2"/>
  <c r="Y564" i="2"/>
  <c r="AC490" i="2"/>
  <c r="Y490" i="2"/>
  <c r="AC634" i="2"/>
  <c r="Y634" i="2"/>
  <c r="AC778" i="2"/>
  <c r="Y778" i="2"/>
  <c r="AC608" i="2"/>
  <c r="Y608" i="2"/>
  <c r="AC764" i="2"/>
  <c r="Y764" i="2"/>
  <c r="AC530" i="2"/>
  <c r="Y530" i="2"/>
  <c r="AC450" i="2"/>
  <c r="Y450" i="2"/>
  <c r="AC594" i="2"/>
  <c r="Y594" i="2"/>
  <c r="AC738" i="2"/>
  <c r="Y738" i="2"/>
  <c r="AC409" i="2"/>
  <c r="Y409" i="2"/>
  <c r="AC553" i="2"/>
  <c r="Y553" i="2"/>
  <c r="AC697" i="2"/>
  <c r="Y697" i="2"/>
  <c r="AC590" i="2"/>
  <c r="Y590" i="2"/>
  <c r="AC734" i="2"/>
  <c r="Y734" i="2"/>
  <c r="AC703" i="2"/>
  <c r="Y703" i="2"/>
  <c r="AC532" i="2"/>
  <c r="Y532" i="2"/>
  <c r="AC676" i="2"/>
  <c r="Y676" i="2"/>
  <c r="AC464" i="2"/>
  <c r="Y464" i="2"/>
  <c r="AC435" i="2"/>
  <c r="Y435" i="2"/>
  <c r="AC579" i="2"/>
  <c r="Y579" i="2"/>
  <c r="AC723" i="2"/>
  <c r="Y723" i="2"/>
  <c r="AC509" i="2"/>
  <c r="Y509" i="2"/>
  <c r="AC653" i="2"/>
  <c r="Y653" i="2"/>
  <c r="AC797" i="2"/>
  <c r="Y797" i="2"/>
  <c r="AC463" i="2"/>
  <c r="Y463" i="2"/>
  <c r="AC607" i="2"/>
  <c r="Y607" i="2"/>
  <c r="AC501" i="2"/>
  <c r="Y501" i="2"/>
  <c r="AC645" i="2"/>
  <c r="Y645" i="2"/>
  <c r="AC789" i="2"/>
  <c r="Y789" i="2"/>
  <c r="AC395" i="2"/>
  <c r="Y395" i="2"/>
  <c r="AC539" i="2"/>
  <c r="Y539" i="2"/>
  <c r="AC683" i="2"/>
  <c r="Y683" i="2"/>
  <c r="AC432" i="2"/>
  <c r="Y432" i="2"/>
  <c r="AC576" i="2"/>
  <c r="Y576" i="2"/>
  <c r="AC720" i="2"/>
  <c r="Y720" i="2"/>
  <c r="AC462" i="2"/>
  <c r="Y462" i="2"/>
  <c r="AC606" i="2"/>
  <c r="Y606" i="2"/>
  <c r="AC750" i="2"/>
  <c r="Y750" i="2"/>
  <c r="AC421" i="2"/>
  <c r="Y421" i="2"/>
  <c r="AC565" i="2"/>
  <c r="Y565" i="2"/>
  <c r="AC709" i="2"/>
  <c r="Y709" i="2"/>
  <c r="AC602" i="2"/>
  <c r="Y602" i="2"/>
  <c r="AC746" i="2"/>
  <c r="Y746" i="2"/>
  <c r="AC715" i="2"/>
  <c r="Y715" i="2"/>
  <c r="AC502" i="2"/>
  <c r="Y502" i="2"/>
  <c r="AC646" i="2"/>
  <c r="Y646" i="2"/>
  <c r="AC790" i="2"/>
  <c r="Y790" i="2"/>
  <c r="AC544" i="2"/>
  <c r="Y544" i="2"/>
  <c r="AC688" i="2"/>
  <c r="Y688" i="2"/>
  <c r="AC476" i="2"/>
  <c r="Y476" i="2"/>
  <c r="AC620" i="2"/>
  <c r="Y620" i="2"/>
  <c r="AC776" i="2"/>
  <c r="Y776" i="2"/>
  <c r="AC254" i="2"/>
  <c r="K254" i="1" s="1"/>
  <c r="Y254" i="2"/>
  <c r="AC398" i="2"/>
  <c r="Y398" i="2"/>
  <c r="AC542" i="2"/>
  <c r="Y542" i="2"/>
  <c r="AC473" i="2"/>
  <c r="Y473" i="2"/>
  <c r="AC785" i="2"/>
  <c r="Y785" i="2"/>
  <c r="AC595" i="2"/>
  <c r="Y595" i="2"/>
  <c r="AC633" i="2"/>
  <c r="Y633" i="2"/>
  <c r="AC671" i="2"/>
  <c r="Y671" i="2"/>
  <c r="AC521" i="2"/>
  <c r="Y521" i="2"/>
  <c r="AC514" i="2"/>
  <c r="Y514" i="2"/>
  <c r="AC658" i="2"/>
  <c r="Y658" i="2"/>
  <c r="AC692" i="2"/>
  <c r="Y692" i="2"/>
  <c r="AC556" i="2"/>
  <c r="Y556" i="2"/>
  <c r="AC700" i="2"/>
  <c r="Y700" i="2"/>
  <c r="AC488" i="2"/>
  <c r="Y488" i="2"/>
  <c r="AC632" i="2"/>
  <c r="Y632" i="2"/>
  <c r="AC788" i="2"/>
  <c r="Y788" i="2"/>
  <c r="AC410" i="2"/>
  <c r="Y410" i="2"/>
  <c r="AC554" i="2"/>
  <c r="Y554" i="2"/>
  <c r="AC617" i="2"/>
  <c r="Y617" i="2"/>
  <c r="AC527" i="2"/>
  <c r="Y527" i="2"/>
  <c r="AC665" i="2"/>
  <c r="Y665" i="2"/>
  <c r="AC475" i="2"/>
  <c r="Y475" i="2"/>
  <c r="AC657" i="2"/>
  <c r="Y657" i="2"/>
  <c r="AC407" i="2"/>
  <c r="Y407" i="2"/>
  <c r="AC551" i="2"/>
  <c r="Y551" i="2"/>
  <c r="AC695" i="2"/>
  <c r="Y695" i="2"/>
  <c r="AC588" i="2"/>
  <c r="Y588" i="2"/>
  <c r="AC618" i="2"/>
  <c r="Y618" i="2"/>
  <c r="AC603" i="2"/>
  <c r="Y603" i="2"/>
  <c r="AC677" i="2"/>
  <c r="Y677" i="2"/>
  <c r="AC631" i="2"/>
  <c r="Y631" i="2"/>
  <c r="AC456" i="2"/>
  <c r="Y456" i="2"/>
  <c r="AC744" i="2"/>
  <c r="Y744" i="2"/>
  <c r="AC739" i="2"/>
  <c r="Y739" i="2"/>
  <c r="AC670" i="2"/>
  <c r="Y670" i="2"/>
  <c r="AC424" i="2"/>
  <c r="Y424" i="2"/>
  <c r="AC568" i="2"/>
  <c r="Y568" i="2"/>
  <c r="AC500" i="2"/>
  <c r="Y500" i="2"/>
  <c r="AC644" i="2"/>
  <c r="Y644" i="2"/>
  <c r="AC422" i="2"/>
  <c r="Y422" i="2"/>
  <c r="AC566" i="2"/>
  <c r="Y566" i="2"/>
  <c r="V338" i="1"/>
  <c r="V254" i="1"/>
  <c r="V159" i="1"/>
  <c r="AC159" i="2"/>
  <c r="K159" i="1" s="1"/>
  <c r="V327" i="1"/>
  <c r="AC327" i="2"/>
  <c r="K327" i="1" s="1"/>
  <c r="V141" i="1"/>
  <c r="AC141" i="2"/>
  <c r="K141" i="1" s="1"/>
  <c r="V250" i="1"/>
  <c r="AC250" i="2"/>
  <c r="K250" i="1" s="1"/>
  <c r="V224" i="1"/>
  <c r="AC224" i="2"/>
  <c r="K224" i="1" s="1"/>
  <c r="V368" i="1"/>
  <c r="AC368" i="2"/>
  <c r="K368" i="1" s="1"/>
  <c r="V195" i="1"/>
  <c r="AC195" i="2"/>
  <c r="K195" i="1" s="1"/>
  <c r="V339" i="1"/>
  <c r="AC339" i="2"/>
  <c r="K339" i="1" s="1"/>
  <c r="V269" i="1"/>
  <c r="AC269" i="2"/>
  <c r="K269" i="1" s="1"/>
  <c r="V162" i="1"/>
  <c r="AC162" i="2"/>
  <c r="K162" i="1" s="1"/>
  <c r="V223" i="1"/>
  <c r="AC223" i="2"/>
  <c r="K223" i="1" s="1"/>
  <c r="V367" i="1"/>
  <c r="AC367" i="2"/>
  <c r="K367" i="1" s="1"/>
  <c r="V261" i="1"/>
  <c r="AC261" i="2"/>
  <c r="K261" i="1" s="1"/>
  <c r="V155" i="1"/>
  <c r="AC155" i="2"/>
  <c r="K155" i="1" s="1"/>
  <c r="V299" i="1"/>
  <c r="AC299" i="2"/>
  <c r="K299" i="1" s="1"/>
  <c r="V192" i="1"/>
  <c r="AC192" i="2"/>
  <c r="K192" i="1" s="1"/>
  <c r="V336" i="1"/>
  <c r="AC336" i="2"/>
  <c r="K336" i="1" s="1"/>
  <c r="V229" i="1"/>
  <c r="AC229" i="2"/>
  <c r="K229" i="1" s="1"/>
  <c r="V222" i="1"/>
  <c r="AC222" i="2"/>
  <c r="K222" i="1" s="1"/>
  <c r="V366" i="1"/>
  <c r="AC366" i="2"/>
  <c r="K366" i="1" s="1"/>
  <c r="V128" i="1"/>
  <c r="AC128" i="2"/>
  <c r="K128" i="1" s="1"/>
  <c r="V232" i="1"/>
  <c r="AC232" i="2"/>
  <c r="K232" i="1" s="1"/>
  <c r="V125" i="1"/>
  <c r="AC125" i="2"/>
  <c r="K125" i="1" s="1"/>
  <c r="V118" i="1"/>
  <c r="AC118" i="2"/>
  <c r="K118" i="1" s="1"/>
  <c r="V262" i="1"/>
  <c r="AC262" i="2"/>
  <c r="K262" i="1" s="1"/>
  <c r="V236" i="1"/>
  <c r="AC236" i="2"/>
  <c r="K236" i="1" s="1"/>
  <c r="V380" i="1"/>
  <c r="AC380" i="2"/>
  <c r="K380" i="1" s="1"/>
  <c r="V146" i="1"/>
  <c r="AC146" i="2"/>
  <c r="K146" i="1" s="1"/>
  <c r="V290" i="1"/>
  <c r="AC290" i="2"/>
  <c r="K290" i="1" s="1"/>
  <c r="V315" i="1"/>
  <c r="AC315" i="2"/>
  <c r="K315" i="1" s="1"/>
  <c r="V211" i="1"/>
  <c r="AC211" i="2"/>
  <c r="K211" i="1" s="1"/>
  <c r="V354" i="1"/>
  <c r="AC354" i="2"/>
  <c r="K354" i="1" s="1"/>
  <c r="V126" i="1"/>
  <c r="AC126" i="2"/>
  <c r="K126" i="1" s="1"/>
  <c r="V119" i="1"/>
  <c r="AC119" i="2"/>
  <c r="K119" i="1" s="1"/>
  <c r="V300" i="1"/>
  <c r="AC300" i="2"/>
  <c r="K300" i="1" s="1"/>
  <c r="V337" i="1"/>
  <c r="AC337" i="2"/>
  <c r="K337" i="1" s="1"/>
  <c r="V150" i="1"/>
  <c r="AC150" i="2"/>
  <c r="K150" i="1" s="1"/>
  <c r="V249" i="1"/>
  <c r="AC249" i="2"/>
  <c r="K249" i="1" s="1"/>
  <c r="V143" i="1"/>
  <c r="AC143" i="2"/>
  <c r="K143" i="1" s="1"/>
  <c r="V167" i="1"/>
  <c r="AC167" i="2"/>
  <c r="K167" i="1" s="1"/>
  <c r="V311" i="1"/>
  <c r="AC311" i="2"/>
  <c r="K311" i="1" s="1"/>
  <c r="V204" i="1"/>
  <c r="AC204" i="2"/>
  <c r="K204" i="1" s="1"/>
  <c r="V348" i="1"/>
  <c r="AC348" i="2"/>
  <c r="K348" i="1" s="1"/>
  <c r="V241" i="1"/>
  <c r="AC241" i="2"/>
  <c r="K241" i="1" s="1"/>
  <c r="V234" i="1"/>
  <c r="AC234" i="2"/>
  <c r="K234" i="1" s="1"/>
  <c r="V378" i="1"/>
  <c r="AC378" i="2"/>
  <c r="K378" i="1" s="1"/>
  <c r="V140" i="1"/>
  <c r="AC140" i="2"/>
  <c r="K140" i="1" s="1"/>
  <c r="V244" i="1"/>
  <c r="AC244" i="2"/>
  <c r="K244" i="1" s="1"/>
  <c r="V137" i="1"/>
  <c r="AC137" i="2"/>
  <c r="K137" i="1" s="1"/>
  <c r="V130" i="1"/>
  <c r="AC130" i="2"/>
  <c r="K130" i="1" s="1"/>
  <c r="V274" i="1"/>
  <c r="AC274" i="2"/>
  <c r="K274" i="1" s="1"/>
  <c r="V248" i="1"/>
  <c r="AC248" i="2"/>
  <c r="K248" i="1" s="1"/>
  <c r="V158" i="1"/>
  <c r="AC158" i="2"/>
  <c r="K158" i="1" s="1"/>
  <c r="V302" i="1"/>
  <c r="AC302" i="2"/>
  <c r="K302" i="1" s="1"/>
  <c r="V218" i="1"/>
  <c r="V219" i="1"/>
  <c r="AC219" i="2"/>
  <c r="K219" i="1" s="1"/>
  <c r="V363" i="1"/>
  <c r="AC363" i="2"/>
  <c r="K363" i="1" s="1"/>
  <c r="V293" i="1"/>
  <c r="AC293" i="2"/>
  <c r="K293" i="1" s="1"/>
  <c r="V186" i="1"/>
  <c r="AC186" i="2"/>
  <c r="K186" i="1" s="1"/>
  <c r="V247" i="1"/>
  <c r="AC247" i="2"/>
  <c r="K247" i="1" s="1"/>
  <c r="V285" i="1"/>
  <c r="AC285" i="2"/>
  <c r="K285" i="1" s="1"/>
  <c r="V179" i="1"/>
  <c r="AC179" i="2"/>
  <c r="K179" i="1" s="1"/>
  <c r="V323" i="1"/>
  <c r="AC323" i="2"/>
  <c r="K323" i="1" s="1"/>
  <c r="V216" i="1"/>
  <c r="AC216" i="2"/>
  <c r="K216" i="1" s="1"/>
  <c r="V360" i="1"/>
  <c r="AC360" i="2"/>
  <c r="K360" i="1" s="1"/>
  <c r="V253" i="1"/>
  <c r="AC253" i="2"/>
  <c r="K253" i="1" s="1"/>
  <c r="V246" i="1"/>
  <c r="AC246" i="2"/>
  <c r="K246" i="1" s="1"/>
  <c r="V152" i="1"/>
  <c r="AC152" i="2"/>
  <c r="K152" i="1" s="1"/>
  <c r="V256" i="1"/>
  <c r="AC256" i="2"/>
  <c r="K256" i="1" s="1"/>
  <c r="V149" i="1"/>
  <c r="AC149" i="2"/>
  <c r="K149" i="1" s="1"/>
  <c r="V142" i="1"/>
  <c r="AC142" i="2"/>
  <c r="K142" i="1" s="1"/>
  <c r="V286" i="1"/>
  <c r="AC286" i="2"/>
  <c r="K286" i="1" s="1"/>
  <c r="V260" i="1"/>
  <c r="AC260" i="2"/>
  <c r="K260" i="1" s="1"/>
  <c r="V170" i="1"/>
  <c r="AC170" i="2"/>
  <c r="K170" i="1" s="1"/>
  <c r="V314" i="1"/>
  <c r="AC314" i="2"/>
  <c r="K314" i="1" s="1"/>
  <c r="V225" i="1"/>
  <c r="AC225" i="2"/>
  <c r="K225" i="1" s="1"/>
  <c r="V330" i="1"/>
  <c r="AC330" i="2"/>
  <c r="K330" i="1" s="1"/>
  <c r="V183" i="1"/>
  <c r="AC183" i="2"/>
  <c r="K183" i="1" s="1"/>
  <c r="V180" i="1"/>
  <c r="AC180" i="2"/>
  <c r="K180" i="1" s="1"/>
  <c r="V217" i="1"/>
  <c r="AC217" i="2"/>
  <c r="K217" i="1" s="1"/>
  <c r="V351" i="1"/>
  <c r="AC351" i="2"/>
  <c r="K351" i="1" s="1"/>
  <c r="V281" i="1"/>
  <c r="AC281" i="2"/>
  <c r="K281" i="1" s="1"/>
  <c r="V174" i="1"/>
  <c r="AC174" i="2"/>
  <c r="K174" i="1" s="1"/>
  <c r="V153" i="1"/>
  <c r="AC153" i="2"/>
  <c r="K153" i="1" s="1"/>
  <c r="V369" i="1"/>
  <c r="AC369" i="2"/>
  <c r="K369" i="1" s="1"/>
  <c r="V156" i="1"/>
  <c r="AC156" i="2"/>
  <c r="K156" i="1" s="1"/>
  <c r="V220" i="1"/>
  <c r="AC220" i="2"/>
  <c r="K220" i="1" s="1"/>
  <c r="V379" i="1"/>
  <c r="AC379" i="2"/>
  <c r="K379" i="1" s="1"/>
  <c r="V273" i="1"/>
  <c r="AC273" i="2"/>
  <c r="K273" i="1" s="1"/>
  <c r="V375" i="1"/>
  <c r="AC375" i="2"/>
  <c r="K375" i="1" s="1"/>
  <c r="V328" i="1"/>
  <c r="AC328" i="2"/>
  <c r="K328" i="1" s="1"/>
  <c r="V335" i="1"/>
  <c r="AC335" i="2"/>
  <c r="K335" i="1" s="1"/>
  <c r="V228" i="1"/>
  <c r="AC228" i="2"/>
  <c r="K228" i="1" s="1"/>
  <c r="V161" i="1"/>
  <c r="AC161" i="2"/>
  <c r="K161" i="1" s="1"/>
  <c r="V298" i="1"/>
  <c r="AC298" i="2"/>
  <c r="K298" i="1" s="1"/>
  <c r="V182" i="1"/>
  <c r="AC182" i="2"/>
  <c r="K182" i="1" s="1"/>
  <c r="V243" i="1"/>
  <c r="AC243" i="2"/>
  <c r="K243" i="1" s="1"/>
  <c r="V340" i="1"/>
  <c r="AC340" i="2"/>
  <c r="K340" i="1" s="1"/>
  <c r="V317" i="1"/>
  <c r="AC317" i="2"/>
  <c r="K317" i="1" s="1"/>
  <c r="V127" i="1"/>
  <c r="AC127" i="2"/>
  <c r="K127" i="1" s="1"/>
  <c r="V271" i="1"/>
  <c r="AC271" i="2"/>
  <c r="K271" i="1" s="1"/>
  <c r="V165" i="1"/>
  <c r="AC165" i="2"/>
  <c r="K165" i="1" s="1"/>
  <c r="V309" i="1"/>
  <c r="AC309" i="2"/>
  <c r="K309" i="1" s="1"/>
  <c r="V203" i="1"/>
  <c r="AC203" i="2"/>
  <c r="K203" i="1" s="1"/>
  <c r="V347" i="1"/>
  <c r="AC347" i="2"/>
  <c r="K347" i="1" s="1"/>
  <c r="V240" i="1"/>
  <c r="AC240" i="2"/>
  <c r="K240" i="1" s="1"/>
  <c r="V384" i="1"/>
  <c r="AC384" i="2"/>
  <c r="K384" i="1" s="1"/>
  <c r="V133" i="1"/>
  <c r="AC133" i="2"/>
  <c r="K133" i="1" s="1"/>
  <c r="V277" i="1"/>
  <c r="AC277" i="2"/>
  <c r="K277" i="1" s="1"/>
  <c r="V270" i="1"/>
  <c r="AC270" i="2"/>
  <c r="K270" i="1" s="1"/>
  <c r="V373" i="1"/>
  <c r="AC373" i="2"/>
  <c r="K373" i="1" s="1"/>
  <c r="V136" i="1"/>
  <c r="AC136" i="2"/>
  <c r="K136" i="1" s="1"/>
  <c r="V280" i="1"/>
  <c r="AC280" i="2"/>
  <c r="K280" i="1" s="1"/>
  <c r="V173" i="1"/>
  <c r="AC173" i="2"/>
  <c r="K173" i="1" s="1"/>
  <c r="V166" i="1"/>
  <c r="AC166" i="2"/>
  <c r="K166" i="1" s="1"/>
  <c r="V310" i="1"/>
  <c r="AC310" i="2"/>
  <c r="K310" i="1" s="1"/>
  <c r="V284" i="1"/>
  <c r="AC284" i="2"/>
  <c r="K284" i="1" s="1"/>
  <c r="V194" i="1"/>
  <c r="AC194" i="2"/>
  <c r="K194" i="1" s="1"/>
  <c r="V377" i="1"/>
  <c r="AC377" i="2"/>
  <c r="K377" i="1" s="1"/>
  <c r="V193" i="1"/>
  <c r="AC193" i="2"/>
  <c r="K193" i="1" s="1"/>
  <c r="V226" i="1"/>
  <c r="AC226" i="2"/>
  <c r="K226" i="1" s="1"/>
  <c r="V355" i="1"/>
  <c r="AC355" i="2"/>
  <c r="K355" i="1" s="1"/>
  <c r="V287" i="1"/>
  <c r="AC287" i="2"/>
  <c r="K287" i="1" s="1"/>
  <c r="V324" i="1"/>
  <c r="AC324" i="2"/>
  <c r="K324" i="1" s="1"/>
  <c r="V210" i="1"/>
  <c r="AC210" i="2"/>
  <c r="K210" i="1" s="1"/>
  <c r="V207" i="1"/>
  <c r="AC207" i="2"/>
  <c r="K207" i="1" s="1"/>
  <c r="V235" i="1"/>
  <c r="AC235" i="2"/>
  <c r="K235" i="1" s="1"/>
  <c r="V231" i="1"/>
  <c r="AC231" i="2"/>
  <c r="K231" i="1" s="1"/>
  <c r="V305" i="1"/>
  <c r="AC305" i="2"/>
  <c r="K305" i="1" s="1"/>
  <c r="V198" i="1"/>
  <c r="AC198" i="2"/>
  <c r="K198" i="1" s="1"/>
  <c r="V259" i="1"/>
  <c r="AC259" i="2"/>
  <c r="K259" i="1" s="1"/>
  <c r="V297" i="1"/>
  <c r="AC297" i="2"/>
  <c r="K297" i="1" s="1"/>
  <c r="V191" i="1"/>
  <c r="AC191" i="2"/>
  <c r="K191" i="1" s="1"/>
  <c r="V372" i="1"/>
  <c r="AC372" i="2"/>
  <c r="K372" i="1" s="1"/>
  <c r="V121" i="1"/>
  <c r="AC121" i="2"/>
  <c r="K121" i="1" s="1"/>
  <c r="V265" i="1"/>
  <c r="AC265" i="2"/>
  <c r="K265" i="1" s="1"/>
  <c r="V258" i="1"/>
  <c r="AC258" i="2"/>
  <c r="K258" i="1" s="1"/>
  <c r="V361" i="1"/>
  <c r="AC361" i="2"/>
  <c r="K361" i="1" s="1"/>
  <c r="V124" i="1"/>
  <c r="AC124" i="2"/>
  <c r="K124" i="1" s="1"/>
  <c r="V268" i="1"/>
  <c r="AC268" i="2"/>
  <c r="K268" i="1" s="1"/>
  <c r="V154" i="1"/>
  <c r="AC154" i="2"/>
  <c r="K154" i="1" s="1"/>
  <c r="V272" i="1"/>
  <c r="AC272" i="2"/>
  <c r="K272" i="1" s="1"/>
  <c r="V326" i="1"/>
  <c r="AC326" i="2"/>
  <c r="K326" i="1" s="1"/>
  <c r="V387" i="1"/>
  <c r="AC387" i="2"/>
  <c r="K387" i="1" s="1"/>
  <c r="V362" i="1"/>
  <c r="V255" i="1"/>
  <c r="AC255" i="2"/>
  <c r="K255" i="1" s="1"/>
  <c r="V364" i="1"/>
  <c r="AC364" i="2"/>
  <c r="K364" i="1" s="1"/>
  <c r="V329" i="1"/>
  <c r="AC329" i="2"/>
  <c r="K329" i="1" s="1"/>
  <c r="V139" i="1"/>
  <c r="AC139" i="2"/>
  <c r="K139" i="1" s="1"/>
  <c r="V283" i="1"/>
  <c r="AC283" i="2"/>
  <c r="K283" i="1" s="1"/>
  <c r="V177" i="1"/>
  <c r="AC177" i="2"/>
  <c r="K177" i="1" s="1"/>
  <c r="V321" i="1"/>
  <c r="AC321" i="2"/>
  <c r="K321" i="1" s="1"/>
  <c r="V215" i="1"/>
  <c r="AC215" i="2"/>
  <c r="K215" i="1" s="1"/>
  <c r="V359" i="1"/>
  <c r="AC359" i="2"/>
  <c r="K359" i="1" s="1"/>
  <c r="V252" i="1"/>
  <c r="AC252" i="2"/>
  <c r="K252" i="1" s="1"/>
  <c r="V145" i="1"/>
  <c r="AC145" i="2"/>
  <c r="K145" i="1" s="1"/>
  <c r="V289" i="1"/>
  <c r="AC289" i="2"/>
  <c r="K289" i="1" s="1"/>
  <c r="V282" i="1"/>
  <c r="AC282" i="2"/>
  <c r="K282" i="1" s="1"/>
  <c r="V385" i="1"/>
  <c r="AC385" i="2"/>
  <c r="K385" i="1" s="1"/>
  <c r="V148" i="1"/>
  <c r="AC148" i="2"/>
  <c r="K148" i="1" s="1"/>
  <c r="V292" i="1"/>
  <c r="AC292" i="2"/>
  <c r="K292" i="1" s="1"/>
  <c r="V185" i="1"/>
  <c r="AC185" i="2"/>
  <c r="K185" i="1" s="1"/>
  <c r="V178" i="1"/>
  <c r="AC178" i="2"/>
  <c r="K178" i="1" s="1"/>
  <c r="V322" i="1"/>
  <c r="AC322" i="2"/>
  <c r="K322" i="1" s="1"/>
  <c r="V296" i="1"/>
  <c r="AC296" i="2"/>
  <c r="K296" i="1" s="1"/>
  <c r="V350" i="1"/>
  <c r="AC350" i="2"/>
  <c r="K350" i="1" s="1"/>
  <c r="V187" i="1"/>
  <c r="AC187" i="2"/>
  <c r="K187" i="1" s="1"/>
  <c r="V196" i="1"/>
  <c r="AC196" i="2"/>
  <c r="K196" i="1" s="1"/>
  <c r="V123" i="1"/>
  <c r="AC123" i="2"/>
  <c r="K123" i="1" s="1"/>
  <c r="V151" i="1"/>
  <c r="AC151" i="2"/>
  <c r="K151" i="1" s="1"/>
  <c r="V333" i="1"/>
  <c r="AC333" i="2"/>
  <c r="K333" i="1" s="1"/>
  <c r="V371" i="1"/>
  <c r="AC371" i="2"/>
  <c r="K371" i="1" s="1"/>
  <c r="V120" i="1"/>
  <c r="AC120" i="2"/>
  <c r="K120" i="1" s="1"/>
  <c r="V301" i="1"/>
  <c r="AC301" i="2"/>
  <c r="K301" i="1" s="1"/>
  <c r="V334" i="1"/>
  <c r="AC334" i="2"/>
  <c r="K334" i="1" s="1"/>
  <c r="V164" i="1"/>
  <c r="AC164" i="2"/>
  <c r="K164" i="1" s="1"/>
  <c r="V308" i="1"/>
  <c r="AC308" i="2"/>
  <c r="K308" i="1" s="1"/>
  <c r="V267" i="1"/>
  <c r="AC267" i="2"/>
  <c r="K267" i="1" s="1"/>
  <c r="V341" i="1"/>
  <c r="AC341" i="2"/>
  <c r="K341" i="1" s="1"/>
  <c r="V227" i="1"/>
  <c r="AC227" i="2"/>
  <c r="K227" i="1" s="1"/>
  <c r="V157" i="1"/>
  <c r="AC157" i="2"/>
  <c r="K157" i="1" s="1"/>
  <c r="V160" i="1"/>
  <c r="AC160" i="2"/>
  <c r="K160" i="1" s="1"/>
  <c r="V190" i="1"/>
  <c r="AC190" i="2"/>
  <c r="K190" i="1" s="1"/>
  <c r="V135" i="1"/>
  <c r="AC135" i="2"/>
  <c r="K135" i="1" s="1"/>
  <c r="V279" i="1"/>
  <c r="AC279" i="2"/>
  <c r="K279" i="1" s="1"/>
  <c r="V388" i="1"/>
  <c r="AC388" i="2"/>
  <c r="K388" i="1" s="1"/>
  <c r="V353" i="1"/>
  <c r="AC353" i="2"/>
  <c r="K353" i="1" s="1"/>
  <c r="V163" i="1"/>
  <c r="AC163" i="2"/>
  <c r="K163" i="1" s="1"/>
  <c r="V307" i="1"/>
  <c r="AC307" i="2"/>
  <c r="K307" i="1" s="1"/>
  <c r="V201" i="1"/>
  <c r="AC201" i="2"/>
  <c r="K201" i="1" s="1"/>
  <c r="V345" i="1"/>
  <c r="AC345" i="2"/>
  <c r="K345" i="1" s="1"/>
  <c r="V239" i="1"/>
  <c r="AC239" i="2"/>
  <c r="K239" i="1" s="1"/>
  <c r="V383" i="1"/>
  <c r="AC383" i="2"/>
  <c r="K383" i="1" s="1"/>
  <c r="V132" i="1"/>
  <c r="AC132" i="2"/>
  <c r="K132" i="1" s="1"/>
  <c r="V276" i="1"/>
  <c r="AC276" i="2"/>
  <c r="K276" i="1" s="1"/>
  <c r="V169" i="1"/>
  <c r="AC169" i="2"/>
  <c r="K169" i="1" s="1"/>
  <c r="V313" i="1"/>
  <c r="AC313" i="2"/>
  <c r="K313" i="1" s="1"/>
  <c r="V306" i="1"/>
  <c r="AC306" i="2"/>
  <c r="K306" i="1" s="1"/>
  <c r="V172" i="1"/>
  <c r="AC172" i="2"/>
  <c r="K172" i="1" s="1"/>
  <c r="V316" i="1"/>
  <c r="AC316" i="2"/>
  <c r="K316" i="1" s="1"/>
  <c r="V197" i="1"/>
  <c r="AC197" i="2"/>
  <c r="K197" i="1" s="1"/>
  <c r="V202" i="1"/>
  <c r="AC202" i="2"/>
  <c r="K202" i="1" s="1"/>
  <c r="V346" i="1"/>
  <c r="AC346" i="2"/>
  <c r="K346" i="1" s="1"/>
  <c r="V176" i="1"/>
  <c r="AC176" i="2"/>
  <c r="K176" i="1" s="1"/>
  <c r="V320" i="1"/>
  <c r="AC320" i="2"/>
  <c r="K320" i="1" s="1"/>
  <c r="V230" i="1"/>
  <c r="AC230" i="2"/>
  <c r="K230" i="1" s="1"/>
  <c r="V374" i="1"/>
  <c r="AC374" i="2"/>
  <c r="K374" i="1" s="1"/>
  <c r="V263" i="1"/>
  <c r="AC263" i="2"/>
  <c r="K263" i="1" s="1"/>
  <c r="V117" i="1"/>
  <c r="AC117" i="2"/>
  <c r="K117" i="1" s="1"/>
  <c r="V257" i="1"/>
  <c r="AC257" i="2"/>
  <c r="K257" i="1" s="1"/>
  <c r="V376" i="1"/>
  <c r="AC376" i="2"/>
  <c r="K376" i="1" s="1"/>
  <c r="V295" i="1"/>
  <c r="AC295" i="2"/>
  <c r="K295" i="1" s="1"/>
  <c r="V189" i="1"/>
  <c r="AC189" i="2"/>
  <c r="K189" i="1" s="1"/>
  <c r="V264" i="1"/>
  <c r="AC264" i="2"/>
  <c r="K264" i="1" s="1"/>
  <c r="V294" i="1"/>
  <c r="AC294" i="2"/>
  <c r="K294" i="1" s="1"/>
  <c r="V304" i="1"/>
  <c r="AC304" i="2"/>
  <c r="K304" i="1" s="1"/>
  <c r="V147" i="1"/>
  <c r="AC147" i="2"/>
  <c r="K147" i="1" s="1"/>
  <c r="V291" i="1"/>
  <c r="AC291" i="2"/>
  <c r="K291" i="1" s="1"/>
  <c r="V221" i="1"/>
  <c r="AC221" i="2"/>
  <c r="K221" i="1" s="1"/>
  <c r="V365" i="1"/>
  <c r="AC365" i="2"/>
  <c r="K365" i="1" s="1"/>
  <c r="V175" i="1"/>
  <c r="AC175" i="2"/>
  <c r="K175" i="1" s="1"/>
  <c r="V319" i="1"/>
  <c r="AC319" i="2"/>
  <c r="K319" i="1" s="1"/>
  <c r="V213" i="1"/>
  <c r="AC213" i="2"/>
  <c r="K213" i="1" s="1"/>
  <c r="V357" i="1"/>
  <c r="AC357" i="2"/>
  <c r="K357" i="1" s="1"/>
  <c r="V251" i="1"/>
  <c r="AC251" i="2"/>
  <c r="K251" i="1" s="1"/>
  <c r="V144" i="1"/>
  <c r="AC144" i="2"/>
  <c r="K144" i="1" s="1"/>
  <c r="V288" i="1"/>
  <c r="AC288" i="2"/>
  <c r="K288" i="1" s="1"/>
  <c r="V181" i="1"/>
  <c r="AC181" i="2"/>
  <c r="K181" i="1" s="1"/>
  <c r="V325" i="1"/>
  <c r="AC325" i="2"/>
  <c r="K325" i="1" s="1"/>
  <c r="V318" i="1"/>
  <c r="AC318" i="2"/>
  <c r="K318" i="1" s="1"/>
  <c r="V184" i="1"/>
  <c r="AC184" i="2"/>
  <c r="K184" i="1" s="1"/>
  <c r="V352" i="1"/>
  <c r="AC352" i="2"/>
  <c r="K352" i="1" s="1"/>
  <c r="V209" i="1"/>
  <c r="AC209" i="2"/>
  <c r="K209" i="1" s="1"/>
  <c r="V214" i="1"/>
  <c r="AC214" i="2"/>
  <c r="K214" i="1" s="1"/>
  <c r="V358" i="1"/>
  <c r="AC358" i="2"/>
  <c r="K358" i="1" s="1"/>
  <c r="V188" i="1"/>
  <c r="AC188" i="2"/>
  <c r="K188" i="1" s="1"/>
  <c r="V332" i="1"/>
  <c r="AC332" i="2"/>
  <c r="K332" i="1" s="1"/>
  <c r="V242" i="1"/>
  <c r="AC242" i="2"/>
  <c r="K242" i="1" s="1"/>
  <c r="V386" i="1"/>
  <c r="AC386" i="2"/>
  <c r="K386" i="1" s="1"/>
  <c r="V303" i="1"/>
  <c r="AC303" i="2"/>
  <c r="K303" i="1" s="1"/>
  <c r="V370" i="1"/>
  <c r="AC370" i="2"/>
  <c r="K370" i="1" s="1"/>
  <c r="V200" i="1"/>
  <c r="AC200" i="2"/>
  <c r="K200" i="1" s="1"/>
  <c r="V344" i="1"/>
  <c r="AC344" i="2"/>
  <c r="K344" i="1" s="1"/>
  <c r="V233" i="1"/>
  <c r="AC233" i="2"/>
  <c r="K233" i="1" s="1"/>
  <c r="V171" i="1"/>
  <c r="AC171" i="2"/>
  <c r="K171" i="1" s="1"/>
  <c r="V245" i="1"/>
  <c r="AC245" i="2"/>
  <c r="K245" i="1" s="1"/>
  <c r="V138" i="1"/>
  <c r="AC138" i="2"/>
  <c r="K138" i="1" s="1"/>
  <c r="V199" i="1"/>
  <c r="AC199" i="2"/>
  <c r="K199" i="1" s="1"/>
  <c r="V343" i="1"/>
  <c r="AC343" i="2"/>
  <c r="K343" i="1" s="1"/>
  <c r="V237" i="1"/>
  <c r="AC237" i="2"/>
  <c r="K237" i="1" s="1"/>
  <c r="V381" i="1"/>
  <c r="AC381" i="2"/>
  <c r="K381" i="1" s="1"/>
  <c r="V131" i="1"/>
  <c r="AC131" i="2"/>
  <c r="K131" i="1" s="1"/>
  <c r="V275" i="1"/>
  <c r="AC275" i="2"/>
  <c r="K275" i="1" s="1"/>
  <c r="V168" i="1"/>
  <c r="AC168" i="2"/>
  <c r="K168" i="1" s="1"/>
  <c r="V312" i="1"/>
  <c r="AC312" i="2"/>
  <c r="K312" i="1" s="1"/>
  <c r="V205" i="1"/>
  <c r="AC205" i="2"/>
  <c r="K205" i="1" s="1"/>
  <c r="V349" i="1"/>
  <c r="AC349" i="2"/>
  <c r="K349" i="1" s="1"/>
  <c r="V342" i="1"/>
  <c r="AC342" i="2"/>
  <c r="K342" i="1" s="1"/>
  <c r="V208" i="1"/>
  <c r="AC208" i="2"/>
  <c r="K208" i="1" s="1"/>
  <c r="V129" i="1"/>
  <c r="AC129" i="2"/>
  <c r="K129" i="1" s="1"/>
  <c r="V238" i="1"/>
  <c r="AC238" i="2"/>
  <c r="K238" i="1" s="1"/>
  <c r="V382" i="1"/>
  <c r="AC382" i="2"/>
  <c r="K382" i="1" s="1"/>
  <c r="V212" i="1"/>
  <c r="AC212" i="2"/>
  <c r="K212" i="1" s="1"/>
  <c r="V356" i="1"/>
  <c r="AC356" i="2"/>
  <c r="K356" i="1" s="1"/>
  <c r="V122" i="1"/>
  <c r="AC122" i="2"/>
  <c r="K122" i="1" s="1"/>
  <c r="V266" i="1"/>
  <c r="AC266" i="2"/>
  <c r="K266" i="1" s="1"/>
  <c r="V331" i="1"/>
  <c r="AC331" i="2"/>
  <c r="K331" i="1" s="1"/>
  <c r="V134" i="1"/>
  <c r="AC134" i="2"/>
  <c r="K134" i="1" s="1"/>
  <c r="V278" i="1"/>
  <c r="AC278" i="2"/>
  <c r="K278" i="1" s="1"/>
  <c r="D43" i="1"/>
  <c r="D28" i="1"/>
  <c r="D44" i="1"/>
  <c r="D42" i="1"/>
  <c r="D27" i="1"/>
  <c r="G14" i="1"/>
  <c r="D32" i="1"/>
  <c r="D30" i="1"/>
  <c r="D26" i="1"/>
  <c r="G23" i="1"/>
  <c r="D31" i="1"/>
  <c r="D110" i="1"/>
  <c r="G16" i="1"/>
  <c r="D22" i="1"/>
  <c r="G17" i="1"/>
  <c r="D18" i="1"/>
  <c r="G38" i="1"/>
  <c r="D126" i="1"/>
  <c r="D136" i="1"/>
  <c r="G128" i="1"/>
  <c r="D73" i="1"/>
  <c r="D49" i="1"/>
  <c r="D79" i="1"/>
  <c r="D24" i="1"/>
  <c r="D25" i="1"/>
  <c r="D13" i="1"/>
  <c r="D12" i="1"/>
  <c r="G2" i="1"/>
  <c r="D91" i="1"/>
  <c r="D116" i="1"/>
  <c r="D134" i="1"/>
  <c r="D51" i="1"/>
  <c r="G20" i="1"/>
  <c r="D21" i="1"/>
  <c r="D19" i="1"/>
  <c r="D34" i="1"/>
  <c r="E10" i="1"/>
  <c r="F10" i="1"/>
  <c r="E3" i="1"/>
  <c r="F3" i="1"/>
  <c r="E7" i="1"/>
  <c r="F7" i="1"/>
  <c r="E4" i="1"/>
  <c r="F4" i="1"/>
  <c r="E9" i="1"/>
  <c r="F9" i="1"/>
  <c r="E8" i="1"/>
  <c r="F8" i="1"/>
  <c r="E5" i="1"/>
  <c r="F5" i="1"/>
  <c r="E6" i="1"/>
  <c r="F6" i="1"/>
  <c r="D15" i="1"/>
  <c r="E11" i="1"/>
  <c r="F11" i="1"/>
  <c r="Z146" i="2"/>
  <c r="AB146" i="1" s="1"/>
  <c r="Z300" i="2"/>
  <c r="AB300" i="1" s="1"/>
  <c r="Z470" i="2"/>
  <c r="Z471" i="2"/>
  <c r="Z590" i="2"/>
  <c r="W133" i="1"/>
  <c r="W134" i="1"/>
  <c r="W144" i="1"/>
  <c r="W169" i="1"/>
  <c r="W170" i="1"/>
  <c r="W180" i="1"/>
  <c r="W204" i="1"/>
  <c r="W205" i="1"/>
  <c r="W230" i="1"/>
  <c r="W240" i="1"/>
  <c r="W264" i="1"/>
  <c r="W266" i="1"/>
  <c r="W288" i="1"/>
  <c r="W290" i="1"/>
  <c r="W311" i="1"/>
  <c r="W314" i="1"/>
  <c r="W384" i="1"/>
  <c r="W386" i="1"/>
  <c r="Z118" i="2"/>
  <c r="AB118" i="1" s="1"/>
  <c r="Z132" i="2"/>
  <c r="AB132" i="1" s="1"/>
  <c r="Z133" i="2"/>
  <c r="AB133" i="1" s="1"/>
  <c r="Z134" i="2"/>
  <c r="AB134" i="1" s="1"/>
  <c r="Z144" i="2"/>
  <c r="AB144" i="1" s="1"/>
  <c r="Z145" i="2"/>
  <c r="AB145" i="1" s="1"/>
  <c r="W146" i="1"/>
  <c r="Z156" i="2"/>
  <c r="AB156" i="1" s="1"/>
  <c r="Z157" i="2"/>
  <c r="AB157" i="1" s="1"/>
  <c r="Z158" i="2"/>
  <c r="AB158" i="1" s="1"/>
  <c r="Z168" i="2"/>
  <c r="AB168" i="1" s="1"/>
  <c r="Z169" i="2"/>
  <c r="AB169" i="1" s="1"/>
  <c r="Z170" i="2"/>
  <c r="AB170" i="1" s="1"/>
  <c r="Z180" i="2"/>
  <c r="AB180" i="1" s="1"/>
  <c r="Z181" i="2"/>
  <c r="AB181" i="1" s="1"/>
  <c r="Z182" i="2"/>
  <c r="AB182" i="1" s="1"/>
  <c r="Z192" i="2"/>
  <c r="AB192" i="1" s="1"/>
  <c r="Z193" i="2"/>
  <c r="AB193" i="1" s="1"/>
  <c r="Z194" i="2"/>
  <c r="AB194" i="1" s="1"/>
  <c r="Z204" i="2"/>
  <c r="AB204" i="1" s="1"/>
  <c r="Z205" i="2"/>
  <c r="AB205" i="1" s="1"/>
  <c r="Z206" i="2"/>
  <c r="AB206" i="1" s="1"/>
  <c r="W214" i="1"/>
  <c r="Z216" i="2"/>
  <c r="AB216" i="1" s="1"/>
  <c r="Z217" i="2"/>
  <c r="AB217" i="1" s="1"/>
  <c r="Z218" i="2"/>
  <c r="AB218" i="1" s="1"/>
  <c r="Z228" i="2"/>
  <c r="AB228" i="1" s="1"/>
  <c r="Z229" i="2"/>
  <c r="AB229" i="1" s="1"/>
  <c r="Z230" i="2"/>
  <c r="AB230" i="1" s="1"/>
  <c r="Z240" i="2"/>
  <c r="AB240" i="1" s="1"/>
  <c r="Z241" i="2"/>
  <c r="AB241" i="1" s="1"/>
  <c r="W242" i="1"/>
  <c r="Z252" i="2"/>
  <c r="AB252" i="1" s="1"/>
  <c r="Z253" i="2"/>
  <c r="AB253" i="1" s="1"/>
  <c r="Z254" i="2"/>
  <c r="AB254" i="1" s="1"/>
  <c r="Z263" i="2"/>
  <c r="AB263" i="1" s="1"/>
  <c r="Z264" i="2"/>
  <c r="AB264" i="1" s="1"/>
  <c r="Z265" i="2"/>
  <c r="AB265" i="1" s="1"/>
  <c r="Z266" i="2"/>
  <c r="AB266" i="1" s="1"/>
  <c r="W274" i="1"/>
  <c r="Z276" i="2"/>
  <c r="AB276" i="1" s="1"/>
  <c r="Z277" i="2"/>
  <c r="AB277" i="1" s="1"/>
  <c r="Z278" i="2"/>
  <c r="AB278" i="1" s="1"/>
  <c r="Z287" i="2"/>
  <c r="AB287" i="1" s="1"/>
  <c r="Z288" i="2"/>
  <c r="AB288" i="1" s="1"/>
  <c r="Z289" i="2"/>
  <c r="AB289" i="1" s="1"/>
  <c r="Z290" i="2"/>
  <c r="AB290" i="1" s="1"/>
  <c r="W299" i="1"/>
  <c r="W300" i="1"/>
  <c r="Z301" i="2"/>
  <c r="AB301" i="1" s="1"/>
  <c r="Z302" i="2"/>
  <c r="AB302" i="1" s="1"/>
  <c r="Z311" i="2"/>
  <c r="AB311" i="1" s="1"/>
  <c r="Z312" i="2"/>
  <c r="AB312" i="1" s="1"/>
  <c r="Z313" i="2"/>
  <c r="AB313" i="1" s="1"/>
  <c r="Z314" i="2"/>
  <c r="AB314" i="1" s="1"/>
  <c r="Z325" i="2"/>
  <c r="AB325" i="1" s="1"/>
  <c r="W326" i="1"/>
  <c r="W333" i="1"/>
  <c r="Z335" i="2"/>
  <c r="AB335" i="1" s="1"/>
  <c r="Z336" i="2"/>
  <c r="AB336" i="1" s="1"/>
  <c r="Z337" i="2"/>
  <c r="AB337" i="1" s="1"/>
  <c r="Z338" i="2"/>
  <c r="AB338" i="1" s="1"/>
  <c r="Z349" i="2"/>
  <c r="AB349" i="1" s="1"/>
  <c r="Z350" i="2"/>
  <c r="AB350" i="1" s="1"/>
  <c r="W358" i="1"/>
  <c r="Z359" i="2"/>
  <c r="AB359" i="1" s="1"/>
  <c r="Z360" i="2"/>
  <c r="AB360" i="1" s="1"/>
  <c r="Z361" i="2"/>
  <c r="AB361" i="1" s="1"/>
  <c r="Z362" i="2"/>
  <c r="AB362" i="1" s="1"/>
  <c r="Z373" i="2"/>
  <c r="AB373" i="1" s="1"/>
  <c r="Z374" i="2"/>
  <c r="AB374" i="1" s="1"/>
  <c r="Z383" i="2"/>
  <c r="AB383" i="1" s="1"/>
  <c r="Z384" i="2"/>
  <c r="AB384" i="1" s="1"/>
  <c r="Z385" i="2"/>
  <c r="AB385" i="1" s="1"/>
  <c r="Z386" i="2"/>
  <c r="AB386" i="1" s="1"/>
  <c r="Z397" i="2"/>
  <c r="Z398" i="2"/>
  <c r="Z407" i="2"/>
  <c r="Z408" i="2"/>
  <c r="Z409" i="2"/>
  <c r="Z410" i="2"/>
  <c r="Z416" i="2"/>
  <c r="Z421" i="2"/>
  <c r="Z422" i="2"/>
  <c r="Z428" i="2"/>
  <c r="Z431" i="2"/>
  <c r="Z433" i="2"/>
  <c r="Z434" i="2"/>
  <c r="Z440" i="2"/>
  <c r="Z443" i="2"/>
  <c r="Z444" i="2"/>
  <c r="Z445" i="2"/>
  <c r="Z446" i="2"/>
  <c r="Z452" i="2"/>
  <c r="Z457" i="2"/>
  <c r="Z458" i="2"/>
  <c r="Z459" i="2"/>
  <c r="Z464" i="2"/>
  <c r="Z469" i="2"/>
  <c r="Z476" i="2"/>
  <c r="Z479" i="2"/>
  <c r="Z481" i="2"/>
  <c r="Z482" i="2"/>
  <c r="Z491" i="2"/>
  <c r="Z492" i="2"/>
  <c r="Z493" i="2"/>
  <c r="Z494" i="2"/>
  <c r="Z505" i="2"/>
  <c r="Z506" i="2"/>
  <c r="Z507" i="2"/>
  <c r="Z517" i="2"/>
  <c r="Z522" i="2"/>
  <c r="Z525" i="2"/>
  <c r="Z529" i="2"/>
  <c r="Z536" i="2"/>
  <c r="Z539" i="2"/>
  <c r="Z541" i="2"/>
  <c r="Z550" i="2"/>
  <c r="Z551" i="2"/>
  <c r="Z553" i="2"/>
  <c r="Z564" i="2"/>
  <c r="Z565" i="2"/>
  <c r="Z567" i="2"/>
  <c r="Z578" i="2"/>
  <c r="Z579" i="2"/>
  <c r="Z582" i="2"/>
  <c r="Z593" i="2"/>
  <c r="Z608" i="2"/>
  <c r="Z611" i="2"/>
  <c r="Z622" i="2"/>
  <c r="Z623" i="2"/>
  <c r="Z625" i="2"/>
  <c r="Z636" i="2"/>
  <c r="Z637" i="2"/>
  <c r="Z639" i="2"/>
  <c r="Z650" i="2"/>
  <c r="Z651" i="2"/>
  <c r="Z680" i="2"/>
  <c r="Z683" i="2"/>
  <c r="Z688" i="2"/>
  <c r="Z694" i="2"/>
  <c r="Z696" i="2"/>
  <c r="Z700" i="2"/>
  <c r="Z705" i="2"/>
  <c r="Z706" i="2"/>
  <c r="Z708" i="2"/>
  <c r="Z712" i="2"/>
  <c r="Z718" i="2"/>
  <c r="Z720" i="2"/>
  <c r="Z724" i="2"/>
  <c r="Z730" i="2"/>
  <c r="Z732" i="2"/>
  <c r="Z736" i="2"/>
  <c r="Z742" i="2"/>
  <c r="Z744" i="2"/>
  <c r="Z748" i="2"/>
  <c r="Z753" i="2"/>
  <c r="Z754" i="2"/>
  <c r="Z756" i="2"/>
  <c r="Z760" i="2"/>
  <c r="Z766" i="2"/>
  <c r="Z768" i="2"/>
  <c r="Z772" i="2"/>
  <c r="Z778" i="2"/>
  <c r="Z780" i="2"/>
  <c r="Z784" i="2"/>
  <c r="Z790" i="2"/>
  <c r="Z792" i="2"/>
  <c r="Z796" i="2"/>
  <c r="U258" i="2"/>
  <c r="U474" i="2"/>
  <c r="T14" i="2"/>
  <c r="T15" i="2"/>
  <c r="R15" i="1" s="1"/>
  <c r="T16" i="2"/>
  <c r="R16" i="1" s="1"/>
  <c r="T17" i="2"/>
  <c r="R17" i="1" s="1"/>
  <c r="T18" i="2"/>
  <c r="U18" i="2" s="1"/>
  <c r="T19" i="2"/>
  <c r="U19" i="2" s="1"/>
  <c r="T20" i="2"/>
  <c r="U20" i="2" s="1"/>
  <c r="T21" i="2"/>
  <c r="R21" i="1" s="1"/>
  <c r="T22" i="2"/>
  <c r="T23" i="2"/>
  <c r="T24" i="2"/>
  <c r="T25" i="2"/>
  <c r="T26" i="2"/>
  <c r="T27" i="2"/>
  <c r="R27" i="1" s="1"/>
  <c r="T28" i="2"/>
  <c r="U28" i="2" s="1"/>
  <c r="T29" i="2"/>
  <c r="U29" i="2" s="1"/>
  <c r="T30" i="2"/>
  <c r="R30" i="1" s="1"/>
  <c r="T31" i="2"/>
  <c r="U31" i="2" s="1"/>
  <c r="T32" i="2"/>
  <c r="U32" i="2" s="1"/>
  <c r="T33" i="2"/>
  <c r="R33" i="1" s="1"/>
  <c r="T34" i="2"/>
  <c r="T35" i="2"/>
  <c r="T36" i="2"/>
  <c r="T37" i="2"/>
  <c r="T38" i="2"/>
  <c r="T39" i="2"/>
  <c r="R39" i="1" s="1"/>
  <c r="T40" i="2"/>
  <c r="R40" i="1" s="1"/>
  <c r="T41" i="2"/>
  <c r="R41" i="1" s="1"/>
  <c r="T42" i="2"/>
  <c r="U42" i="2" s="1"/>
  <c r="T43" i="2"/>
  <c r="U43" i="2" s="1"/>
  <c r="T44" i="2"/>
  <c r="U44" i="2" s="1"/>
  <c r="T45" i="2"/>
  <c r="R45" i="1" s="1"/>
  <c r="T46" i="2"/>
  <c r="T47" i="2"/>
  <c r="T48" i="2"/>
  <c r="T49" i="2"/>
  <c r="T50" i="2"/>
  <c r="T51" i="2"/>
  <c r="U51" i="2" s="1"/>
  <c r="T52" i="2"/>
  <c r="T53" i="2"/>
  <c r="T54" i="2"/>
  <c r="R54" i="1" s="1"/>
  <c r="U54" i="1" s="1"/>
  <c r="T55" i="2"/>
  <c r="R55" i="1" s="1"/>
  <c r="U55" i="1" s="1"/>
  <c r="T56" i="2"/>
  <c r="R56" i="1" s="1"/>
  <c r="U56" i="1" s="1"/>
  <c r="T57" i="2"/>
  <c r="T58" i="2"/>
  <c r="T59" i="2"/>
  <c r="T60" i="2"/>
  <c r="T61" i="2"/>
  <c r="T62" i="2"/>
  <c r="T63" i="2"/>
  <c r="T64" i="2"/>
  <c r="T65" i="2"/>
  <c r="T66" i="2"/>
  <c r="T67" i="2"/>
  <c r="R67" i="1" s="1"/>
  <c r="U67" i="1" s="1"/>
  <c r="T68" i="2"/>
  <c r="R68" i="1" s="1"/>
  <c r="U68" i="1" s="1"/>
  <c r="T69" i="2"/>
  <c r="R69" i="1" s="1"/>
  <c r="U69" i="1" s="1"/>
  <c r="T70" i="2"/>
  <c r="T71" i="2"/>
  <c r="R71" i="1" s="1"/>
  <c r="U71" i="1" s="1"/>
  <c r="T72" i="2"/>
  <c r="T73" i="2"/>
  <c r="T74" i="2"/>
  <c r="T75" i="2"/>
  <c r="T76" i="2"/>
  <c r="T77" i="2"/>
  <c r="T78" i="2"/>
  <c r="T79" i="2"/>
  <c r="T80" i="2"/>
  <c r="R80" i="1" s="1"/>
  <c r="U80" i="1" s="1"/>
  <c r="T81" i="2"/>
  <c r="R81" i="1" s="1"/>
  <c r="U81" i="1" s="1"/>
  <c r="T82" i="2"/>
  <c r="R82" i="1" s="1"/>
  <c r="U82" i="1" s="1"/>
  <c r="T83" i="2"/>
  <c r="T84" i="2"/>
  <c r="T85" i="2"/>
  <c r="T86" i="2"/>
  <c r="T87" i="2"/>
  <c r="T88" i="2"/>
  <c r="T89" i="2"/>
  <c r="T90" i="2"/>
  <c r="T91" i="2"/>
  <c r="T92" i="2"/>
  <c r="T93" i="2"/>
  <c r="R93" i="1" s="1"/>
  <c r="U93" i="1" s="1"/>
  <c r="T94" i="2"/>
  <c r="T95" i="2"/>
  <c r="T96" i="2"/>
  <c r="T97" i="2"/>
  <c r="T98" i="2"/>
  <c r="T99" i="2"/>
  <c r="T100" i="2"/>
  <c r="T101" i="2"/>
  <c r="T102" i="2"/>
  <c r="T103" i="2"/>
  <c r="T104" i="2"/>
  <c r="T105" i="2"/>
  <c r="T106" i="2"/>
  <c r="T107" i="2"/>
  <c r="T108" i="2"/>
  <c r="T109" i="2"/>
  <c r="T110" i="2"/>
  <c r="T111" i="2"/>
  <c r="R111" i="1" s="1"/>
  <c r="U111" i="1" s="1"/>
  <c r="T112" i="2"/>
  <c r="T113" i="2"/>
  <c r="T114" i="2"/>
  <c r="T115" i="2"/>
  <c r="T116" i="2"/>
  <c r="T117" i="2"/>
  <c r="T118" i="2"/>
  <c r="T119" i="2"/>
  <c r="R119" i="1" s="1"/>
  <c r="U119" i="1" s="1"/>
  <c r="T120" i="2"/>
  <c r="R120" i="1" s="1"/>
  <c r="U120" i="1" s="1"/>
  <c r="T121" i="2"/>
  <c r="T122" i="2"/>
  <c r="T123" i="2"/>
  <c r="T124" i="2"/>
  <c r="R124" i="1" s="1"/>
  <c r="U124" i="1" s="1"/>
  <c r="T125" i="2"/>
  <c r="T126" i="2"/>
  <c r="T127" i="2"/>
  <c r="T128" i="2"/>
  <c r="T129" i="2"/>
  <c r="T130" i="2"/>
  <c r="T131" i="2"/>
  <c r="T132" i="2"/>
  <c r="T133" i="2"/>
  <c r="T134" i="2"/>
  <c r="T135" i="2"/>
  <c r="R135" i="1" s="1"/>
  <c r="U135" i="1" s="1"/>
  <c r="T136" i="2"/>
  <c r="T137" i="2"/>
  <c r="R137" i="1" s="1"/>
  <c r="U137" i="1" s="1"/>
  <c r="T138" i="2"/>
  <c r="T139" i="2"/>
  <c r="T140" i="2"/>
  <c r="T141" i="2"/>
  <c r="T142" i="2"/>
  <c r="T143" i="2"/>
  <c r="T144" i="2"/>
  <c r="T145" i="2"/>
  <c r="T146" i="2"/>
  <c r="T147" i="2"/>
  <c r="R147" i="1" s="1"/>
  <c r="U147" i="1" s="1"/>
  <c r="T148" i="2"/>
  <c r="R148" i="1" s="1"/>
  <c r="U148" i="1" s="1"/>
  <c r="T149" i="2"/>
  <c r="T150" i="2"/>
  <c r="R150" i="1" s="1"/>
  <c r="U150" i="1" s="1"/>
  <c r="T151" i="2"/>
  <c r="T152" i="2"/>
  <c r="T153" i="2"/>
  <c r="T154" i="2"/>
  <c r="T155" i="2"/>
  <c r="T156" i="2"/>
  <c r="T157" i="2"/>
  <c r="T158" i="2"/>
  <c r="T159" i="2"/>
  <c r="R159" i="1" s="1"/>
  <c r="U159" i="1" s="1"/>
  <c r="T160" i="2"/>
  <c r="R160" i="1" s="1"/>
  <c r="U160" i="1" s="1"/>
  <c r="T161" i="2"/>
  <c r="R161" i="1" s="1"/>
  <c r="U161" i="1" s="1"/>
  <c r="T162" i="2"/>
  <c r="T163" i="2"/>
  <c r="R163" i="1" s="1"/>
  <c r="U163" i="1" s="1"/>
  <c r="T164" i="2"/>
  <c r="T165" i="2"/>
  <c r="T166" i="2"/>
  <c r="T167" i="2"/>
  <c r="T168" i="2"/>
  <c r="T169" i="2"/>
  <c r="T170" i="2"/>
  <c r="T171" i="2"/>
  <c r="T172" i="2"/>
  <c r="R172" i="1" s="1"/>
  <c r="U172" i="1" s="1"/>
  <c r="T173" i="2"/>
  <c r="R173" i="1" s="1"/>
  <c r="U173" i="1" s="1"/>
  <c r="T174" i="2"/>
  <c r="R174" i="1" s="1"/>
  <c r="U174" i="1" s="1"/>
  <c r="T175" i="2"/>
  <c r="T176" i="2"/>
  <c r="R176" i="1" s="1"/>
  <c r="U176" i="1" s="1"/>
  <c r="T177" i="2"/>
  <c r="T178" i="2"/>
  <c r="T179" i="2"/>
  <c r="T180" i="2"/>
  <c r="T181" i="2"/>
  <c r="T182" i="2"/>
  <c r="T183" i="2"/>
  <c r="T184" i="2"/>
  <c r="T185" i="2"/>
  <c r="R185" i="1" s="1"/>
  <c r="U185" i="1" s="1"/>
  <c r="T186" i="2"/>
  <c r="R186" i="1" s="1"/>
  <c r="U186" i="1" s="1"/>
  <c r="T187" i="2"/>
  <c r="R187" i="1" s="1"/>
  <c r="U187" i="1" s="1"/>
  <c r="T188" i="2"/>
  <c r="T189" i="2"/>
  <c r="R189" i="1" s="1"/>
  <c r="U189" i="1" s="1"/>
  <c r="T190" i="2"/>
  <c r="T191" i="2"/>
  <c r="T192" i="2"/>
  <c r="T193" i="2"/>
  <c r="T194" i="2"/>
  <c r="T195" i="2"/>
  <c r="T196" i="2"/>
  <c r="T197" i="2"/>
  <c r="R197" i="1" s="1"/>
  <c r="U197" i="1" s="1"/>
  <c r="T198" i="2"/>
  <c r="R198" i="1" s="1"/>
  <c r="U198" i="1" s="1"/>
  <c r="T199" i="2"/>
  <c r="R199" i="1" s="1"/>
  <c r="U199" i="1" s="1"/>
  <c r="T200" i="2"/>
  <c r="T201" i="2"/>
  <c r="R201" i="1" s="1"/>
  <c r="U201" i="1" s="1"/>
  <c r="T202" i="2"/>
  <c r="T203" i="2"/>
  <c r="T204" i="2"/>
  <c r="T205" i="2"/>
  <c r="T206" i="2"/>
  <c r="T207" i="2"/>
  <c r="T208" i="2"/>
  <c r="T209" i="2"/>
  <c r="R209" i="1" s="1"/>
  <c r="U209" i="1" s="1"/>
  <c r="T210" i="2"/>
  <c r="R210" i="1" s="1"/>
  <c r="U210" i="1" s="1"/>
  <c r="T211" i="2"/>
  <c r="R211" i="1" s="1"/>
  <c r="U211" i="1" s="1"/>
  <c r="T212" i="2"/>
  <c r="T213" i="2"/>
  <c r="R213" i="1" s="1"/>
  <c r="U213" i="1" s="1"/>
  <c r="T214" i="2"/>
  <c r="T215" i="2"/>
  <c r="T216" i="2"/>
  <c r="T217" i="2"/>
  <c r="T218" i="2"/>
  <c r="T219" i="2"/>
  <c r="T220" i="2"/>
  <c r="T221" i="2"/>
  <c r="R221" i="1" s="1"/>
  <c r="U221" i="1" s="1"/>
  <c r="T222" i="2"/>
  <c r="R222" i="1" s="1"/>
  <c r="U222" i="1" s="1"/>
  <c r="T223" i="2"/>
  <c r="R223" i="1" s="1"/>
  <c r="U223" i="1" s="1"/>
  <c r="T224" i="2"/>
  <c r="T225" i="2"/>
  <c r="R225" i="1" s="1"/>
  <c r="U225" i="1" s="1"/>
  <c r="T226" i="2"/>
  <c r="T227" i="2"/>
  <c r="T228" i="2"/>
  <c r="T229" i="2"/>
  <c r="T230" i="2"/>
  <c r="T231" i="2"/>
  <c r="T232" i="2"/>
  <c r="T233" i="2"/>
  <c r="R233" i="1" s="1"/>
  <c r="U233" i="1" s="1"/>
  <c r="T234" i="2"/>
  <c r="R234" i="1" s="1"/>
  <c r="U234" i="1" s="1"/>
  <c r="T235" i="2"/>
  <c r="R235" i="1" s="1"/>
  <c r="U235" i="1" s="1"/>
  <c r="T236" i="2"/>
  <c r="T237" i="2"/>
  <c r="R237" i="1" s="1"/>
  <c r="U237" i="1" s="1"/>
  <c r="T238" i="2"/>
  <c r="T239" i="2"/>
  <c r="T240" i="2"/>
  <c r="T241" i="2"/>
  <c r="T242" i="2"/>
  <c r="T243" i="2"/>
  <c r="T244" i="2"/>
  <c r="T245" i="2"/>
  <c r="R245" i="1" s="1"/>
  <c r="U245" i="1" s="1"/>
  <c r="T246" i="2"/>
  <c r="R246" i="1" s="1"/>
  <c r="U246" i="1" s="1"/>
  <c r="T247" i="2"/>
  <c r="R247" i="1" s="1"/>
  <c r="U247" i="1" s="1"/>
  <c r="T248" i="2"/>
  <c r="T249" i="2"/>
  <c r="R249" i="1" s="1"/>
  <c r="U249" i="1" s="1"/>
  <c r="T250" i="2"/>
  <c r="T251" i="2"/>
  <c r="T252" i="2"/>
  <c r="T253" i="2"/>
  <c r="T254" i="2"/>
  <c r="T255" i="2"/>
  <c r="T256" i="2"/>
  <c r="T257" i="2"/>
  <c r="R257" i="1" s="1"/>
  <c r="U257" i="1" s="1"/>
  <c r="T258" i="2"/>
  <c r="R258" i="1" s="1"/>
  <c r="U258" i="1" s="1"/>
  <c r="T259" i="2"/>
  <c r="R259" i="1" s="1"/>
  <c r="U259" i="1" s="1"/>
  <c r="T260" i="2"/>
  <c r="T261" i="2"/>
  <c r="R261" i="1" s="1"/>
  <c r="U261" i="1" s="1"/>
  <c r="T262" i="2"/>
  <c r="T263" i="2"/>
  <c r="T264" i="2"/>
  <c r="T265" i="2"/>
  <c r="T266" i="2"/>
  <c r="T267" i="2"/>
  <c r="T268" i="2"/>
  <c r="T269" i="2"/>
  <c r="R269" i="1" s="1"/>
  <c r="U269" i="1" s="1"/>
  <c r="T270" i="2"/>
  <c r="R270" i="1" s="1"/>
  <c r="U270" i="1" s="1"/>
  <c r="T271" i="2"/>
  <c r="R271" i="1" s="1"/>
  <c r="U271" i="1" s="1"/>
  <c r="T272" i="2"/>
  <c r="T273" i="2"/>
  <c r="R273" i="1" s="1"/>
  <c r="U273" i="1" s="1"/>
  <c r="T274" i="2"/>
  <c r="T275" i="2"/>
  <c r="T276" i="2"/>
  <c r="T277" i="2"/>
  <c r="T278" i="2"/>
  <c r="T279" i="2"/>
  <c r="T280" i="2"/>
  <c r="T281" i="2"/>
  <c r="R281" i="1" s="1"/>
  <c r="U281" i="1" s="1"/>
  <c r="T282" i="2"/>
  <c r="R282" i="1" s="1"/>
  <c r="U282" i="1" s="1"/>
  <c r="T283" i="2"/>
  <c r="R283" i="1" s="1"/>
  <c r="U283" i="1" s="1"/>
  <c r="T284" i="2"/>
  <c r="T285" i="2"/>
  <c r="R285" i="1" s="1"/>
  <c r="U285" i="1" s="1"/>
  <c r="T286" i="2"/>
  <c r="T287" i="2"/>
  <c r="T288" i="2"/>
  <c r="T289" i="2"/>
  <c r="T290" i="2"/>
  <c r="T291" i="2"/>
  <c r="T292" i="2"/>
  <c r="T293" i="2"/>
  <c r="R293" i="1" s="1"/>
  <c r="U293" i="1" s="1"/>
  <c r="T294" i="2"/>
  <c r="R294" i="1" s="1"/>
  <c r="U294" i="1" s="1"/>
  <c r="T295" i="2"/>
  <c r="R295" i="1" s="1"/>
  <c r="U295" i="1" s="1"/>
  <c r="T296" i="2"/>
  <c r="T297" i="2"/>
  <c r="R297" i="1" s="1"/>
  <c r="U297" i="1" s="1"/>
  <c r="T298" i="2"/>
  <c r="T299" i="2"/>
  <c r="T300" i="2"/>
  <c r="T301" i="2"/>
  <c r="T302" i="2"/>
  <c r="T303" i="2"/>
  <c r="T304" i="2"/>
  <c r="T305" i="2"/>
  <c r="R305" i="1" s="1"/>
  <c r="U305" i="1" s="1"/>
  <c r="T306" i="2"/>
  <c r="R306" i="1" s="1"/>
  <c r="U306" i="1" s="1"/>
  <c r="T307" i="2"/>
  <c r="R307" i="1" s="1"/>
  <c r="U307" i="1" s="1"/>
  <c r="T308" i="2"/>
  <c r="T309" i="2"/>
  <c r="R309" i="1" s="1"/>
  <c r="U309" i="1" s="1"/>
  <c r="T310" i="2"/>
  <c r="T311" i="2"/>
  <c r="T312" i="2"/>
  <c r="T313" i="2"/>
  <c r="T314" i="2"/>
  <c r="T315" i="2"/>
  <c r="T316" i="2"/>
  <c r="T317" i="2"/>
  <c r="R317" i="1" s="1"/>
  <c r="U317" i="1" s="1"/>
  <c r="T318" i="2"/>
  <c r="R318" i="1" s="1"/>
  <c r="U318" i="1" s="1"/>
  <c r="T319" i="2"/>
  <c r="R319" i="1" s="1"/>
  <c r="U319" i="1" s="1"/>
  <c r="T320" i="2"/>
  <c r="T321" i="2"/>
  <c r="R321" i="1" s="1"/>
  <c r="U321" i="1" s="1"/>
  <c r="T322" i="2"/>
  <c r="T323" i="2"/>
  <c r="T324" i="2"/>
  <c r="T325" i="2"/>
  <c r="T326" i="2"/>
  <c r="T327" i="2"/>
  <c r="T328" i="2"/>
  <c r="T329" i="2"/>
  <c r="R329" i="1" s="1"/>
  <c r="U329" i="1" s="1"/>
  <c r="T330" i="2"/>
  <c r="R330" i="1" s="1"/>
  <c r="U330" i="1" s="1"/>
  <c r="T331" i="2"/>
  <c r="R331" i="1" s="1"/>
  <c r="U331" i="1" s="1"/>
  <c r="T332" i="2"/>
  <c r="T333" i="2"/>
  <c r="R333" i="1" s="1"/>
  <c r="U333" i="1" s="1"/>
  <c r="T334" i="2"/>
  <c r="T335" i="2"/>
  <c r="T336" i="2"/>
  <c r="T337" i="2"/>
  <c r="T338" i="2"/>
  <c r="T339" i="2"/>
  <c r="T340" i="2"/>
  <c r="T341" i="2"/>
  <c r="R341" i="1" s="1"/>
  <c r="U341" i="1" s="1"/>
  <c r="T342" i="2"/>
  <c r="R342" i="1" s="1"/>
  <c r="U342" i="1" s="1"/>
  <c r="T343" i="2"/>
  <c r="R343" i="1" s="1"/>
  <c r="U343" i="1" s="1"/>
  <c r="T344" i="2"/>
  <c r="T345" i="2"/>
  <c r="R345" i="1" s="1"/>
  <c r="U345" i="1" s="1"/>
  <c r="T346" i="2"/>
  <c r="T347" i="2"/>
  <c r="T348" i="2"/>
  <c r="T349" i="2"/>
  <c r="T350" i="2"/>
  <c r="T351" i="2"/>
  <c r="T352" i="2"/>
  <c r="T353" i="2"/>
  <c r="R353" i="1" s="1"/>
  <c r="U353" i="1" s="1"/>
  <c r="T354" i="2"/>
  <c r="R354" i="1" s="1"/>
  <c r="U354" i="1" s="1"/>
  <c r="T355" i="2"/>
  <c r="R355" i="1" s="1"/>
  <c r="U355" i="1" s="1"/>
  <c r="T356" i="2"/>
  <c r="T357" i="2"/>
  <c r="R357" i="1" s="1"/>
  <c r="U357" i="1" s="1"/>
  <c r="T358" i="2"/>
  <c r="T359" i="2"/>
  <c r="T360" i="2"/>
  <c r="T361" i="2"/>
  <c r="T362" i="2"/>
  <c r="T363" i="2"/>
  <c r="T364" i="2"/>
  <c r="T365" i="2"/>
  <c r="R365" i="1" s="1"/>
  <c r="U365" i="1" s="1"/>
  <c r="T366" i="2"/>
  <c r="R366" i="1" s="1"/>
  <c r="U366" i="1" s="1"/>
  <c r="T367" i="2"/>
  <c r="R367" i="1" s="1"/>
  <c r="U367" i="1" s="1"/>
  <c r="T368" i="2"/>
  <c r="T369" i="2"/>
  <c r="R369" i="1" s="1"/>
  <c r="U369" i="1" s="1"/>
  <c r="T370" i="2"/>
  <c r="T371" i="2"/>
  <c r="T372" i="2"/>
  <c r="T373" i="2"/>
  <c r="T374" i="2"/>
  <c r="T375" i="2"/>
  <c r="T376" i="2"/>
  <c r="T377" i="2"/>
  <c r="R377" i="1" s="1"/>
  <c r="U377" i="1" s="1"/>
  <c r="T378" i="2"/>
  <c r="R378" i="1" s="1"/>
  <c r="U378" i="1" s="1"/>
  <c r="T379" i="2"/>
  <c r="R379" i="1" s="1"/>
  <c r="U379" i="1" s="1"/>
  <c r="T380" i="2"/>
  <c r="T381" i="2"/>
  <c r="R381" i="1" s="1"/>
  <c r="U381" i="1" s="1"/>
  <c r="T382" i="2"/>
  <c r="T383" i="2"/>
  <c r="T384" i="2"/>
  <c r="T385" i="2"/>
  <c r="T386" i="2"/>
  <c r="T387" i="2"/>
  <c r="T388" i="2"/>
  <c r="T389" i="2"/>
  <c r="U389" i="2" s="1"/>
  <c r="T390" i="2"/>
  <c r="U390" i="2" s="1"/>
  <c r="T391" i="2"/>
  <c r="U391" i="2" s="1"/>
  <c r="T392" i="2"/>
  <c r="U392" i="2" s="1"/>
  <c r="T393" i="2"/>
  <c r="U393" i="2" s="1"/>
  <c r="T394" i="2"/>
  <c r="U394" i="2" s="1"/>
  <c r="T395" i="2"/>
  <c r="U395" i="2" s="1"/>
  <c r="T396" i="2"/>
  <c r="U396" i="2" s="1"/>
  <c r="T397" i="2"/>
  <c r="U397" i="2" s="1"/>
  <c r="T398" i="2"/>
  <c r="U398" i="2" s="1"/>
  <c r="T399" i="2"/>
  <c r="U399" i="2" s="1"/>
  <c r="T400" i="2"/>
  <c r="U400" i="2" s="1"/>
  <c r="T401" i="2"/>
  <c r="U401" i="2" s="1"/>
  <c r="T402" i="2"/>
  <c r="U402" i="2" s="1"/>
  <c r="T403" i="2"/>
  <c r="U403" i="2" s="1"/>
  <c r="T404" i="2"/>
  <c r="U404" i="2" s="1"/>
  <c r="T405" i="2"/>
  <c r="U405" i="2" s="1"/>
  <c r="T406" i="2"/>
  <c r="U406" i="2" s="1"/>
  <c r="T407" i="2"/>
  <c r="U407" i="2" s="1"/>
  <c r="T408" i="2"/>
  <c r="U408" i="2" s="1"/>
  <c r="T409" i="2"/>
  <c r="U409" i="2" s="1"/>
  <c r="T410" i="2"/>
  <c r="U410" i="2" s="1"/>
  <c r="T411" i="2"/>
  <c r="U411" i="2" s="1"/>
  <c r="T412" i="2"/>
  <c r="U412" i="2" s="1"/>
  <c r="T413" i="2"/>
  <c r="U413" i="2" s="1"/>
  <c r="T414" i="2"/>
  <c r="U414" i="2" s="1"/>
  <c r="T415" i="2"/>
  <c r="U415" i="2" s="1"/>
  <c r="T416" i="2"/>
  <c r="U416" i="2" s="1"/>
  <c r="T417" i="2"/>
  <c r="U417" i="2" s="1"/>
  <c r="T418" i="2"/>
  <c r="U418" i="2" s="1"/>
  <c r="T419" i="2"/>
  <c r="U419" i="2" s="1"/>
  <c r="T420" i="2"/>
  <c r="U420" i="2" s="1"/>
  <c r="T421" i="2"/>
  <c r="U421" i="2" s="1"/>
  <c r="T422" i="2"/>
  <c r="U422" i="2" s="1"/>
  <c r="T423" i="2"/>
  <c r="U423" i="2" s="1"/>
  <c r="T424" i="2"/>
  <c r="U424" i="2" s="1"/>
  <c r="T425" i="2"/>
  <c r="U425" i="2" s="1"/>
  <c r="T426" i="2"/>
  <c r="U426" i="2" s="1"/>
  <c r="T427" i="2"/>
  <c r="U427" i="2" s="1"/>
  <c r="T428" i="2"/>
  <c r="U428" i="2" s="1"/>
  <c r="T429" i="2"/>
  <c r="U429" i="2" s="1"/>
  <c r="T430" i="2"/>
  <c r="U430" i="2" s="1"/>
  <c r="T431" i="2"/>
  <c r="U431" i="2" s="1"/>
  <c r="T432" i="2"/>
  <c r="U432" i="2" s="1"/>
  <c r="T433" i="2"/>
  <c r="U433" i="2" s="1"/>
  <c r="T434" i="2"/>
  <c r="U434" i="2" s="1"/>
  <c r="T435" i="2"/>
  <c r="U435" i="2" s="1"/>
  <c r="T436" i="2"/>
  <c r="U436" i="2" s="1"/>
  <c r="T437" i="2"/>
  <c r="U437" i="2" s="1"/>
  <c r="T438" i="2"/>
  <c r="U438" i="2" s="1"/>
  <c r="T439" i="2"/>
  <c r="U439" i="2" s="1"/>
  <c r="T440" i="2"/>
  <c r="U440" i="2" s="1"/>
  <c r="T441" i="2"/>
  <c r="U441" i="2" s="1"/>
  <c r="T442" i="2"/>
  <c r="U442" i="2" s="1"/>
  <c r="T443" i="2"/>
  <c r="U443" i="2" s="1"/>
  <c r="T444" i="2"/>
  <c r="U444" i="2" s="1"/>
  <c r="T445" i="2"/>
  <c r="U445" i="2" s="1"/>
  <c r="T446" i="2"/>
  <c r="U446" i="2" s="1"/>
  <c r="T447" i="2"/>
  <c r="U447" i="2" s="1"/>
  <c r="T448" i="2"/>
  <c r="U448" i="2" s="1"/>
  <c r="T449" i="2"/>
  <c r="U449" i="2" s="1"/>
  <c r="T450" i="2"/>
  <c r="U450" i="2" s="1"/>
  <c r="T451" i="2"/>
  <c r="U451" i="2" s="1"/>
  <c r="T452" i="2"/>
  <c r="U452" i="2" s="1"/>
  <c r="T453" i="2"/>
  <c r="U453" i="2" s="1"/>
  <c r="T454" i="2"/>
  <c r="U454" i="2" s="1"/>
  <c r="T455" i="2"/>
  <c r="U455" i="2" s="1"/>
  <c r="T456" i="2"/>
  <c r="U456" i="2" s="1"/>
  <c r="T457" i="2"/>
  <c r="U457" i="2" s="1"/>
  <c r="T458" i="2"/>
  <c r="U458" i="2" s="1"/>
  <c r="T459" i="2"/>
  <c r="U459" i="2" s="1"/>
  <c r="T460" i="2"/>
  <c r="U460" i="2" s="1"/>
  <c r="T461" i="2"/>
  <c r="U461" i="2" s="1"/>
  <c r="T462" i="2"/>
  <c r="U462" i="2" s="1"/>
  <c r="T463" i="2"/>
  <c r="U463" i="2" s="1"/>
  <c r="T464" i="2"/>
  <c r="U464" i="2" s="1"/>
  <c r="T465" i="2"/>
  <c r="U465" i="2" s="1"/>
  <c r="T466" i="2"/>
  <c r="U466" i="2" s="1"/>
  <c r="T467" i="2"/>
  <c r="U467" i="2" s="1"/>
  <c r="T468" i="2"/>
  <c r="U468" i="2" s="1"/>
  <c r="T469" i="2"/>
  <c r="U469" i="2" s="1"/>
  <c r="T470" i="2"/>
  <c r="U470" i="2" s="1"/>
  <c r="T471" i="2"/>
  <c r="U471" i="2" s="1"/>
  <c r="T472" i="2"/>
  <c r="U472" i="2" s="1"/>
  <c r="T473" i="2"/>
  <c r="U473" i="2" s="1"/>
  <c r="T474" i="2"/>
  <c r="T475" i="2"/>
  <c r="U475" i="2" s="1"/>
  <c r="T476" i="2"/>
  <c r="U476" i="2" s="1"/>
  <c r="T477" i="2"/>
  <c r="U477" i="2" s="1"/>
  <c r="T478" i="2"/>
  <c r="U478" i="2" s="1"/>
  <c r="T479" i="2"/>
  <c r="U479" i="2" s="1"/>
  <c r="T480" i="2"/>
  <c r="U480" i="2" s="1"/>
  <c r="T481" i="2"/>
  <c r="U481" i="2" s="1"/>
  <c r="T482" i="2"/>
  <c r="U482" i="2" s="1"/>
  <c r="T483" i="2"/>
  <c r="U483" i="2" s="1"/>
  <c r="T484" i="2"/>
  <c r="U484" i="2" s="1"/>
  <c r="T485" i="2"/>
  <c r="U485" i="2" s="1"/>
  <c r="T486" i="2"/>
  <c r="U486" i="2" s="1"/>
  <c r="T487" i="2"/>
  <c r="U487" i="2" s="1"/>
  <c r="T488" i="2"/>
  <c r="U488" i="2" s="1"/>
  <c r="T489" i="2"/>
  <c r="U489" i="2" s="1"/>
  <c r="T490" i="2"/>
  <c r="U490" i="2" s="1"/>
  <c r="T491" i="2"/>
  <c r="U491" i="2" s="1"/>
  <c r="T492" i="2"/>
  <c r="U492" i="2" s="1"/>
  <c r="T493" i="2"/>
  <c r="U493" i="2" s="1"/>
  <c r="T494" i="2"/>
  <c r="U494" i="2" s="1"/>
  <c r="T495" i="2"/>
  <c r="U495" i="2" s="1"/>
  <c r="T496" i="2"/>
  <c r="U496" i="2" s="1"/>
  <c r="T497" i="2"/>
  <c r="U497" i="2" s="1"/>
  <c r="T498" i="2"/>
  <c r="U498" i="2" s="1"/>
  <c r="T499" i="2"/>
  <c r="U499" i="2" s="1"/>
  <c r="T500" i="2"/>
  <c r="U500" i="2" s="1"/>
  <c r="T501" i="2"/>
  <c r="U501" i="2" s="1"/>
  <c r="T502" i="2"/>
  <c r="U502" i="2" s="1"/>
  <c r="T503" i="2"/>
  <c r="U503" i="2" s="1"/>
  <c r="T504" i="2"/>
  <c r="U504" i="2" s="1"/>
  <c r="T505" i="2"/>
  <c r="U505" i="2" s="1"/>
  <c r="T506" i="2"/>
  <c r="U506" i="2" s="1"/>
  <c r="T507" i="2"/>
  <c r="U507" i="2" s="1"/>
  <c r="T508" i="2"/>
  <c r="U508" i="2" s="1"/>
  <c r="T509" i="2"/>
  <c r="U509" i="2" s="1"/>
  <c r="T510" i="2"/>
  <c r="U510" i="2" s="1"/>
  <c r="T511" i="2"/>
  <c r="U511" i="2" s="1"/>
  <c r="T512" i="2"/>
  <c r="U512" i="2" s="1"/>
  <c r="T513" i="2"/>
  <c r="U513" i="2" s="1"/>
  <c r="T514" i="2"/>
  <c r="U514" i="2" s="1"/>
  <c r="T515" i="2"/>
  <c r="U515" i="2" s="1"/>
  <c r="T516" i="2"/>
  <c r="U516" i="2" s="1"/>
  <c r="T517" i="2"/>
  <c r="U517" i="2" s="1"/>
  <c r="T518" i="2"/>
  <c r="U518" i="2" s="1"/>
  <c r="T519" i="2"/>
  <c r="U519" i="2" s="1"/>
  <c r="T520" i="2"/>
  <c r="U520" i="2" s="1"/>
  <c r="T521" i="2"/>
  <c r="U521" i="2" s="1"/>
  <c r="T522" i="2"/>
  <c r="U522" i="2" s="1"/>
  <c r="T523" i="2"/>
  <c r="U523" i="2" s="1"/>
  <c r="T524" i="2"/>
  <c r="U524" i="2" s="1"/>
  <c r="T525" i="2"/>
  <c r="U525" i="2" s="1"/>
  <c r="T526" i="2"/>
  <c r="U526" i="2" s="1"/>
  <c r="T527" i="2"/>
  <c r="U527" i="2" s="1"/>
  <c r="T528" i="2"/>
  <c r="U528" i="2" s="1"/>
  <c r="T529" i="2"/>
  <c r="U529" i="2" s="1"/>
  <c r="T530" i="2"/>
  <c r="U530" i="2" s="1"/>
  <c r="T531" i="2"/>
  <c r="U531" i="2" s="1"/>
  <c r="T532" i="2"/>
  <c r="U532" i="2" s="1"/>
  <c r="T533" i="2"/>
  <c r="U533" i="2" s="1"/>
  <c r="T534" i="2"/>
  <c r="U534" i="2" s="1"/>
  <c r="T535" i="2"/>
  <c r="U535" i="2" s="1"/>
  <c r="T536" i="2"/>
  <c r="U536" i="2" s="1"/>
  <c r="T537" i="2"/>
  <c r="U537" i="2" s="1"/>
  <c r="T538" i="2"/>
  <c r="U538" i="2" s="1"/>
  <c r="T539" i="2"/>
  <c r="U539" i="2" s="1"/>
  <c r="T540" i="2"/>
  <c r="U540" i="2" s="1"/>
  <c r="T541" i="2"/>
  <c r="U541" i="2" s="1"/>
  <c r="T542" i="2"/>
  <c r="U542" i="2" s="1"/>
  <c r="T543" i="2"/>
  <c r="U543" i="2" s="1"/>
  <c r="T544" i="2"/>
  <c r="U544" i="2" s="1"/>
  <c r="T545" i="2"/>
  <c r="U545" i="2" s="1"/>
  <c r="T546" i="2"/>
  <c r="U546" i="2" s="1"/>
  <c r="T547" i="2"/>
  <c r="U547" i="2" s="1"/>
  <c r="T548" i="2"/>
  <c r="U548" i="2" s="1"/>
  <c r="T549" i="2"/>
  <c r="U549" i="2" s="1"/>
  <c r="T550" i="2"/>
  <c r="U550" i="2" s="1"/>
  <c r="T551" i="2"/>
  <c r="U551" i="2" s="1"/>
  <c r="T552" i="2"/>
  <c r="U552" i="2" s="1"/>
  <c r="T553" i="2"/>
  <c r="U553" i="2" s="1"/>
  <c r="T554" i="2"/>
  <c r="U554" i="2" s="1"/>
  <c r="T555" i="2"/>
  <c r="U555" i="2" s="1"/>
  <c r="T556" i="2"/>
  <c r="U556" i="2" s="1"/>
  <c r="T557" i="2"/>
  <c r="U557" i="2" s="1"/>
  <c r="T558" i="2"/>
  <c r="U558" i="2" s="1"/>
  <c r="T559" i="2"/>
  <c r="U559" i="2" s="1"/>
  <c r="T560" i="2"/>
  <c r="U560" i="2" s="1"/>
  <c r="T561" i="2"/>
  <c r="U561" i="2" s="1"/>
  <c r="T562" i="2"/>
  <c r="U562" i="2" s="1"/>
  <c r="T563" i="2"/>
  <c r="U563" i="2" s="1"/>
  <c r="T564" i="2"/>
  <c r="U564" i="2" s="1"/>
  <c r="T565" i="2"/>
  <c r="U565" i="2" s="1"/>
  <c r="T566" i="2"/>
  <c r="U566" i="2" s="1"/>
  <c r="T567" i="2"/>
  <c r="U567" i="2" s="1"/>
  <c r="T568" i="2"/>
  <c r="U568" i="2" s="1"/>
  <c r="T569" i="2"/>
  <c r="U569" i="2" s="1"/>
  <c r="T570" i="2"/>
  <c r="U570" i="2" s="1"/>
  <c r="T571" i="2"/>
  <c r="U571" i="2" s="1"/>
  <c r="T572" i="2"/>
  <c r="U572" i="2" s="1"/>
  <c r="T573" i="2"/>
  <c r="U573" i="2" s="1"/>
  <c r="T574" i="2"/>
  <c r="U574" i="2" s="1"/>
  <c r="T575" i="2"/>
  <c r="U575" i="2" s="1"/>
  <c r="T576" i="2"/>
  <c r="U576" i="2" s="1"/>
  <c r="T577" i="2"/>
  <c r="U577" i="2" s="1"/>
  <c r="T578" i="2"/>
  <c r="U578" i="2" s="1"/>
  <c r="T579" i="2"/>
  <c r="U579" i="2" s="1"/>
  <c r="T580" i="2"/>
  <c r="U580" i="2" s="1"/>
  <c r="T581" i="2"/>
  <c r="U581" i="2" s="1"/>
  <c r="T582" i="2"/>
  <c r="U582" i="2" s="1"/>
  <c r="T583" i="2"/>
  <c r="U583" i="2" s="1"/>
  <c r="T584" i="2"/>
  <c r="U584" i="2" s="1"/>
  <c r="T585" i="2"/>
  <c r="U585" i="2" s="1"/>
  <c r="T586" i="2"/>
  <c r="U586" i="2" s="1"/>
  <c r="T587" i="2"/>
  <c r="U587" i="2" s="1"/>
  <c r="T588" i="2"/>
  <c r="U588" i="2" s="1"/>
  <c r="T589" i="2"/>
  <c r="U589" i="2" s="1"/>
  <c r="T590" i="2"/>
  <c r="U590" i="2" s="1"/>
  <c r="T591" i="2"/>
  <c r="U591" i="2" s="1"/>
  <c r="T592" i="2"/>
  <c r="U592" i="2" s="1"/>
  <c r="T593" i="2"/>
  <c r="U593" i="2" s="1"/>
  <c r="T594" i="2"/>
  <c r="U594" i="2" s="1"/>
  <c r="T595" i="2"/>
  <c r="U595" i="2" s="1"/>
  <c r="T596" i="2"/>
  <c r="U596" i="2" s="1"/>
  <c r="T597" i="2"/>
  <c r="U597" i="2" s="1"/>
  <c r="T598" i="2"/>
  <c r="U598" i="2" s="1"/>
  <c r="T599" i="2"/>
  <c r="U599" i="2" s="1"/>
  <c r="T600" i="2"/>
  <c r="U600" i="2" s="1"/>
  <c r="T601" i="2"/>
  <c r="U601" i="2" s="1"/>
  <c r="T602" i="2"/>
  <c r="U602" i="2" s="1"/>
  <c r="T603" i="2"/>
  <c r="U603" i="2" s="1"/>
  <c r="T604" i="2"/>
  <c r="U604" i="2" s="1"/>
  <c r="T605" i="2"/>
  <c r="U605" i="2" s="1"/>
  <c r="T606" i="2"/>
  <c r="U606" i="2" s="1"/>
  <c r="T607" i="2"/>
  <c r="U607" i="2" s="1"/>
  <c r="T608" i="2"/>
  <c r="U608" i="2" s="1"/>
  <c r="T609" i="2"/>
  <c r="U609" i="2" s="1"/>
  <c r="T610" i="2"/>
  <c r="U610" i="2" s="1"/>
  <c r="T611" i="2"/>
  <c r="U611" i="2" s="1"/>
  <c r="T612" i="2"/>
  <c r="U612" i="2" s="1"/>
  <c r="T613" i="2"/>
  <c r="U613" i="2" s="1"/>
  <c r="T614" i="2"/>
  <c r="U614" i="2" s="1"/>
  <c r="T615" i="2"/>
  <c r="U615" i="2" s="1"/>
  <c r="T616" i="2"/>
  <c r="U616" i="2" s="1"/>
  <c r="T617" i="2"/>
  <c r="U617" i="2" s="1"/>
  <c r="T618" i="2"/>
  <c r="U618" i="2" s="1"/>
  <c r="T619" i="2"/>
  <c r="U619" i="2" s="1"/>
  <c r="T620" i="2"/>
  <c r="U620" i="2" s="1"/>
  <c r="T621" i="2"/>
  <c r="U621" i="2" s="1"/>
  <c r="T622" i="2"/>
  <c r="U622" i="2" s="1"/>
  <c r="T623" i="2"/>
  <c r="U623" i="2" s="1"/>
  <c r="T624" i="2"/>
  <c r="U624" i="2" s="1"/>
  <c r="T625" i="2"/>
  <c r="U625" i="2" s="1"/>
  <c r="T626" i="2"/>
  <c r="U626" i="2" s="1"/>
  <c r="T627" i="2"/>
  <c r="U627" i="2" s="1"/>
  <c r="T628" i="2"/>
  <c r="U628" i="2" s="1"/>
  <c r="T629" i="2"/>
  <c r="U629" i="2" s="1"/>
  <c r="T630" i="2"/>
  <c r="U630" i="2" s="1"/>
  <c r="T631" i="2"/>
  <c r="U631" i="2" s="1"/>
  <c r="T632" i="2"/>
  <c r="U632" i="2" s="1"/>
  <c r="T633" i="2"/>
  <c r="U633" i="2" s="1"/>
  <c r="T634" i="2"/>
  <c r="U634" i="2" s="1"/>
  <c r="T635" i="2"/>
  <c r="U635" i="2" s="1"/>
  <c r="T636" i="2"/>
  <c r="U636" i="2" s="1"/>
  <c r="T637" i="2"/>
  <c r="U637" i="2" s="1"/>
  <c r="T638" i="2"/>
  <c r="U638" i="2" s="1"/>
  <c r="T639" i="2"/>
  <c r="U639" i="2" s="1"/>
  <c r="T640" i="2"/>
  <c r="U640" i="2" s="1"/>
  <c r="T641" i="2"/>
  <c r="U641" i="2" s="1"/>
  <c r="T642" i="2"/>
  <c r="U642" i="2" s="1"/>
  <c r="T643" i="2"/>
  <c r="U643" i="2" s="1"/>
  <c r="T644" i="2"/>
  <c r="U644" i="2" s="1"/>
  <c r="T645" i="2"/>
  <c r="U645" i="2" s="1"/>
  <c r="T646" i="2"/>
  <c r="U646" i="2" s="1"/>
  <c r="T647" i="2"/>
  <c r="U647" i="2" s="1"/>
  <c r="T648" i="2"/>
  <c r="U648" i="2" s="1"/>
  <c r="T649" i="2"/>
  <c r="U649" i="2" s="1"/>
  <c r="T650" i="2"/>
  <c r="U650" i="2" s="1"/>
  <c r="T651" i="2"/>
  <c r="U651" i="2" s="1"/>
  <c r="T652" i="2"/>
  <c r="U652" i="2" s="1"/>
  <c r="T653" i="2"/>
  <c r="U653" i="2" s="1"/>
  <c r="T654" i="2"/>
  <c r="U654" i="2" s="1"/>
  <c r="T655" i="2"/>
  <c r="U655" i="2" s="1"/>
  <c r="T656" i="2"/>
  <c r="U656" i="2" s="1"/>
  <c r="T657" i="2"/>
  <c r="U657" i="2" s="1"/>
  <c r="T658" i="2"/>
  <c r="U658" i="2" s="1"/>
  <c r="T659" i="2"/>
  <c r="U659" i="2" s="1"/>
  <c r="T660" i="2"/>
  <c r="U660" i="2" s="1"/>
  <c r="T661" i="2"/>
  <c r="U661" i="2" s="1"/>
  <c r="T662" i="2"/>
  <c r="U662" i="2" s="1"/>
  <c r="T663" i="2"/>
  <c r="U663" i="2" s="1"/>
  <c r="T664" i="2"/>
  <c r="U664" i="2" s="1"/>
  <c r="T665" i="2"/>
  <c r="U665" i="2" s="1"/>
  <c r="T666" i="2"/>
  <c r="U666" i="2" s="1"/>
  <c r="T667" i="2"/>
  <c r="U667" i="2" s="1"/>
  <c r="T668" i="2"/>
  <c r="U668" i="2" s="1"/>
  <c r="T669" i="2"/>
  <c r="U669" i="2" s="1"/>
  <c r="T670" i="2"/>
  <c r="U670" i="2" s="1"/>
  <c r="T671" i="2"/>
  <c r="U671" i="2" s="1"/>
  <c r="T672" i="2"/>
  <c r="U672" i="2" s="1"/>
  <c r="T673" i="2"/>
  <c r="U673" i="2" s="1"/>
  <c r="T674" i="2"/>
  <c r="U674" i="2" s="1"/>
  <c r="T675" i="2"/>
  <c r="U675" i="2" s="1"/>
  <c r="T676" i="2"/>
  <c r="U676" i="2" s="1"/>
  <c r="T677" i="2"/>
  <c r="U677" i="2" s="1"/>
  <c r="T678" i="2"/>
  <c r="U678" i="2" s="1"/>
  <c r="T679" i="2"/>
  <c r="U679" i="2" s="1"/>
  <c r="T680" i="2"/>
  <c r="U680" i="2" s="1"/>
  <c r="T681" i="2"/>
  <c r="U681" i="2" s="1"/>
  <c r="T682" i="2"/>
  <c r="U682" i="2" s="1"/>
  <c r="T683" i="2"/>
  <c r="U683" i="2" s="1"/>
  <c r="T684" i="2"/>
  <c r="U684" i="2" s="1"/>
  <c r="T685" i="2"/>
  <c r="U685" i="2" s="1"/>
  <c r="T686" i="2"/>
  <c r="U686" i="2" s="1"/>
  <c r="T687" i="2"/>
  <c r="U687" i="2" s="1"/>
  <c r="T688" i="2"/>
  <c r="U688" i="2" s="1"/>
  <c r="T689" i="2"/>
  <c r="U689" i="2" s="1"/>
  <c r="T690" i="2"/>
  <c r="U690" i="2" s="1"/>
  <c r="T691" i="2"/>
  <c r="U691" i="2" s="1"/>
  <c r="T692" i="2"/>
  <c r="U692" i="2" s="1"/>
  <c r="T693" i="2"/>
  <c r="U693" i="2" s="1"/>
  <c r="T694" i="2"/>
  <c r="U694" i="2" s="1"/>
  <c r="T695" i="2"/>
  <c r="U695" i="2" s="1"/>
  <c r="T696" i="2"/>
  <c r="U696" i="2" s="1"/>
  <c r="T697" i="2"/>
  <c r="U697" i="2" s="1"/>
  <c r="T698" i="2"/>
  <c r="U698" i="2" s="1"/>
  <c r="T699" i="2"/>
  <c r="U699" i="2" s="1"/>
  <c r="T700" i="2"/>
  <c r="U700" i="2" s="1"/>
  <c r="T701" i="2"/>
  <c r="U701" i="2" s="1"/>
  <c r="T702" i="2"/>
  <c r="U702" i="2" s="1"/>
  <c r="T703" i="2"/>
  <c r="U703" i="2" s="1"/>
  <c r="T704" i="2"/>
  <c r="U704" i="2" s="1"/>
  <c r="T705" i="2"/>
  <c r="U705" i="2" s="1"/>
  <c r="T706" i="2"/>
  <c r="U706" i="2" s="1"/>
  <c r="T707" i="2"/>
  <c r="U707" i="2" s="1"/>
  <c r="T708" i="2"/>
  <c r="U708" i="2" s="1"/>
  <c r="T709" i="2"/>
  <c r="U709" i="2" s="1"/>
  <c r="T710" i="2"/>
  <c r="U710" i="2" s="1"/>
  <c r="T711" i="2"/>
  <c r="U711" i="2" s="1"/>
  <c r="T712" i="2"/>
  <c r="U712" i="2" s="1"/>
  <c r="T713" i="2"/>
  <c r="U713" i="2" s="1"/>
  <c r="T714" i="2"/>
  <c r="U714" i="2" s="1"/>
  <c r="T715" i="2"/>
  <c r="U715" i="2" s="1"/>
  <c r="T716" i="2"/>
  <c r="U716" i="2" s="1"/>
  <c r="T717" i="2"/>
  <c r="U717" i="2" s="1"/>
  <c r="T718" i="2"/>
  <c r="U718" i="2" s="1"/>
  <c r="T719" i="2"/>
  <c r="U719" i="2" s="1"/>
  <c r="T720" i="2"/>
  <c r="U720" i="2" s="1"/>
  <c r="T721" i="2"/>
  <c r="U721" i="2" s="1"/>
  <c r="T722" i="2"/>
  <c r="U722" i="2" s="1"/>
  <c r="T723" i="2"/>
  <c r="U723" i="2" s="1"/>
  <c r="T724" i="2"/>
  <c r="U724" i="2" s="1"/>
  <c r="T725" i="2"/>
  <c r="U725" i="2" s="1"/>
  <c r="T726" i="2"/>
  <c r="U726" i="2" s="1"/>
  <c r="T727" i="2"/>
  <c r="U727" i="2" s="1"/>
  <c r="T728" i="2"/>
  <c r="U728" i="2" s="1"/>
  <c r="T729" i="2"/>
  <c r="U729" i="2" s="1"/>
  <c r="T730" i="2"/>
  <c r="U730" i="2" s="1"/>
  <c r="T731" i="2"/>
  <c r="U731" i="2" s="1"/>
  <c r="T732" i="2"/>
  <c r="U732" i="2" s="1"/>
  <c r="T733" i="2"/>
  <c r="U733" i="2" s="1"/>
  <c r="T734" i="2"/>
  <c r="U734" i="2" s="1"/>
  <c r="T735" i="2"/>
  <c r="U735" i="2" s="1"/>
  <c r="T736" i="2"/>
  <c r="U736" i="2" s="1"/>
  <c r="T737" i="2"/>
  <c r="U737" i="2" s="1"/>
  <c r="T738" i="2"/>
  <c r="U738" i="2" s="1"/>
  <c r="T739" i="2"/>
  <c r="U739" i="2" s="1"/>
  <c r="T740" i="2"/>
  <c r="U740" i="2" s="1"/>
  <c r="T741" i="2"/>
  <c r="U741" i="2" s="1"/>
  <c r="T742" i="2"/>
  <c r="U742" i="2" s="1"/>
  <c r="T743" i="2"/>
  <c r="U743" i="2" s="1"/>
  <c r="T744" i="2"/>
  <c r="U744" i="2" s="1"/>
  <c r="T745" i="2"/>
  <c r="U745" i="2" s="1"/>
  <c r="T746" i="2"/>
  <c r="U746" i="2" s="1"/>
  <c r="T747" i="2"/>
  <c r="U747" i="2" s="1"/>
  <c r="T748" i="2"/>
  <c r="U748" i="2" s="1"/>
  <c r="T749" i="2"/>
  <c r="U749" i="2" s="1"/>
  <c r="T750" i="2"/>
  <c r="U750" i="2" s="1"/>
  <c r="T751" i="2"/>
  <c r="U751" i="2" s="1"/>
  <c r="T752" i="2"/>
  <c r="U752" i="2" s="1"/>
  <c r="T753" i="2"/>
  <c r="U753" i="2" s="1"/>
  <c r="T754" i="2"/>
  <c r="U754" i="2" s="1"/>
  <c r="T755" i="2"/>
  <c r="U755" i="2" s="1"/>
  <c r="T756" i="2"/>
  <c r="U756" i="2" s="1"/>
  <c r="T757" i="2"/>
  <c r="U757" i="2" s="1"/>
  <c r="T758" i="2"/>
  <c r="U758" i="2" s="1"/>
  <c r="T759" i="2"/>
  <c r="U759" i="2" s="1"/>
  <c r="T760" i="2"/>
  <c r="U760" i="2" s="1"/>
  <c r="T761" i="2"/>
  <c r="U761" i="2" s="1"/>
  <c r="T762" i="2"/>
  <c r="U762" i="2" s="1"/>
  <c r="T763" i="2"/>
  <c r="U763" i="2" s="1"/>
  <c r="T764" i="2"/>
  <c r="U764" i="2" s="1"/>
  <c r="T765" i="2"/>
  <c r="U765" i="2" s="1"/>
  <c r="T766" i="2"/>
  <c r="U766" i="2" s="1"/>
  <c r="T767" i="2"/>
  <c r="U767" i="2" s="1"/>
  <c r="T768" i="2"/>
  <c r="U768" i="2" s="1"/>
  <c r="T769" i="2"/>
  <c r="U769" i="2" s="1"/>
  <c r="T770" i="2"/>
  <c r="U770" i="2" s="1"/>
  <c r="T771" i="2"/>
  <c r="U771" i="2" s="1"/>
  <c r="T772" i="2"/>
  <c r="U772" i="2" s="1"/>
  <c r="T773" i="2"/>
  <c r="U773" i="2" s="1"/>
  <c r="T774" i="2"/>
  <c r="U774" i="2" s="1"/>
  <c r="T775" i="2"/>
  <c r="U775" i="2" s="1"/>
  <c r="T776" i="2"/>
  <c r="U776" i="2" s="1"/>
  <c r="T777" i="2"/>
  <c r="U777" i="2" s="1"/>
  <c r="T778" i="2"/>
  <c r="U778" i="2" s="1"/>
  <c r="T779" i="2"/>
  <c r="U779" i="2" s="1"/>
  <c r="T780" i="2"/>
  <c r="U780" i="2" s="1"/>
  <c r="T781" i="2"/>
  <c r="U781" i="2" s="1"/>
  <c r="T782" i="2"/>
  <c r="U782" i="2" s="1"/>
  <c r="T783" i="2"/>
  <c r="U783" i="2" s="1"/>
  <c r="T784" i="2"/>
  <c r="U784" i="2" s="1"/>
  <c r="T785" i="2"/>
  <c r="U785" i="2" s="1"/>
  <c r="T786" i="2"/>
  <c r="U786" i="2" s="1"/>
  <c r="T787" i="2"/>
  <c r="U787" i="2" s="1"/>
  <c r="T788" i="2"/>
  <c r="U788" i="2" s="1"/>
  <c r="T789" i="2"/>
  <c r="U789" i="2" s="1"/>
  <c r="T790" i="2"/>
  <c r="U790" i="2" s="1"/>
  <c r="T791" i="2"/>
  <c r="U791" i="2" s="1"/>
  <c r="T792" i="2"/>
  <c r="U792" i="2" s="1"/>
  <c r="T793" i="2"/>
  <c r="U793" i="2" s="1"/>
  <c r="T794" i="2"/>
  <c r="U794" i="2" s="1"/>
  <c r="T795" i="2"/>
  <c r="U795" i="2" s="1"/>
  <c r="T796" i="2"/>
  <c r="U796" i="2" s="1"/>
  <c r="T797" i="2"/>
  <c r="U797" i="2"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2" i="1"/>
  <c r="T3" i="2"/>
  <c r="R3" i="1" s="1"/>
  <c r="T4" i="2"/>
  <c r="R4" i="1" s="1"/>
  <c r="T5" i="2"/>
  <c r="T6" i="2"/>
  <c r="R6" i="1" s="1"/>
  <c r="T7" i="2"/>
  <c r="T8" i="2"/>
  <c r="T9" i="2"/>
  <c r="T2" i="2"/>
  <c r="U2" i="2" s="1"/>
  <c r="Y384" i="1" l="1"/>
  <c r="Z384" i="1" s="1"/>
  <c r="Y204" i="1"/>
  <c r="Z204" i="1" s="1"/>
  <c r="Y230" i="1"/>
  <c r="Z230" i="1" s="1"/>
  <c r="Y133" i="1"/>
  <c r="Z133" i="1" s="1"/>
  <c r="Y300" i="1"/>
  <c r="Z300" i="1" s="1"/>
  <c r="Y326" i="1"/>
  <c r="Z326" i="1" s="1"/>
  <c r="Y386" i="1"/>
  <c r="Z386" i="1" s="1"/>
  <c r="Y264" i="1"/>
  <c r="Z264" i="1" s="1"/>
  <c r="Y333" i="1"/>
  <c r="Z333" i="1" s="1"/>
  <c r="Y205" i="1"/>
  <c r="Z205" i="1" s="1"/>
  <c r="Y288" i="1"/>
  <c r="Z288" i="1" s="1"/>
  <c r="Y266" i="1"/>
  <c r="Z266" i="1" s="1"/>
  <c r="Y338" i="1"/>
  <c r="Z338" i="1" s="1"/>
  <c r="Y314" i="1"/>
  <c r="Z314" i="1" s="1"/>
  <c r="Y169" i="1"/>
  <c r="Z169" i="1" s="1"/>
  <c r="Y146" i="1"/>
  <c r="Z146" i="1" s="1"/>
  <c r="Y144" i="1"/>
  <c r="Z144" i="1" s="1"/>
  <c r="Y290" i="1"/>
  <c r="Z290" i="1" s="1"/>
  <c r="Y134" i="1"/>
  <c r="Z134" i="1" s="1"/>
  <c r="Y358" i="1"/>
  <c r="Z358" i="1" s="1"/>
  <c r="Y274" i="1"/>
  <c r="Z274" i="1" s="1"/>
  <c r="Y240" i="1"/>
  <c r="Z240" i="1" s="1"/>
  <c r="Y214" i="1"/>
  <c r="Z214" i="1" s="1"/>
  <c r="Y299" i="1"/>
  <c r="Z299" i="1" s="1"/>
  <c r="Y362" i="1"/>
  <c r="Z362" i="1" s="1"/>
  <c r="Y180" i="1"/>
  <c r="Z180" i="1" s="1"/>
  <c r="Y170" i="1"/>
  <c r="Z170" i="1" s="1"/>
  <c r="Y242" i="1"/>
  <c r="Z242" i="1" s="1"/>
  <c r="Y311" i="1"/>
  <c r="Z311" i="1" s="1"/>
  <c r="G8" i="1"/>
  <c r="D8" i="1"/>
  <c r="G9" i="1"/>
  <c r="D9" i="1"/>
  <c r="G5" i="1"/>
  <c r="D5" i="1"/>
  <c r="G4" i="1"/>
  <c r="D4" i="1"/>
  <c r="D11" i="1"/>
  <c r="G11" i="1"/>
  <c r="G7" i="1"/>
  <c r="D7" i="1"/>
  <c r="D6" i="1"/>
  <c r="G6" i="1"/>
  <c r="G3" i="1"/>
  <c r="D3" i="1"/>
  <c r="G10" i="1"/>
  <c r="D10" i="1"/>
  <c r="R42" i="1"/>
  <c r="U42" i="1" s="1"/>
  <c r="R18" i="1"/>
  <c r="U18" i="1" s="1"/>
  <c r="R44" i="1"/>
  <c r="U44" i="1" s="1"/>
  <c r="R20" i="1"/>
  <c r="U20" i="1" s="1"/>
  <c r="R31" i="1"/>
  <c r="U31" i="1" s="1"/>
  <c r="R19" i="1"/>
  <c r="U19" i="1" s="1"/>
  <c r="R28" i="1"/>
  <c r="U28" i="1" s="1"/>
  <c r="R43" i="1"/>
  <c r="U43" i="1" s="1"/>
  <c r="R32" i="1"/>
  <c r="U32" i="1" s="1"/>
  <c r="U222" i="2"/>
  <c r="U223" i="2"/>
  <c r="U187" i="2"/>
  <c r="U186" i="2"/>
  <c r="U367" i="2"/>
  <c r="U366" i="2"/>
  <c r="U331" i="2"/>
  <c r="U330" i="2"/>
  <c r="U295" i="2"/>
  <c r="U294" i="2"/>
  <c r="U259" i="2"/>
  <c r="U377" i="2"/>
  <c r="U341" i="2"/>
  <c r="U305" i="2"/>
  <c r="U269" i="2"/>
  <c r="U233" i="2"/>
  <c r="U197" i="2"/>
  <c r="R51" i="1"/>
  <c r="U51" i="1" s="1"/>
  <c r="U388" i="2"/>
  <c r="R388" i="1"/>
  <c r="U388" i="1" s="1"/>
  <c r="U376" i="2"/>
  <c r="R376" i="1"/>
  <c r="U376" i="1" s="1"/>
  <c r="U364" i="2"/>
  <c r="R364" i="1"/>
  <c r="U364" i="1" s="1"/>
  <c r="U352" i="2"/>
  <c r="R352" i="1"/>
  <c r="U352" i="1" s="1"/>
  <c r="U340" i="2"/>
  <c r="R340" i="1"/>
  <c r="U340" i="1" s="1"/>
  <c r="U328" i="2"/>
  <c r="R328" i="1"/>
  <c r="U328" i="1" s="1"/>
  <c r="U316" i="2"/>
  <c r="R316" i="1"/>
  <c r="U316" i="1" s="1"/>
  <c r="U304" i="2"/>
  <c r="R304" i="1"/>
  <c r="U304" i="1" s="1"/>
  <c r="U292" i="2"/>
  <c r="R292" i="1"/>
  <c r="U292" i="1" s="1"/>
  <c r="U280" i="2"/>
  <c r="R280" i="1"/>
  <c r="U280" i="1" s="1"/>
  <c r="U268" i="2"/>
  <c r="R268" i="1"/>
  <c r="U268" i="1" s="1"/>
  <c r="U256" i="2"/>
  <c r="R256" i="1"/>
  <c r="U256" i="1" s="1"/>
  <c r="U244" i="2"/>
  <c r="R244" i="1"/>
  <c r="U244" i="1" s="1"/>
  <c r="U232" i="2"/>
  <c r="R232" i="1"/>
  <c r="U232" i="1" s="1"/>
  <c r="U220" i="2"/>
  <c r="R220" i="1"/>
  <c r="U220" i="1" s="1"/>
  <c r="U208" i="2"/>
  <c r="R208" i="1"/>
  <c r="U208" i="1" s="1"/>
  <c r="U196" i="2"/>
  <c r="R196" i="1"/>
  <c r="U196" i="1" s="1"/>
  <c r="U184" i="2"/>
  <c r="R184" i="1"/>
  <c r="U184" i="1" s="1"/>
  <c r="U369" i="2"/>
  <c r="U333" i="2"/>
  <c r="U297" i="2"/>
  <c r="U261" i="2"/>
  <c r="U225" i="2"/>
  <c r="U189" i="2"/>
  <c r="U315" i="2"/>
  <c r="R315" i="1"/>
  <c r="U315" i="1" s="1"/>
  <c r="U254" i="2"/>
  <c r="R254" i="1"/>
  <c r="U254" i="1" s="1"/>
  <c r="U385" i="2"/>
  <c r="R385" i="1"/>
  <c r="U385" i="1" s="1"/>
  <c r="U373" i="2"/>
  <c r="R373" i="1"/>
  <c r="U373" i="1" s="1"/>
  <c r="U361" i="2"/>
  <c r="R361" i="1"/>
  <c r="U361" i="1" s="1"/>
  <c r="U349" i="2"/>
  <c r="R349" i="1"/>
  <c r="U349" i="1" s="1"/>
  <c r="U337" i="2"/>
  <c r="R337" i="1"/>
  <c r="U337" i="1" s="1"/>
  <c r="U325" i="2"/>
  <c r="R325" i="1"/>
  <c r="U325" i="1" s="1"/>
  <c r="U313" i="2"/>
  <c r="R313" i="1"/>
  <c r="U313" i="1" s="1"/>
  <c r="U301" i="2"/>
  <c r="R301" i="1"/>
  <c r="U301" i="1" s="1"/>
  <c r="U289" i="2"/>
  <c r="R289" i="1"/>
  <c r="U289" i="1" s="1"/>
  <c r="U277" i="2"/>
  <c r="R277" i="1"/>
  <c r="U277" i="1" s="1"/>
  <c r="U265" i="2"/>
  <c r="R265" i="1"/>
  <c r="U265" i="1" s="1"/>
  <c r="U253" i="2"/>
  <c r="R253" i="1"/>
  <c r="U253" i="1" s="1"/>
  <c r="U241" i="2"/>
  <c r="R241" i="1"/>
  <c r="U241" i="1" s="1"/>
  <c r="U229" i="2"/>
  <c r="R229" i="1"/>
  <c r="U229" i="1" s="1"/>
  <c r="U217" i="2"/>
  <c r="R217" i="1"/>
  <c r="U217" i="1" s="1"/>
  <c r="U205" i="2"/>
  <c r="R205" i="1"/>
  <c r="U205" i="1" s="1"/>
  <c r="U193" i="2"/>
  <c r="R193" i="1"/>
  <c r="U193" i="1" s="1"/>
  <c r="U181" i="2"/>
  <c r="R181" i="1"/>
  <c r="U181" i="1" s="1"/>
  <c r="U365" i="2"/>
  <c r="U329" i="2"/>
  <c r="U293" i="2"/>
  <c r="U257" i="2"/>
  <c r="U221" i="2"/>
  <c r="U185" i="2"/>
  <c r="U351" i="2"/>
  <c r="R351" i="1"/>
  <c r="U351" i="1" s="1"/>
  <c r="U279" i="2"/>
  <c r="R279" i="1"/>
  <c r="U279" i="1" s="1"/>
  <c r="U350" i="2"/>
  <c r="R350" i="1"/>
  <c r="U350" i="1" s="1"/>
  <c r="U314" i="2"/>
  <c r="R314" i="1"/>
  <c r="U314" i="1" s="1"/>
  <c r="U266" i="2"/>
  <c r="R266" i="1"/>
  <c r="U266" i="1" s="1"/>
  <c r="U182" i="2"/>
  <c r="R182" i="1"/>
  <c r="U182" i="1" s="1"/>
  <c r="U384" i="2"/>
  <c r="R384" i="1"/>
  <c r="U384" i="1" s="1"/>
  <c r="U372" i="2"/>
  <c r="R372" i="1"/>
  <c r="U372" i="1" s="1"/>
  <c r="U360" i="2"/>
  <c r="R360" i="1"/>
  <c r="U360" i="1" s="1"/>
  <c r="U348" i="2"/>
  <c r="R348" i="1"/>
  <c r="U348" i="1" s="1"/>
  <c r="U336" i="2"/>
  <c r="R336" i="1"/>
  <c r="U336" i="1" s="1"/>
  <c r="U324" i="2"/>
  <c r="R324" i="1"/>
  <c r="U324" i="1" s="1"/>
  <c r="U312" i="2"/>
  <c r="R312" i="1"/>
  <c r="U312" i="1" s="1"/>
  <c r="U300" i="2"/>
  <c r="R300" i="1"/>
  <c r="U300" i="1" s="1"/>
  <c r="U288" i="2"/>
  <c r="R288" i="1"/>
  <c r="U288" i="1" s="1"/>
  <c r="U276" i="2"/>
  <c r="R276" i="1"/>
  <c r="U276" i="1" s="1"/>
  <c r="U264" i="2"/>
  <c r="R264" i="1"/>
  <c r="U264" i="1" s="1"/>
  <c r="U252" i="2"/>
  <c r="R252" i="1"/>
  <c r="U252" i="1" s="1"/>
  <c r="U240" i="2"/>
  <c r="R240" i="1"/>
  <c r="U240" i="1" s="1"/>
  <c r="U228" i="2"/>
  <c r="R228" i="1"/>
  <c r="U228" i="1" s="1"/>
  <c r="U216" i="2"/>
  <c r="R216" i="1"/>
  <c r="U216" i="1" s="1"/>
  <c r="U204" i="2"/>
  <c r="R204" i="1"/>
  <c r="U204" i="1" s="1"/>
  <c r="U192" i="2"/>
  <c r="R192" i="1"/>
  <c r="U192" i="1" s="1"/>
  <c r="U180" i="2"/>
  <c r="R180" i="1"/>
  <c r="U180" i="1" s="1"/>
  <c r="U357" i="2"/>
  <c r="U321" i="2"/>
  <c r="U285" i="2"/>
  <c r="U249" i="2"/>
  <c r="U213" i="2"/>
  <c r="U339" i="2"/>
  <c r="R339" i="1"/>
  <c r="U339" i="1" s="1"/>
  <c r="U219" i="2"/>
  <c r="R219" i="1"/>
  <c r="U219" i="1" s="1"/>
  <c r="U383" i="2"/>
  <c r="R383" i="1"/>
  <c r="U383" i="1" s="1"/>
  <c r="U371" i="2"/>
  <c r="R371" i="1"/>
  <c r="U371" i="1" s="1"/>
  <c r="U359" i="2"/>
  <c r="R359" i="1"/>
  <c r="U359" i="1" s="1"/>
  <c r="U347" i="2"/>
  <c r="R347" i="1"/>
  <c r="U347" i="1" s="1"/>
  <c r="U335" i="2"/>
  <c r="R335" i="1"/>
  <c r="U335" i="1" s="1"/>
  <c r="U323" i="2"/>
  <c r="R323" i="1"/>
  <c r="U323" i="1" s="1"/>
  <c r="U311" i="2"/>
  <c r="R311" i="1"/>
  <c r="U311" i="1" s="1"/>
  <c r="U299" i="2"/>
  <c r="R299" i="1"/>
  <c r="U299" i="1" s="1"/>
  <c r="U287" i="2"/>
  <c r="R287" i="1"/>
  <c r="U287" i="1" s="1"/>
  <c r="U275" i="2"/>
  <c r="R275" i="1"/>
  <c r="U275" i="1" s="1"/>
  <c r="U263" i="2"/>
  <c r="R263" i="1"/>
  <c r="U263" i="1" s="1"/>
  <c r="U251" i="2"/>
  <c r="R251" i="1"/>
  <c r="U251" i="1" s="1"/>
  <c r="U239" i="2"/>
  <c r="R239" i="1"/>
  <c r="U239" i="1" s="1"/>
  <c r="U227" i="2"/>
  <c r="R227" i="1"/>
  <c r="U227" i="1" s="1"/>
  <c r="U215" i="2"/>
  <c r="R215" i="1"/>
  <c r="U215" i="1" s="1"/>
  <c r="U203" i="2"/>
  <c r="R203" i="1"/>
  <c r="U203" i="1" s="1"/>
  <c r="U191" i="2"/>
  <c r="R191" i="1"/>
  <c r="U191" i="1" s="1"/>
  <c r="U179" i="2"/>
  <c r="R179" i="1"/>
  <c r="U179" i="1" s="1"/>
  <c r="U355" i="2"/>
  <c r="U319" i="2"/>
  <c r="U283" i="2"/>
  <c r="U247" i="2"/>
  <c r="U211" i="2"/>
  <c r="U195" i="2"/>
  <c r="R195" i="1"/>
  <c r="U195" i="1" s="1"/>
  <c r="U386" i="2"/>
  <c r="R386" i="1"/>
  <c r="U386" i="1" s="1"/>
  <c r="U326" i="2"/>
  <c r="R326" i="1"/>
  <c r="U326" i="1" s="1"/>
  <c r="U290" i="2"/>
  <c r="R290" i="1"/>
  <c r="U290" i="1" s="1"/>
  <c r="U242" i="2"/>
  <c r="R242" i="1"/>
  <c r="U242" i="1" s="1"/>
  <c r="U194" i="2"/>
  <c r="R194" i="1"/>
  <c r="U194" i="1" s="1"/>
  <c r="U382" i="2"/>
  <c r="R382" i="1"/>
  <c r="U382" i="1" s="1"/>
  <c r="U370" i="2"/>
  <c r="R370" i="1"/>
  <c r="U370" i="1" s="1"/>
  <c r="U358" i="2"/>
  <c r="R358" i="1"/>
  <c r="U358" i="1" s="1"/>
  <c r="U346" i="2"/>
  <c r="R346" i="1"/>
  <c r="U346" i="1" s="1"/>
  <c r="U334" i="2"/>
  <c r="R334" i="1"/>
  <c r="U334" i="1" s="1"/>
  <c r="U322" i="2"/>
  <c r="R322" i="1"/>
  <c r="U322" i="1" s="1"/>
  <c r="U310" i="2"/>
  <c r="R310" i="1"/>
  <c r="U310" i="1" s="1"/>
  <c r="U298" i="2"/>
  <c r="R298" i="1"/>
  <c r="U298" i="1" s="1"/>
  <c r="U286" i="2"/>
  <c r="R286" i="1"/>
  <c r="U286" i="1" s="1"/>
  <c r="U274" i="2"/>
  <c r="R274" i="1"/>
  <c r="U274" i="1" s="1"/>
  <c r="U262" i="2"/>
  <c r="R262" i="1"/>
  <c r="U262" i="1" s="1"/>
  <c r="U250" i="2"/>
  <c r="R250" i="1"/>
  <c r="U250" i="1" s="1"/>
  <c r="U238" i="2"/>
  <c r="R238" i="1"/>
  <c r="U238" i="1" s="1"/>
  <c r="U226" i="2"/>
  <c r="R226" i="1"/>
  <c r="U226" i="1" s="1"/>
  <c r="U214" i="2"/>
  <c r="R214" i="1"/>
  <c r="U214" i="1" s="1"/>
  <c r="U202" i="2"/>
  <c r="R202" i="1"/>
  <c r="U202" i="1" s="1"/>
  <c r="U190" i="2"/>
  <c r="R190" i="1"/>
  <c r="U190" i="1" s="1"/>
  <c r="U354" i="2"/>
  <c r="U318" i="2"/>
  <c r="U282" i="2"/>
  <c r="U246" i="2"/>
  <c r="U210" i="2"/>
  <c r="U375" i="2"/>
  <c r="R375" i="1"/>
  <c r="U375" i="1" s="1"/>
  <c r="U291" i="2"/>
  <c r="R291" i="1"/>
  <c r="U291" i="1" s="1"/>
  <c r="U231" i="2"/>
  <c r="R231" i="1"/>
  <c r="U231" i="1" s="1"/>
  <c r="U374" i="2"/>
  <c r="R374" i="1"/>
  <c r="U374" i="1" s="1"/>
  <c r="U230" i="2"/>
  <c r="R230" i="1"/>
  <c r="U230" i="1" s="1"/>
  <c r="U353" i="2"/>
  <c r="U317" i="2"/>
  <c r="U281" i="2"/>
  <c r="U245" i="2"/>
  <c r="U209" i="2"/>
  <c r="U327" i="2"/>
  <c r="R327" i="1"/>
  <c r="U327" i="1" s="1"/>
  <c r="U362" i="2"/>
  <c r="R362" i="1"/>
  <c r="U362" i="1" s="1"/>
  <c r="U302" i="2"/>
  <c r="R302" i="1"/>
  <c r="U302" i="1" s="1"/>
  <c r="U218" i="2"/>
  <c r="R218" i="1"/>
  <c r="U218" i="1" s="1"/>
  <c r="U380" i="2"/>
  <c r="R380" i="1"/>
  <c r="U380" i="1" s="1"/>
  <c r="U368" i="2"/>
  <c r="R368" i="1"/>
  <c r="U368" i="1" s="1"/>
  <c r="U356" i="2"/>
  <c r="R356" i="1"/>
  <c r="U356" i="1" s="1"/>
  <c r="U344" i="2"/>
  <c r="R344" i="1"/>
  <c r="U344" i="1" s="1"/>
  <c r="U332" i="2"/>
  <c r="R332" i="1"/>
  <c r="U332" i="1" s="1"/>
  <c r="U320" i="2"/>
  <c r="R320" i="1"/>
  <c r="U320" i="1" s="1"/>
  <c r="U308" i="2"/>
  <c r="R308" i="1"/>
  <c r="U308" i="1" s="1"/>
  <c r="U296" i="2"/>
  <c r="R296" i="1"/>
  <c r="U296" i="1" s="1"/>
  <c r="U284" i="2"/>
  <c r="R284" i="1"/>
  <c r="U284" i="1" s="1"/>
  <c r="U272" i="2"/>
  <c r="R272" i="1"/>
  <c r="U272" i="1" s="1"/>
  <c r="U260" i="2"/>
  <c r="R260" i="1"/>
  <c r="U260" i="1" s="1"/>
  <c r="U248" i="2"/>
  <c r="R248" i="1"/>
  <c r="U248" i="1" s="1"/>
  <c r="U236" i="2"/>
  <c r="R236" i="1"/>
  <c r="U236" i="1" s="1"/>
  <c r="U224" i="2"/>
  <c r="R224" i="1"/>
  <c r="U224" i="1" s="1"/>
  <c r="U212" i="2"/>
  <c r="R212" i="1"/>
  <c r="U212" i="1" s="1"/>
  <c r="U200" i="2"/>
  <c r="R200" i="1"/>
  <c r="U200" i="1" s="1"/>
  <c r="U188" i="2"/>
  <c r="R188" i="1"/>
  <c r="U188" i="1" s="1"/>
  <c r="U381" i="2"/>
  <c r="U345" i="2"/>
  <c r="U309" i="2"/>
  <c r="U273" i="2"/>
  <c r="U237" i="2"/>
  <c r="U201" i="2"/>
  <c r="U387" i="2"/>
  <c r="R387" i="1"/>
  <c r="U387" i="1" s="1"/>
  <c r="U267" i="2"/>
  <c r="R267" i="1"/>
  <c r="U267" i="1" s="1"/>
  <c r="U183" i="2"/>
  <c r="R183" i="1"/>
  <c r="U183" i="1" s="1"/>
  <c r="U379" i="2"/>
  <c r="U343" i="2"/>
  <c r="U307" i="2"/>
  <c r="U271" i="2"/>
  <c r="U235" i="2"/>
  <c r="U199" i="2"/>
  <c r="U363" i="2"/>
  <c r="R363" i="1"/>
  <c r="U363" i="1" s="1"/>
  <c r="U303" i="2"/>
  <c r="R303" i="1"/>
  <c r="U303" i="1" s="1"/>
  <c r="U255" i="2"/>
  <c r="R255" i="1"/>
  <c r="U255" i="1" s="1"/>
  <c r="U243" i="2"/>
  <c r="R243" i="1"/>
  <c r="U243" i="1" s="1"/>
  <c r="U207" i="2"/>
  <c r="R207" i="1"/>
  <c r="U207" i="1" s="1"/>
  <c r="U338" i="2"/>
  <c r="R338" i="1"/>
  <c r="U338" i="1" s="1"/>
  <c r="U278" i="2"/>
  <c r="R278" i="1"/>
  <c r="U278" i="1" s="1"/>
  <c r="U206" i="2"/>
  <c r="R206" i="1"/>
  <c r="U206" i="1" s="1"/>
  <c r="U378" i="2"/>
  <c r="U342" i="2"/>
  <c r="U306" i="2"/>
  <c r="U270" i="2"/>
  <c r="U234" i="2"/>
  <c r="U198" i="2"/>
  <c r="U159" i="2"/>
  <c r="U81" i="2"/>
  <c r="U41" i="1"/>
  <c r="U17" i="1"/>
  <c r="U136" i="2"/>
  <c r="R136" i="1"/>
  <c r="U136" i="1" s="1"/>
  <c r="U112" i="2"/>
  <c r="R112" i="1"/>
  <c r="U112" i="1" s="1"/>
  <c r="U100" i="2"/>
  <c r="R100" i="1"/>
  <c r="U100" i="1" s="1"/>
  <c r="U88" i="2"/>
  <c r="R88" i="1"/>
  <c r="U88" i="1" s="1"/>
  <c r="U76" i="2"/>
  <c r="R76" i="1"/>
  <c r="U76" i="1" s="1"/>
  <c r="U64" i="2"/>
  <c r="R64" i="1"/>
  <c r="U64" i="1" s="1"/>
  <c r="U52" i="2"/>
  <c r="R52" i="1"/>
  <c r="U52" i="1" s="1"/>
  <c r="U150" i="2"/>
  <c r="U80" i="2"/>
  <c r="U171" i="2"/>
  <c r="R171" i="1"/>
  <c r="U171" i="1" s="1"/>
  <c r="U123" i="2"/>
  <c r="R123" i="1"/>
  <c r="U123" i="1" s="1"/>
  <c r="U99" i="2"/>
  <c r="R99" i="1"/>
  <c r="U99" i="1" s="1"/>
  <c r="U87" i="2"/>
  <c r="R87" i="1"/>
  <c r="U87" i="1" s="1"/>
  <c r="U75" i="2"/>
  <c r="R75" i="1"/>
  <c r="U75" i="1" s="1"/>
  <c r="U63" i="2"/>
  <c r="R63" i="1"/>
  <c r="U63" i="1" s="1"/>
  <c r="U148" i="2"/>
  <c r="U71" i="2"/>
  <c r="U30" i="2"/>
  <c r="R29" i="1"/>
  <c r="U29" i="1" s="1"/>
  <c r="U170" i="2"/>
  <c r="R170" i="1"/>
  <c r="U170" i="1" s="1"/>
  <c r="U158" i="2"/>
  <c r="R158" i="1"/>
  <c r="U158" i="1" s="1"/>
  <c r="U146" i="2"/>
  <c r="R146" i="1"/>
  <c r="U146" i="1" s="1"/>
  <c r="U134" i="2"/>
  <c r="R134" i="1"/>
  <c r="U134" i="1" s="1"/>
  <c r="U122" i="2"/>
  <c r="R122" i="1"/>
  <c r="U122" i="1" s="1"/>
  <c r="U110" i="2"/>
  <c r="R110" i="1"/>
  <c r="U110" i="1" s="1"/>
  <c r="U98" i="2"/>
  <c r="R98" i="1"/>
  <c r="U98" i="1" s="1"/>
  <c r="U86" i="2"/>
  <c r="R86" i="1"/>
  <c r="U86" i="1" s="1"/>
  <c r="U74" i="2"/>
  <c r="R74" i="1"/>
  <c r="U74" i="1" s="1"/>
  <c r="U62" i="2"/>
  <c r="R62" i="1"/>
  <c r="U62" i="1" s="1"/>
  <c r="U147" i="2"/>
  <c r="U69" i="2"/>
  <c r="U89" i="2"/>
  <c r="R89" i="1"/>
  <c r="U89" i="1" s="1"/>
  <c r="U169" i="2"/>
  <c r="R169" i="1"/>
  <c r="U169" i="1" s="1"/>
  <c r="U157" i="2"/>
  <c r="R157" i="1"/>
  <c r="U157" i="1" s="1"/>
  <c r="U145" i="2"/>
  <c r="R145" i="1"/>
  <c r="U145" i="1" s="1"/>
  <c r="U133" i="2"/>
  <c r="R133" i="1"/>
  <c r="U133" i="1" s="1"/>
  <c r="U121" i="2"/>
  <c r="R121" i="1"/>
  <c r="U121" i="1" s="1"/>
  <c r="U109" i="2"/>
  <c r="R109" i="1"/>
  <c r="U109" i="1" s="1"/>
  <c r="U97" i="2"/>
  <c r="R97" i="1"/>
  <c r="U97" i="1" s="1"/>
  <c r="U85" i="2"/>
  <c r="R85" i="1"/>
  <c r="U85" i="1" s="1"/>
  <c r="U73" i="2"/>
  <c r="R73" i="1"/>
  <c r="U73" i="1" s="1"/>
  <c r="U61" i="2"/>
  <c r="R61" i="1"/>
  <c r="U61" i="1" s="1"/>
  <c r="U137" i="2"/>
  <c r="U68" i="2"/>
  <c r="U149" i="2"/>
  <c r="R149" i="1"/>
  <c r="U149" i="1" s="1"/>
  <c r="U53" i="2"/>
  <c r="R53" i="1"/>
  <c r="U53" i="1" s="1"/>
  <c r="U168" i="2"/>
  <c r="R168" i="1"/>
  <c r="U168" i="1" s="1"/>
  <c r="U156" i="2"/>
  <c r="R156" i="1"/>
  <c r="U156" i="1" s="1"/>
  <c r="U144" i="2"/>
  <c r="R144" i="1"/>
  <c r="U144" i="1" s="1"/>
  <c r="U132" i="2"/>
  <c r="R132" i="1"/>
  <c r="U132" i="1" s="1"/>
  <c r="U108" i="2"/>
  <c r="R108" i="1"/>
  <c r="U108" i="1" s="1"/>
  <c r="U96" i="2"/>
  <c r="R96" i="1"/>
  <c r="U96" i="1" s="1"/>
  <c r="U84" i="2"/>
  <c r="R84" i="1"/>
  <c r="U84" i="1" s="1"/>
  <c r="U72" i="2"/>
  <c r="R72" i="1"/>
  <c r="U72" i="1" s="1"/>
  <c r="U60" i="2"/>
  <c r="R60" i="1"/>
  <c r="U60" i="1" s="1"/>
  <c r="U176" i="2"/>
  <c r="U135" i="2"/>
  <c r="U67" i="2"/>
  <c r="U125" i="2"/>
  <c r="R125" i="1"/>
  <c r="U125" i="1" s="1"/>
  <c r="U101" i="2"/>
  <c r="R101" i="1"/>
  <c r="U101" i="1" s="1"/>
  <c r="U65" i="2"/>
  <c r="R65" i="1"/>
  <c r="U65" i="1" s="1"/>
  <c r="U167" i="2"/>
  <c r="R167" i="1"/>
  <c r="U167" i="1" s="1"/>
  <c r="U155" i="2"/>
  <c r="R155" i="1"/>
  <c r="U155" i="1" s="1"/>
  <c r="U143" i="2"/>
  <c r="R143" i="1"/>
  <c r="U143" i="1" s="1"/>
  <c r="U131" i="2"/>
  <c r="R131" i="1"/>
  <c r="U131" i="1" s="1"/>
  <c r="U107" i="2"/>
  <c r="R107" i="1"/>
  <c r="U107" i="1" s="1"/>
  <c r="U95" i="2"/>
  <c r="R95" i="1"/>
  <c r="U95" i="1" s="1"/>
  <c r="U83" i="2"/>
  <c r="R83" i="1"/>
  <c r="U83" i="1" s="1"/>
  <c r="U59" i="2"/>
  <c r="R59" i="1"/>
  <c r="U59" i="1" s="1"/>
  <c r="U174" i="2"/>
  <c r="U124" i="2"/>
  <c r="U56" i="2"/>
  <c r="U17" i="2"/>
  <c r="U178" i="2"/>
  <c r="R178" i="1"/>
  <c r="U178" i="1" s="1"/>
  <c r="U166" i="2"/>
  <c r="R166" i="1"/>
  <c r="U166" i="1" s="1"/>
  <c r="U154" i="2"/>
  <c r="R154" i="1"/>
  <c r="U154" i="1" s="1"/>
  <c r="U142" i="2"/>
  <c r="R142" i="1"/>
  <c r="U142" i="1" s="1"/>
  <c r="U130" i="2"/>
  <c r="R130" i="1"/>
  <c r="U130" i="1" s="1"/>
  <c r="U118" i="2"/>
  <c r="R118" i="1"/>
  <c r="U118" i="1" s="1"/>
  <c r="U106" i="2"/>
  <c r="R106" i="1"/>
  <c r="U106" i="1" s="1"/>
  <c r="U94" i="2"/>
  <c r="R94" i="1"/>
  <c r="U94" i="1" s="1"/>
  <c r="U70" i="2"/>
  <c r="R70" i="1"/>
  <c r="U70" i="1" s="1"/>
  <c r="U58" i="2"/>
  <c r="R58" i="1"/>
  <c r="U58" i="1" s="1"/>
  <c r="U173" i="2"/>
  <c r="U120" i="2"/>
  <c r="U55" i="2"/>
  <c r="U16" i="2"/>
  <c r="U113" i="2"/>
  <c r="R113" i="1"/>
  <c r="U113" i="1" s="1"/>
  <c r="U177" i="2"/>
  <c r="R177" i="1"/>
  <c r="U177" i="1" s="1"/>
  <c r="U165" i="2"/>
  <c r="R165" i="1"/>
  <c r="U165" i="1" s="1"/>
  <c r="U153" i="2"/>
  <c r="R153" i="1"/>
  <c r="U153" i="1" s="1"/>
  <c r="U141" i="2"/>
  <c r="R141" i="1"/>
  <c r="U141" i="1" s="1"/>
  <c r="U129" i="2"/>
  <c r="R129" i="1"/>
  <c r="U129" i="1" s="1"/>
  <c r="U117" i="2"/>
  <c r="R117" i="1"/>
  <c r="U117" i="1" s="1"/>
  <c r="U105" i="2"/>
  <c r="R105" i="1"/>
  <c r="U105" i="1" s="1"/>
  <c r="U57" i="2"/>
  <c r="R57" i="1"/>
  <c r="U57" i="1" s="1"/>
  <c r="U172" i="2"/>
  <c r="U119" i="2"/>
  <c r="U54" i="2"/>
  <c r="U15" i="2"/>
  <c r="U77" i="2"/>
  <c r="R77" i="1"/>
  <c r="U77" i="1" s="1"/>
  <c r="U41" i="2"/>
  <c r="U164" i="2"/>
  <c r="R164" i="1"/>
  <c r="U164" i="1" s="1"/>
  <c r="U152" i="2"/>
  <c r="R152" i="1"/>
  <c r="U152" i="1" s="1"/>
  <c r="U140" i="2"/>
  <c r="R140" i="1"/>
  <c r="U140" i="1" s="1"/>
  <c r="U128" i="2"/>
  <c r="R128" i="1"/>
  <c r="U128" i="1" s="1"/>
  <c r="U116" i="2"/>
  <c r="R116" i="1"/>
  <c r="U116" i="1" s="1"/>
  <c r="U104" i="2"/>
  <c r="R104" i="1"/>
  <c r="U104" i="1" s="1"/>
  <c r="U92" i="2"/>
  <c r="R92" i="1"/>
  <c r="U92" i="1" s="1"/>
  <c r="U163" i="2"/>
  <c r="U111" i="2"/>
  <c r="U45" i="2"/>
  <c r="U175" i="2"/>
  <c r="R175" i="1"/>
  <c r="U175" i="1" s="1"/>
  <c r="U151" i="2"/>
  <c r="R151" i="1"/>
  <c r="U151" i="1" s="1"/>
  <c r="U139" i="2"/>
  <c r="R139" i="1"/>
  <c r="U139" i="1" s="1"/>
  <c r="U127" i="2"/>
  <c r="R127" i="1"/>
  <c r="U127" i="1" s="1"/>
  <c r="U115" i="2"/>
  <c r="R115" i="1"/>
  <c r="U115" i="1" s="1"/>
  <c r="U103" i="2"/>
  <c r="R103" i="1"/>
  <c r="U103" i="1" s="1"/>
  <c r="U91" i="2"/>
  <c r="R91" i="1"/>
  <c r="U91" i="1" s="1"/>
  <c r="U79" i="2"/>
  <c r="R79" i="1"/>
  <c r="U79" i="1" s="1"/>
  <c r="U161" i="2"/>
  <c r="U93" i="2"/>
  <c r="U162" i="2"/>
  <c r="R162" i="1"/>
  <c r="U162" i="1" s="1"/>
  <c r="U138" i="2"/>
  <c r="R138" i="1"/>
  <c r="U138" i="1" s="1"/>
  <c r="U126" i="2"/>
  <c r="R126" i="1"/>
  <c r="U126" i="1" s="1"/>
  <c r="U114" i="2"/>
  <c r="R114" i="1"/>
  <c r="U114" i="1" s="1"/>
  <c r="U102" i="2"/>
  <c r="R102" i="1"/>
  <c r="U102" i="1" s="1"/>
  <c r="U90" i="2"/>
  <c r="R90" i="1"/>
  <c r="U90" i="1" s="1"/>
  <c r="U78" i="2"/>
  <c r="R78" i="1"/>
  <c r="U78" i="1" s="1"/>
  <c r="U66" i="2"/>
  <c r="R66" i="1"/>
  <c r="U66" i="1" s="1"/>
  <c r="U160" i="2"/>
  <c r="U82" i="2"/>
  <c r="U3" i="2"/>
  <c r="Z786" i="2"/>
  <c r="Z774" i="2"/>
  <c r="Z762" i="2"/>
  <c r="Z750" i="2"/>
  <c r="Z738" i="2"/>
  <c r="Z726" i="2"/>
  <c r="Z714" i="2"/>
  <c r="Z702" i="2"/>
  <c r="Z690" i="2"/>
  <c r="Z678" i="2"/>
  <c r="Z666" i="2"/>
  <c r="Z654" i="2"/>
  <c r="Z642" i="2"/>
  <c r="Z630" i="2"/>
  <c r="Z618" i="2"/>
  <c r="Z606" i="2"/>
  <c r="Z594" i="2"/>
  <c r="Z570" i="2"/>
  <c r="Z558" i="2"/>
  <c r="Z546" i="2"/>
  <c r="Z534" i="2"/>
  <c r="Z510" i="2"/>
  <c r="Z498" i="2"/>
  <c r="Z486" i="2"/>
  <c r="Z474" i="2"/>
  <c r="Z462" i="2"/>
  <c r="Z450" i="2"/>
  <c r="Z438" i="2"/>
  <c r="Z426" i="2"/>
  <c r="Z414" i="2"/>
  <c r="Z402" i="2"/>
  <c r="Z390" i="2"/>
  <c r="Z378" i="2"/>
  <c r="AB378" i="1" s="1"/>
  <c r="W378" i="1"/>
  <c r="Z366" i="2"/>
  <c r="AB366" i="1" s="1"/>
  <c r="W366" i="1"/>
  <c r="Z354" i="2"/>
  <c r="AB354" i="1" s="1"/>
  <c r="W354" i="1"/>
  <c r="Z342" i="2"/>
  <c r="AB342" i="1" s="1"/>
  <c r="W342" i="1"/>
  <c r="Z330" i="2"/>
  <c r="AB330" i="1" s="1"/>
  <c r="W330" i="1"/>
  <c r="Z318" i="2"/>
  <c r="AB318" i="1" s="1"/>
  <c r="W318" i="1"/>
  <c r="Z306" i="2"/>
  <c r="AB306" i="1" s="1"/>
  <c r="W306" i="1"/>
  <c r="Z294" i="2"/>
  <c r="AB294" i="1" s="1"/>
  <c r="W294" i="1"/>
  <c r="Z282" i="2"/>
  <c r="AB282" i="1" s="1"/>
  <c r="W282" i="1"/>
  <c r="Z270" i="2"/>
  <c r="AB270" i="1" s="1"/>
  <c r="W270" i="1"/>
  <c r="Z258" i="2"/>
  <c r="AB258" i="1" s="1"/>
  <c r="W258" i="1"/>
  <c r="Z246" i="2"/>
  <c r="AB246" i="1" s="1"/>
  <c r="W246" i="1"/>
  <c r="Z234" i="2"/>
  <c r="AB234" i="1" s="1"/>
  <c r="W234" i="1"/>
  <c r="Z222" i="2"/>
  <c r="AB222" i="1" s="1"/>
  <c r="W222" i="1"/>
  <c r="Z210" i="2"/>
  <c r="AB210" i="1" s="1"/>
  <c r="W210" i="1"/>
  <c r="Z198" i="2"/>
  <c r="AB198" i="1" s="1"/>
  <c r="W198" i="1"/>
  <c r="Z186" i="2"/>
  <c r="AB186" i="1" s="1"/>
  <c r="W186" i="1"/>
  <c r="Z174" i="2"/>
  <c r="AB174" i="1" s="1"/>
  <c r="W174" i="1"/>
  <c r="Z162" i="2"/>
  <c r="AB162" i="1" s="1"/>
  <c r="W162" i="1"/>
  <c r="Z150" i="2"/>
  <c r="AB150" i="1" s="1"/>
  <c r="W150" i="1"/>
  <c r="Z138" i="2"/>
  <c r="AB138" i="1" s="1"/>
  <c r="W138" i="1"/>
  <c r="Z126" i="2"/>
  <c r="AB126" i="1" s="1"/>
  <c r="W126" i="1"/>
  <c r="R5" i="1"/>
  <c r="U5" i="1" s="1"/>
  <c r="U5" i="2"/>
  <c r="R50" i="1"/>
  <c r="U50" i="2"/>
  <c r="R38" i="1"/>
  <c r="U38" i="1" s="1"/>
  <c r="U38" i="2"/>
  <c r="R26" i="1"/>
  <c r="U26" i="1" s="1"/>
  <c r="U26" i="2"/>
  <c r="R14" i="1"/>
  <c r="U14" i="1" s="1"/>
  <c r="U14" i="2"/>
  <c r="Z797" i="2"/>
  <c r="Z785" i="2"/>
  <c r="Z773" i="2"/>
  <c r="Z761" i="2"/>
  <c r="Z749" i="2"/>
  <c r="Z737" i="2"/>
  <c r="Z725" i="2"/>
  <c r="Z713" i="2"/>
  <c r="Z701" i="2"/>
  <c r="Z689" i="2"/>
  <c r="Z677" i="2"/>
  <c r="Z665" i="2"/>
  <c r="Z653" i="2"/>
  <c r="Z641" i="2"/>
  <c r="Z629" i="2"/>
  <c r="Z617" i="2"/>
  <c r="Z605" i="2"/>
  <c r="Z581" i="2"/>
  <c r="Z569" i="2"/>
  <c r="Z557" i="2"/>
  <c r="Z545" i="2"/>
  <c r="Z533" i="2"/>
  <c r="Z521" i="2"/>
  <c r="Z509" i="2"/>
  <c r="Z497" i="2"/>
  <c r="Z485" i="2"/>
  <c r="Z473" i="2"/>
  <c r="Z461" i="2"/>
  <c r="Z449" i="2"/>
  <c r="Z437" i="2"/>
  <c r="Z425" i="2"/>
  <c r="Z413" i="2"/>
  <c r="Z401" i="2"/>
  <c r="Z389" i="2"/>
  <c r="AB389" i="1" s="1"/>
  <c r="W389" i="1"/>
  <c r="Z377" i="2"/>
  <c r="AB377" i="1" s="1"/>
  <c r="W377" i="1"/>
  <c r="Z365" i="2"/>
  <c r="AB365" i="1" s="1"/>
  <c r="W365" i="1"/>
  <c r="Z353" i="2"/>
  <c r="AB353" i="1" s="1"/>
  <c r="W353" i="1"/>
  <c r="Z341" i="2"/>
  <c r="AB341" i="1" s="1"/>
  <c r="W341" i="1"/>
  <c r="Z329" i="2"/>
  <c r="AB329" i="1" s="1"/>
  <c r="W329" i="1"/>
  <c r="Z317" i="2"/>
  <c r="AB317" i="1" s="1"/>
  <c r="W317" i="1"/>
  <c r="Z305" i="2"/>
  <c r="AB305" i="1" s="1"/>
  <c r="W305" i="1"/>
  <c r="Z293" i="2"/>
  <c r="AB293" i="1" s="1"/>
  <c r="W293" i="1"/>
  <c r="Z281" i="2"/>
  <c r="AB281" i="1" s="1"/>
  <c r="W281" i="1"/>
  <c r="Z269" i="2"/>
  <c r="AB269" i="1" s="1"/>
  <c r="W269" i="1"/>
  <c r="Z257" i="2"/>
  <c r="AB257" i="1" s="1"/>
  <c r="W257" i="1"/>
  <c r="Z245" i="2"/>
  <c r="AB245" i="1" s="1"/>
  <c r="W245" i="1"/>
  <c r="Z233" i="2"/>
  <c r="AB233" i="1" s="1"/>
  <c r="W233" i="1"/>
  <c r="Z221" i="2"/>
  <c r="AB221" i="1" s="1"/>
  <c r="W221" i="1"/>
  <c r="Z209" i="2"/>
  <c r="AB209" i="1" s="1"/>
  <c r="W209" i="1"/>
  <c r="Z197" i="2"/>
  <c r="AB197" i="1" s="1"/>
  <c r="W197" i="1"/>
  <c r="Z185" i="2"/>
  <c r="AB185" i="1" s="1"/>
  <c r="W185" i="1"/>
  <c r="Z173" i="2"/>
  <c r="AB173" i="1" s="1"/>
  <c r="W173" i="1"/>
  <c r="Z161" i="2"/>
  <c r="AB161" i="1" s="1"/>
  <c r="W161" i="1"/>
  <c r="Z149" i="2"/>
  <c r="AB149" i="1" s="1"/>
  <c r="W149" i="1"/>
  <c r="Z137" i="2"/>
  <c r="AB137" i="1" s="1"/>
  <c r="W137" i="1"/>
  <c r="Z125" i="2"/>
  <c r="AB125" i="1" s="1"/>
  <c r="W125" i="1"/>
  <c r="R36" i="1"/>
  <c r="U36" i="1" s="1"/>
  <c r="U36" i="2"/>
  <c r="R47" i="1"/>
  <c r="U47" i="1" s="1"/>
  <c r="U47" i="2"/>
  <c r="U35" i="2"/>
  <c r="R35" i="1"/>
  <c r="U35" i="1" s="1"/>
  <c r="R23" i="1"/>
  <c r="U23" i="1" s="1"/>
  <c r="U23" i="2"/>
  <c r="U48" i="2"/>
  <c r="R48" i="1"/>
  <c r="U48" i="1" s="1"/>
  <c r="U24" i="2"/>
  <c r="R24" i="1"/>
  <c r="U24" i="1" s="1"/>
  <c r="R13" i="1"/>
  <c r="U13" i="1" s="1"/>
  <c r="U13" i="2"/>
  <c r="R46" i="1"/>
  <c r="U46" i="1" s="1"/>
  <c r="U46" i="2"/>
  <c r="R34" i="1"/>
  <c r="U34" i="1" s="1"/>
  <c r="U34" i="2"/>
  <c r="R22" i="1"/>
  <c r="U22" i="1" s="1"/>
  <c r="U22" i="2"/>
  <c r="Z333" i="2"/>
  <c r="AB333" i="1" s="1"/>
  <c r="R12" i="1"/>
  <c r="U12" i="1" s="1"/>
  <c r="U12" i="2"/>
  <c r="R11" i="1"/>
  <c r="U11" i="1" s="1"/>
  <c r="U11" i="2"/>
  <c r="R10" i="1"/>
  <c r="U10" i="1" s="1"/>
  <c r="U10" i="2"/>
  <c r="R9" i="1"/>
  <c r="U9" i="1" s="1"/>
  <c r="U9" i="2"/>
  <c r="Z789" i="2"/>
  <c r="Z777" i="2"/>
  <c r="Z765" i="2"/>
  <c r="Z741" i="2"/>
  <c r="Z729" i="2"/>
  <c r="Z717" i="2"/>
  <c r="Z693" i="2"/>
  <c r="Z681" i="2"/>
  <c r="Z669" i="2"/>
  <c r="Z657" i="2"/>
  <c r="Z645" i="2"/>
  <c r="Z633" i="2"/>
  <c r="Z621" i="2"/>
  <c r="Z609" i="2"/>
  <c r="Z597" i="2"/>
  <c r="Z585" i="2"/>
  <c r="Z573" i="2"/>
  <c r="Z561" i="2"/>
  <c r="Z549" i="2"/>
  <c r="Z537" i="2"/>
  <c r="Z513" i="2"/>
  <c r="Z501" i="2"/>
  <c r="Z489" i="2"/>
  <c r="Z477" i="2"/>
  <c r="Z465" i="2"/>
  <c r="Z453" i="2"/>
  <c r="Z441" i="2"/>
  <c r="Z429" i="2"/>
  <c r="Z417" i="2"/>
  <c r="Z405" i="2"/>
  <c r="Z393" i="2"/>
  <c r="Z381" i="2"/>
  <c r="AB381" i="1" s="1"/>
  <c r="W381" i="1"/>
  <c r="Z369" i="2"/>
  <c r="AB369" i="1" s="1"/>
  <c r="W369" i="1"/>
  <c r="Z357" i="2"/>
  <c r="AB357" i="1" s="1"/>
  <c r="W357" i="1"/>
  <c r="Z345" i="2"/>
  <c r="AB345" i="1" s="1"/>
  <c r="W345" i="1"/>
  <c r="Z321" i="2"/>
  <c r="AB321" i="1" s="1"/>
  <c r="W321" i="1"/>
  <c r="Z309" i="2"/>
  <c r="AB309" i="1" s="1"/>
  <c r="W309" i="1"/>
  <c r="Z297" i="2"/>
  <c r="AB297" i="1" s="1"/>
  <c r="W297" i="1"/>
  <c r="Z285" i="2"/>
  <c r="AB285" i="1" s="1"/>
  <c r="W285" i="1"/>
  <c r="W273" i="1"/>
  <c r="Z273" i="2"/>
  <c r="AB273" i="1" s="1"/>
  <c r="Z261" i="2"/>
  <c r="AB261" i="1" s="1"/>
  <c r="W261" i="1"/>
  <c r="Z249" i="2"/>
  <c r="AB249" i="1" s="1"/>
  <c r="W249" i="1"/>
  <c r="Z237" i="2"/>
  <c r="AB237" i="1" s="1"/>
  <c r="W237" i="1"/>
  <c r="Z225" i="2"/>
  <c r="AB225" i="1" s="1"/>
  <c r="W225" i="1"/>
  <c r="Z213" i="2"/>
  <c r="AB213" i="1" s="1"/>
  <c r="W213" i="1"/>
  <c r="Z201" i="2"/>
  <c r="AB201" i="1" s="1"/>
  <c r="W201" i="1"/>
  <c r="Z189" i="2"/>
  <c r="AB189" i="1" s="1"/>
  <c r="W189" i="1"/>
  <c r="Z177" i="2"/>
  <c r="AB177" i="1" s="1"/>
  <c r="W177" i="1"/>
  <c r="Z165" i="2"/>
  <c r="AB165" i="1" s="1"/>
  <c r="W165" i="1"/>
  <c r="Z153" i="2"/>
  <c r="AB153" i="1" s="1"/>
  <c r="W153" i="1"/>
  <c r="Z141" i="2"/>
  <c r="AB141" i="1" s="1"/>
  <c r="W141" i="1"/>
  <c r="Z129" i="2"/>
  <c r="AB129" i="1" s="1"/>
  <c r="W129" i="1"/>
  <c r="Z117" i="2"/>
  <c r="AB117" i="1" s="1"/>
  <c r="W117" i="1"/>
  <c r="U6" i="2"/>
  <c r="R8" i="1"/>
  <c r="U8" i="1" s="1"/>
  <c r="U8" i="2"/>
  <c r="R7" i="1"/>
  <c r="U7" i="1" s="1"/>
  <c r="U7" i="2"/>
  <c r="U4" i="2"/>
  <c r="Z787" i="2"/>
  <c r="Z775" i="2"/>
  <c r="Z763" i="2"/>
  <c r="Z751" i="2"/>
  <c r="Z739" i="2"/>
  <c r="Z727" i="2"/>
  <c r="Z715" i="2"/>
  <c r="Z703" i="2"/>
  <c r="Z691" i="2"/>
  <c r="Z679" i="2"/>
  <c r="Z667" i="2"/>
  <c r="Z655" i="2"/>
  <c r="Z643" i="2"/>
  <c r="Z631" i="2"/>
  <c r="Z619" i="2"/>
  <c r="Z607" i="2"/>
  <c r="Z595" i="2"/>
  <c r="Z583" i="2"/>
  <c r="Z571" i="2"/>
  <c r="Z559" i="2"/>
  <c r="Z547" i="2"/>
  <c r="Z535" i="2"/>
  <c r="Z523" i="2"/>
  <c r="Z511" i="2"/>
  <c r="Z499" i="2"/>
  <c r="Z487" i="2"/>
  <c r="Z475" i="2"/>
  <c r="Z463" i="2"/>
  <c r="Z451" i="2"/>
  <c r="Z439" i="2"/>
  <c r="Z427" i="2"/>
  <c r="Z415" i="2"/>
  <c r="Z403" i="2"/>
  <c r="Z391" i="2"/>
  <c r="Z379" i="2"/>
  <c r="AB379" i="1" s="1"/>
  <c r="W379" i="1"/>
  <c r="Z367" i="2"/>
  <c r="AB367" i="1" s="1"/>
  <c r="W367" i="1"/>
  <c r="Z355" i="2"/>
  <c r="AB355" i="1" s="1"/>
  <c r="W355" i="1"/>
  <c r="Z343" i="2"/>
  <c r="AB343" i="1" s="1"/>
  <c r="W343" i="1"/>
  <c r="Z331" i="2"/>
  <c r="AB331" i="1" s="1"/>
  <c r="W331" i="1"/>
  <c r="Z319" i="2"/>
  <c r="AB319" i="1" s="1"/>
  <c r="W319" i="1"/>
  <c r="Z307" i="2"/>
  <c r="AB307" i="1" s="1"/>
  <c r="W307" i="1"/>
  <c r="Z295" i="2"/>
  <c r="AB295" i="1" s="1"/>
  <c r="W295" i="1"/>
  <c r="Z283" i="2"/>
  <c r="AB283" i="1" s="1"/>
  <c r="W283" i="1"/>
  <c r="Z271" i="2"/>
  <c r="AB271" i="1" s="1"/>
  <c r="W271" i="1"/>
  <c r="Z259" i="2"/>
  <c r="AB259" i="1" s="1"/>
  <c r="W259" i="1"/>
  <c r="Z247" i="2"/>
  <c r="AB247" i="1" s="1"/>
  <c r="W247" i="1"/>
  <c r="Z235" i="2"/>
  <c r="AB235" i="1" s="1"/>
  <c r="W235" i="1"/>
  <c r="Z223" i="2"/>
  <c r="AB223" i="1" s="1"/>
  <c r="W223" i="1"/>
  <c r="Z211" i="2"/>
  <c r="AB211" i="1" s="1"/>
  <c r="W211" i="1"/>
  <c r="Z199" i="2"/>
  <c r="AB199" i="1" s="1"/>
  <c r="W199" i="1"/>
  <c r="Z187" i="2"/>
  <c r="AB187" i="1" s="1"/>
  <c r="W187" i="1"/>
  <c r="Z175" i="2"/>
  <c r="AB175" i="1" s="1"/>
  <c r="W175" i="1"/>
  <c r="Z163" i="2"/>
  <c r="AB163" i="1" s="1"/>
  <c r="W163" i="1"/>
  <c r="Z151" i="2"/>
  <c r="AB151" i="1" s="1"/>
  <c r="W151" i="1"/>
  <c r="Z139" i="2"/>
  <c r="AB139" i="1" s="1"/>
  <c r="W139" i="1"/>
  <c r="Z127" i="2"/>
  <c r="AB127" i="1" s="1"/>
  <c r="W127" i="1"/>
  <c r="R49" i="1"/>
  <c r="U49" i="1" s="1"/>
  <c r="U49" i="2"/>
  <c r="R37" i="1"/>
  <c r="U37" i="1" s="1"/>
  <c r="U37" i="2"/>
  <c r="R25" i="1"/>
  <c r="U25" i="1" s="1"/>
  <c r="U25" i="2"/>
  <c r="Z788" i="2"/>
  <c r="Z776" i="2"/>
  <c r="Z764" i="2"/>
  <c r="Z752" i="2"/>
  <c r="Z740" i="2"/>
  <c r="Z728" i="2"/>
  <c r="Z716" i="2"/>
  <c r="Z704" i="2"/>
  <c r="Z692" i="2"/>
  <c r="Z668" i="2"/>
  <c r="Z656" i="2"/>
  <c r="Z644" i="2"/>
  <c r="Z632" i="2"/>
  <c r="Z620" i="2"/>
  <c r="Z596" i="2"/>
  <c r="Z584" i="2"/>
  <c r="Z572" i="2"/>
  <c r="Z560" i="2"/>
  <c r="Z548" i="2"/>
  <c r="Z524" i="2"/>
  <c r="Z512" i="2"/>
  <c r="Z500" i="2"/>
  <c r="Z488" i="2"/>
  <c r="W312" i="1"/>
  <c r="Z495" i="2"/>
  <c r="U40" i="2"/>
  <c r="U27" i="2"/>
  <c r="W383" i="1"/>
  <c r="W287" i="1"/>
  <c r="Z783" i="2"/>
  <c r="U39" i="2"/>
  <c r="Z795" i="2"/>
  <c r="Z771" i="2"/>
  <c r="Z759" i="2"/>
  <c r="Z747" i="2"/>
  <c r="Z735" i="2"/>
  <c r="Z723" i="2"/>
  <c r="Z711" i="2"/>
  <c r="Z699" i="2"/>
  <c r="Z675" i="2"/>
  <c r="Z663" i="2"/>
  <c r="Z627" i="2"/>
  <c r="Z615" i="2"/>
  <c r="Z603" i="2"/>
  <c r="Z555" i="2"/>
  <c r="Z543" i="2"/>
  <c r="Z531" i="2"/>
  <c r="Z519" i="2"/>
  <c r="Z483" i="2"/>
  <c r="Z447" i="2"/>
  <c r="Z435" i="2"/>
  <c r="Z423" i="2"/>
  <c r="Z411" i="2"/>
  <c r="Z399" i="2"/>
  <c r="Z387" i="2"/>
  <c r="AB387" i="1" s="1"/>
  <c r="W387" i="1"/>
  <c r="Z375" i="2"/>
  <c r="AB375" i="1" s="1"/>
  <c r="W375" i="1"/>
  <c r="Z363" i="2"/>
  <c r="AB363" i="1" s="1"/>
  <c r="W363" i="1"/>
  <c r="Z351" i="2"/>
  <c r="AB351" i="1" s="1"/>
  <c r="W351" i="1"/>
  <c r="Z339" i="2"/>
  <c r="AB339" i="1" s="1"/>
  <c r="W339" i="1"/>
  <c r="Z327" i="2"/>
  <c r="AB327" i="1" s="1"/>
  <c r="W327" i="1"/>
  <c r="Z315" i="2"/>
  <c r="AB315" i="1" s="1"/>
  <c r="W315" i="1"/>
  <c r="Z303" i="2"/>
  <c r="AB303" i="1" s="1"/>
  <c r="W303" i="1"/>
  <c r="Z291" i="2"/>
  <c r="AB291" i="1" s="1"/>
  <c r="W291" i="1"/>
  <c r="Z279" i="2"/>
  <c r="AB279" i="1" s="1"/>
  <c r="W279" i="1"/>
  <c r="Z267" i="2"/>
  <c r="AB267" i="1" s="1"/>
  <c r="W267" i="1"/>
  <c r="Z255" i="2"/>
  <c r="AB255" i="1" s="1"/>
  <c r="W255" i="1"/>
  <c r="Z243" i="2"/>
  <c r="AB243" i="1" s="1"/>
  <c r="W243" i="1"/>
  <c r="Z231" i="2"/>
  <c r="AB231" i="1" s="1"/>
  <c r="W231" i="1"/>
  <c r="Z219" i="2"/>
  <c r="AB219" i="1" s="1"/>
  <c r="W219" i="1"/>
  <c r="Z207" i="2"/>
  <c r="AB207" i="1" s="1"/>
  <c r="W207" i="1"/>
  <c r="Z195" i="2"/>
  <c r="AB195" i="1" s="1"/>
  <c r="W195" i="1"/>
  <c r="Z183" i="2"/>
  <c r="AB183" i="1" s="1"/>
  <c r="W183" i="1"/>
  <c r="Z171" i="2"/>
  <c r="AB171" i="1" s="1"/>
  <c r="W171" i="1"/>
  <c r="Z159" i="2"/>
  <c r="AB159" i="1" s="1"/>
  <c r="W159" i="1"/>
  <c r="Z147" i="2"/>
  <c r="AB147" i="1" s="1"/>
  <c r="W147" i="1"/>
  <c r="Z135" i="2"/>
  <c r="AB135" i="1" s="1"/>
  <c r="W135" i="1"/>
  <c r="Z123" i="2"/>
  <c r="AB123" i="1" s="1"/>
  <c r="W123" i="1"/>
  <c r="Z782" i="2"/>
  <c r="Z299" i="2"/>
  <c r="AB299" i="1" s="1"/>
  <c r="Z794" i="2"/>
  <c r="Z770" i="2"/>
  <c r="Z758" i="2"/>
  <c r="Z746" i="2"/>
  <c r="Z734" i="2"/>
  <c r="Z722" i="2"/>
  <c r="Z698" i="2"/>
  <c r="Z674" i="2"/>
  <c r="Z662" i="2"/>
  <c r="Z638" i="2"/>
  <c r="Z626" i="2"/>
  <c r="Z602" i="2"/>
  <c r="Z566" i="2"/>
  <c r="Z554" i="2"/>
  <c r="Z542" i="2"/>
  <c r="Z530" i="2"/>
  <c r="Z518" i="2"/>
  <c r="W360" i="1"/>
  <c r="Z710" i="2"/>
  <c r="Z793" i="2"/>
  <c r="Z781" i="2"/>
  <c r="Z769" i="2"/>
  <c r="Z757" i="2"/>
  <c r="Z745" i="2"/>
  <c r="Z733" i="2"/>
  <c r="Z721" i="2"/>
  <c r="Z709" i="2"/>
  <c r="Z697" i="2"/>
  <c r="Z685" i="2"/>
  <c r="Z673" i="2"/>
  <c r="Z661" i="2"/>
  <c r="Z649" i="2"/>
  <c r="Z613" i="2"/>
  <c r="Z601" i="2"/>
  <c r="Z589" i="2"/>
  <c r="Z577" i="2"/>
  <c r="W359" i="1"/>
  <c r="W263" i="1"/>
  <c r="Z687" i="2"/>
  <c r="Z684" i="2"/>
  <c r="Z672" i="2"/>
  <c r="Z660" i="2"/>
  <c r="Z648" i="2"/>
  <c r="Z624" i="2"/>
  <c r="Z612" i="2"/>
  <c r="Z600" i="2"/>
  <c r="Z588" i="2"/>
  <c r="Z576" i="2"/>
  <c r="Z552" i="2"/>
  <c r="Z540" i="2"/>
  <c r="Z528" i="2"/>
  <c r="Z516" i="2"/>
  <c r="Z504" i="2"/>
  <c r="Z480" i="2"/>
  <c r="Z468" i="2"/>
  <c r="Z456" i="2"/>
  <c r="Z432" i="2"/>
  <c r="Z420" i="2"/>
  <c r="Z396" i="2"/>
  <c r="Z372" i="2"/>
  <c r="AB372" i="1" s="1"/>
  <c r="W372" i="1"/>
  <c r="Z348" i="2"/>
  <c r="AB348" i="1" s="1"/>
  <c r="W348" i="1"/>
  <c r="Z324" i="2"/>
  <c r="AB324" i="1" s="1"/>
  <c r="W324" i="1"/>
  <c r="Z686" i="2"/>
  <c r="U21" i="2"/>
  <c r="Z791" i="2"/>
  <c r="Z779" i="2"/>
  <c r="Z767" i="2"/>
  <c r="Z755" i="2"/>
  <c r="Z743" i="2"/>
  <c r="Z731" i="2"/>
  <c r="Z719" i="2"/>
  <c r="Z707" i="2"/>
  <c r="Z695" i="2"/>
  <c r="Z671" i="2"/>
  <c r="Z659" i="2"/>
  <c r="Z647" i="2"/>
  <c r="Z635" i="2"/>
  <c r="Z599" i="2"/>
  <c r="Z587" i="2"/>
  <c r="Z575" i="2"/>
  <c r="Z563" i="2"/>
  <c r="Z527" i="2"/>
  <c r="Z515" i="2"/>
  <c r="Z503" i="2"/>
  <c r="Z467" i="2"/>
  <c r="Z455" i="2"/>
  <c r="Z419" i="2"/>
  <c r="Z395" i="2"/>
  <c r="Z371" i="2"/>
  <c r="AB371" i="1" s="1"/>
  <c r="W371" i="1"/>
  <c r="Z347" i="2"/>
  <c r="AB347" i="1" s="1"/>
  <c r="W347" i="1"/>
  <c r="Z323" i="2"/>
  <c r="AB323" i="1" s="1"/>
  <c r="W323" i="1"/>
  <c r="Z275" i="2"/>
  <c r="AB275" i="1" s="1"/>
  <c r="W275" i="1"/>
  <c r="Z251" i="2"/>
  <c r="AB251" i="1" s="1"/>
  <c r="W251" i="1"/>
  <c r="Z239" i="2"/>
  <c r="AB239" i="1" s="1"/>
  <c r="W239" i="1"/>
  <c r="Z227" i="2"/>
  <c r="AB227" i="1" s="1"/>
  <c r="W227" i="1"/>
  <c r="W215" i="1"/>
  <c r="Z215" i="2"/>
  <c r="AB215" i="1" s="1"/>
  <c r="Z203" i="2"/>
  <c r="AB203" i="1" s="1"/>
  <c r="W203" i="1"/>
  <c r="Z191" i="2"/>
  <c r="AB191" i="1" s="1"/>
  <c r="W191" i="1"/>
  <c r="Z179" i="2"/>
  <c r="AB179" i="1" s="1"/>
  <c r="W179" i="1"/>
  <c r="Z167" i="2"/>
  <c r="AB167" i="1" s="1"/>
  <c r="W167" i="1"/>
  <c r="Z155" i="2"/>
  <c r="AB155" i="1" s="1"/>
  <c r="W155" i="1"/>
  <c r="Z143" i="2"/>
  <c r="AB143" i="1" s="1"/>
  <c r="W143" i="1"/>
  <c r="Z131" i="2"/>
  <c r="AB131" i="1" s="1"/>
  <c r="W131" i="1"/>
  <c r="Z119" i="2"/>
  <c r="AB119" i="1" s="1"/>
  <c r="W119" i="1"/>
  <c r="W336" i="1"/>
  <c r="Z614" i="2"/>
  <c r="U33" i="2"/>
  <c r="Z682" i="2"/>
  <c r="Z670" i="2"/>
  <c r="Z658" i="2"/>
  <c r="Z646" i="2"/>
  <c r="Z634" i="2"/>
  <c r="Z610" i="2"/>
  <c r="Z598" i="2"/>
  <c r="Z586" i="2"/>
  <c r="Z574" i="2"/>
  <c r="Z562" i="2"/>
  <c r="Z538" i="2"/>
  <c r="Z526" i="2"/>
  <c r="Z514" i="2"/>
  <c r="Z502" i="2"/>
  <c r="Z490" i="2"/>
  <c r="Z478" i="2"/>
  <c r="Z466" i="2"/>
  <c r="Z454" i="2"/>
  <c r="Z442" i="2"/>
  <c r="Z430" i="2"/>
  <c r="W335" i="1"/>
  <c r="Z591" i="2"/>
  <c r="Z404" i="2"/>
  <c r="Z392" i="2"/>
  <c r="Z380" i="2"/>
  <c r="AB380" i="1" s="1"/>
  <c r="W380" i="1"/>
  <c r="Z368" i="2"/>
  <c r="AB368" i="1" s="1"/>
  <c r="W368" i="1"/>
  <c r="Z356" i="2"/>
  <c r="AB356" i="1" s="1"/>
  <c r="W356" i="1"/>
  <c r="Z344" i="2"/>
  <c r="AB344" i="1" s="1"/>
  <c r="W344" i="1"/>
  <c r="Z332" i="2"/>
  <c r="AB332" i="1" s="1"/>
  <c r="W332" i="1"/>
  <c r="Z320" i="2"/>
  <c r="AB320" i="1" s="1"/>
  <c r="W320" i="1"/>
  <c r="Z308" i="2"/>
  <c r="AB308" i="1" s="1"/>
  <c r="W308" i="1"/>
  <c r="Z296" i="2"/>
  <c r="AB296" i="1" s="1"/>
  <c r="W296" i="1"/>
  <c r="Z284" i="2"/>
  <c r="AB284" i="1" s="1"/>
  <c r="W284" i="1"/>
  <c r="Z272" i="2"/>
  <c r="AB272" i="1" s="1"/>
  <c r="W272" i="1"/>
  <c r="Z260" i="2"/>
  <c r="AB260" i="1" s="1"/>
  <c r="W260" i="1"/>
  <c r="Z248" i="2"/>
  <c r="AB248" i="1" s="1"/>
  <c r="W248" i="1"/>
  <c r="Z236" i="2"/>
  <c r="AB236" i="1" s="1"/>
  <c r="W236" i="1"/>
  <c r="Z224" i="2"/>
  <c r="AB224" i="1" s="1"/>
  <c r="W224" i="1"/>
  <c r="Z212" i="2"/>
  <c r="AB212" i="1" s="1"/>
  <c r="W212" i="1"/>
  <c r="Z200" i="2"/>
  <c r="AB200" i="1" s="1"/>
  <c r="W200" i="1"/>
  <c r="Z188" i="2"/>
  <c r="AB188" i="1" s="1"/>
  <c r="W188" i="1"/>
  <c r="Z176" i="2"/>
  <c r="AB176" i="1" s="1"/>
  <c r="W176" i="1"/>
  <c r="Z164" i="2"/>
  <c r="AB164" i="1" s="1"/>
  <c r="W164" i="1"/>
  <c r="Z152" i="2"/>
  <c r="AB152" i="1" s="1"/>
  <c r="W152" i="1"/>
  <c r="Z140" i="2"/>
  <c r="AB140" i="1" s="1"/>
  <c r="W140" i="1"/>
  <c r="Z128" i="2"/>
  <c r="AB128" i="1" s="1"/>
  <c r="W128" i="1"/>
  <c r="W385" i="1"/>
  <c r="W361" i="1"/>
  <c r="W337" i="1"/>
  <c r="W313" i="1"/>
  <c r="W289" i="1"/>
  <c r="W265" i="1"/>
  <c r="W206" i="1"/>
  <c r="Z326" i="2"/>
  <c r="AB326" i="1" s="1"/>
  <c r="W229" i="1"/>
  <c r="W168" i="1"/>
  <c r="W132" i="1"/>
  <c r="Z274" i="2"/>
  <c r="AB274" i="1" s="1"/>
  <c r="Z676" i="2"/>
  <c r="Z664" i="2"/>
  <c r="Z652" i="2"/>
  <c r="Z640" i="2"/>
  <c r="Z628" i="2"/>
  <c r="Z616" i="2"/>
  <c r="Z604" i="2"/>
  <c r="Z592" i="2"/>
  <c r="Z580" i="2"/>
  <c r="Z568" i="2"/>
  <c r="Z556" i="2"/>
  <c r="Z544" i="2"/>
  <c r="Z532" i="2"/>
  <c r="Z520" i="2"/>
  <c r="Z508" i="2"/>
  <c r="Z496" i="2"/>
  <c r="Z484" i="2"/>
  <c r="Z472" i="2"/>
  <c r="Z460" i="2"/>
  <c r="Z448" i="2"/>
  <c r="Z436" i="2"/>
  <c r="Z424" i="2"/>
  <c r="Z412" i="2"/>
  <c r="Z400" i="2"/>
  <c r="Z388" i="2"/>
  <c r="AB388" i="1" s="1"/>
  <c r="W388" i="1"/>
  <c r="Z376" i="2"/>
  <c r="AB376" i="1" s="1"/>
  <c r="W376" i="1"/>
  <c r="Z364" i="2"/>
  <c r="AB364" i="1" s="1"/>
  <c r="W364" i="1"/>
  <c r="Z352" i="2"/>
  <c r="AB352" i="1" s="1"/>
  <c r="W352" i="1"/>
  <c r="Z340" i="2"/>
  <c r="AB340" i="1" s="1"/>
  <c r="W340" i="1"/>
  <c r="Z328" i="2"/>
  <c r="AB328" i="1" s="1"/>
  <c r="W328" i="1"/>
  <c r="Z316" i="2"/>
  <c r="AB316" i="1" s="1"/>
  <c r="W316" i="1"/>
  <c r="Z304" i="2"/>
  <c r="AB304" i="1" s="1"/>
  <c r="W304" i="1"/>
  <c r="Z292" i="2"/>
  <c r="AB292" i="1" s="1"/>
  <c r="W292" i="1"/>
  <c r="Z280" i="2"/>
  <c r="AB280" i="1" s="1"/>
  <c r="W280" i="1"/>
  <c r="Z268" i="2"/>
  <c r="AB268" i="1" s="1"/>
  <c r="W268" i="1"/>
  <c r="Z256" i="2"/>
  <c r="AB256" i="1" s="1"/>
  <c r="W256" i="1"/>
  <c r="Z244" i="2"/>
  <c r="AB244" i="1" s="1"/>
  <c r="W244" i="1"/>
  <c r="Z232" i="2"/>
  <c r="AB232" i="1" s="1"/>
  <c r="W232" i="1"/>
  <c r="Z220" i="2"/>
  <c r="AB220" i="1" s="1"/>
  <c r="W220" i="1"/>
  <c r="Z208" i="2"/>
  <c r="AB208" i="1" s="1"/>
  <c r="W208" i="1"/>
  <c r="Z196" i="2"/>
  <c r="AB196" i="1" s="1"/>
  <c r="W196" i="1"/>
  <c r="Z184" i="2"/>
  <c r="AB184" i="1" s="1"/>
  <c r="W184" i="1"/>
  <c r="Z172" i="2"/>
  <c r="AB172" i="1" s="1"/>
  <c r="W172" i="1"/>
  <c r="Z160" i="2"/>
  <c r="AB160" i="1" s="1"/>
  <c r="W160" i="1"/>
  <c r="Z148" i="2"/>
  <c r="AB148" i="1" s="1"/>
  <c r="W148" i="1"/>
  <c r="Z136" i="2"/>
  <c r="AB136" i="1" s="1"/>
  <c r="W136" i="1"/>
  <c r="Z124" i="2"/>
  <c r="AB124" i="1" s="1"/>
  <c r="W124" i="1"/>
  <c r="W254" i="1"/>
  <c r="W228" i="1"/>
  <c r="W374" i="1"/>
  <c r="W350" i="1"/>
  <c r="W302" i="1"/>
  <c r="W278" i="1"/>
  <c r="W253" i="1"/>
  <c r="W194" i="1"/>
  <c r="W158" i="1"/>
  <c r="Z418" i="2"/>
  <c r="Z242" i="2"/>
  <c r="AB242" i="1" s="1"/>
  <c r="W122" i="1"/>
  <c r="Z122" i="2"/>
  <c r="AB122" i="1" s="1"/>
  <c r="W373" i="1"/>
  <c r="W349" i="1"/>
  <c r="W325" i="1"/>
  <c r="W301" i="1"/>
  <c r="W277" i="1"/>
  <c r="W252" i="1"/>
  <c r="W193" i="1"/>
  <c r="W157" i="1"/>
  <c r="W118" i="1"/>
  <c r="Z121" i="2"/>
  <c r="AB121" i="1" s="1"/>
  <c r="W121" i="1"/>
  <c r="W276" i="1"/>
  <c r="W218" i="1"/>
  <c r="W192" i="1"/>
  <c r="W156" i="1"/>
  <c r="W120" i="1"/>
  <c r="Z120" i="2"/>
  <c r="AB120" i="1" s="1"/>
  <c r="W217" i="1"/>
  <c r="Z214" i="2"/>
  <c r="AB214" i="1" s="1"/>
  <c r="W216" i="1"/>
  <c r="W182" i="1"/>
  <c r="Z406" i="2"/>
  <c r="Z394" i="2"/>
  <c r="Z382" i="2"/>
  <c r="AB382" i="1" s="1"/>
  <c r="W382" i="1"/>
  <c r="Z370" i="2"/>
  <c r="AB370" i="1" s="1"/>
  <c r="W370" i="1"/>
  <c r="Z346" i="2"/>
  <c r="AB346" i="1" s="1"/>
  <c r="W346" i="1"/>
  <c r="W334" i="1"/>
  <c r="Z334" i="2"/>
  <c r="AB334" i="1" s="1"/>
  <c r="Z322" i="2"/>
  <c r="AB322" i="1" s="1"/>
  <c r="W322" i="1"/>
  <c r="Z310" i="2"/>
  <c r="AB310" i="1" s="1"/>
  <c r="W310" i="1"/>
  <c r="W298" i="1"/>
  <c r="Z298" i="2"/>
  <c r="AB298" i="1" s="1"/>
  <c r="Z286" i="2"/>
  <c r="AB286" i="1" s="1"/>
  <c r="W286" i="1"/>
  <c r="Z262" i="2"/>
  <c r="AB262" i="1" s="1"/>
  <c r="W262" i="1"/>
  <c r="W250" i="1"/>
  <c r="Z250" i="2"/>
  <c r="AB250" i="1" s="1"/>
  <c r="Z238" i="2"/>
  <c r="AB238" i="1" s="1"/>
  <c r="W238" i="1"/>
  <c r="Z226" i="2"/>
  <c r="AB226" i="1" s="1"/>
  <c r="W226" i="1"/>
  <c r="Z202" i="2"/>
  <c r="AB202" i="1" s="1"/>
  <c r="W202" i="1"/>
  <c r="W190" i="1"/>
  <c r="Z190" i="2"/>
  <c r="AB190" i="1" s="1"/>
  <c r="Z178" i="2"/>
  <c r="AB178" i="1" s="1"/>
  <c r="W178" i="1"/>
  <c r="Z166" i="2"/>
  <c r="AB166" i="1" s="1"/>
  <c r="W166" i="1"/>
  <c r="W154" i="1"/>
  <c r="Z154" i="2"/>
  <c r="AB154" i="1" s="1"/>
  <c r="Z142" i="2"/>
  <c r="AB142" i="1" s="1"/>
  <c r="W142" i="1"/>
  <c r="Z130" i="2"/>
  <c r="AB130" i="1" s="1"/>
  <c r="W130" i="1"/>
  <c r="W241" i="1"/>
  <c r="W181" i="1"/>
  <c r="W145" i="1"/>
  <c r="Z358" i="2"/>
  <c r="AB358" i="1" s="1"/>
  <c r="U40" i="1"/>
  <c r="U39" i="1"/>
  <c r="U50" i="1"/>
  <c r="U21" i="1"/>
  <c r="U16" i="1"/>
  <c r="U15" i="1"/>
  <c r="U33" i="1"/>
  <c r="R2" i="1"/>
  <c r="U2" i="1" s="1"/>
  <c r="U45" i="1"/>
  <c r="U27" i="1"/>
  <c r="U3" i="1"/>
  <c r="U30" i="1"/>
  <c r="U6" i="1"/>
  <c r="U4" i="1"/>
  <c r="Y328" i="1" l="1"/>
  <c r="Z328" i="1" s="1"/>
  <c r="Y226" i="1"/>
  <c r="Z226" i="1" s="1"/>
  <c r="Y212" i="1"/>
  <c r="Z212" i="1" s="1"/>
  <c r="Y182" i="1"/>
  <c r="Z182" i="1" s="1"/>
  <c r="Y352" i="1"/>
  <c r="Z352" i="1" s="1"/>
  <c r="Y224" i="1"/>
  <c r="Z224" i="1" s="1"/>
  <c r="Y195" i="1"/>
  <c r="Z195" i="1" s="1"/>
  <c r="Y211" i="1"/>
  <c r="Z211" i="1" s="1"/>
  <c r="Y129" i="1"/>
  <c r="Z129" i="1" s="1"/>
  <c r="Y161" i="1"/>
  <c r="Z161" i="1" s="1"/>
  <c r="Y305" i="1"/>
  <c r="Z305" i="1" s="1"/>
  <c r="Y166" i="1"/>
  <c r="Z166" i="1" s="1"/>
  <c r="Y194" i="1"/>
  <c r="Z194" i="1" s="1"/>
  <c r="Y292" i="1"/>
  <c r="Z292" i="1" s="1"/>
  <c r="Y265" i="1"/>
  <c r="Z265" i="1" s="1"/>
  <c r="Y308" i="1"/>
  <c r="Z308" i="1" s="1"/>
  <c r="Y207" i="1"/>
  <c r="Z207" i="1" s="1"/>
  <c r="Y295" i="1"/>
  <c r="Z295" i="1" s="1"/>
  <c r="Y285" i="1"/>
  <c r="Z285" i="1" s="1"/>
  <c r="Y317" i="1"/>
  <c r="Z317" i="1" s="1"/>
  <c r="Y250" i="1"/>
  <c r="Z250" i="1" s="1"/>
  <c r="Y252" i="1"/>
  <c r="Z252" i="1" s="1"/>
  <c r="Y289" i="1"/>
  <c r="Z289" i="1" s="1"/>
  <c r="Y178" i="1"/>
  <c r="Z178" i="1" s="1"/>
  <c r="Y262" i="1"/>
  <c r="Z262" i="1" s="1"/>
  <c r="Y346" i="1"/>
  <c r="Z346" i="1" s="1"/>
  <c r="Y277" i="1"/>
  <c r="Z277" i="1" s="1"/>
  <c r="Y278" i="1"/>
  <c r="Z278" i="1" s="1"/>
  <c r="Y160" i="1"/>
  <c r="Z160" i="1" s="1"/>
  <c r="Y232" i="1"/>
  <c r="Z232" i="1" s="1"/>
  <c r="Y304" i="1"/>
  <c r="Z304" i="1" s="1"/>
  <c r="Y376" i="1"/>
  <c r="Z376" i="1" s="1"/>
  <c r="Y313" i="1"/>
  <c r="Z313" i="1" s="1"/>
  <c r="Y176" i="1"/>
  <c r="Z176" i="1" s="1"/>
  <c r="Y248" i="1"/>
  <c r="Z248" i="1" s="1"/>
  <c r="Y320" i="1"/>
  <c r="Z320" i="1" s="1"/>
  <c r="Y360" i="1"/>
  <c r="Z360" i="1" s="1"/>
  <c r="Y147" i="1"/>
  <c r="Z147" i="1" s="1"/>
  <c r="Y219" i="1"/>
  <c r="Z219" i="1" s="1"/>
  <c r="Y291" i="1"/>
  <c r="Z291" i="1" s="1"/>
  <c r="Y363" i="1"/>
  <c r="Z363" i="1" s="1"/>
  <c r="Y312" i="1"/>
  <c r="Z312" i="1" s="1"/>
  <c r="Y163" i="1"/>
  <c r="Z163" i="1" s="1"/>
  <c r="Y235" i="1"/>
  <c r="Z235" i="1" s="1"/>
  <c r="Y307" i="1"/>
  <c r="Z307" i="1" s="1"/>
  <c r="Y379" i="1"/>
  <c r="Z379" i="1" s="1"/>
  <c r="Y153" i="1"/>
  <c r="Z153" i="1" s="1"/>
  <c r="Y225" i="1"/>
  <c r="Z225" i="1" s="1"/>
  <c r="Y297" i="1"/>
  <c r="Z297" i="1" s="1"/>
  <c r="Y381" i="1"/>
  <c r="Z381" i="1" s="1"/>
  <c r="Y185" i="1"/>
  <c r="Z185" i="1" s="1"/>
  <c r="Y257" i="1"/>
  <c r="Z257" i="1" s="1"/>
  <c r="Y329" i="1"/>
  <c r="Z329" i="1" s="1"/>
  <c r="Y323" i="1"/>
  <c r="Z323" i="1" s="1"/>
  <c r="Y142" i="1"/>
  <c r="Z142" i="1" s="1"/>
  <c r="Y340" i="1"/>
  <c r="Z340" i="1" s="1"/>
  <c r="Y284" i="1"/>
  <c r="Z284" i="1" s="1"/>
  <c r="Y238" i="1"/>
  <c r="Z238" i="1" s="1"/>
  <c r="Y208" i="1"/>
  <c r="Z208" i="1" s="1"/>
  <c r="Y368" i="1"/>
  <c r="Z368" i="1" s="1"/>
  <c r="Y215" i="1"/>
  <c r="Z215" i="1" s="1"/>
  <c r="Y139" i="1"/>
  <c r="Z139" i="1" s="1"/>
  <c r="Y355" i="1"/>
  <c r="Z355" i="1" s="1"/>
  <c r="Y377" i="1"/>
  <c r="Z377" i="1" s="1"/>
  <c r="Y148" i="1"/>
  <c r="Z148" i="1" s="1"/>
  <c r="Y364" i="1"/>
  <c r="Z364" i="1" s="1"/>
  <c r="Y236" i="1"/>
  <c r="Z236" i="1" s="1"/>
  <c r="Y279" i="1"/>
  <c r="Z279" i="1" s="1"/>
  <c r="Y151" i="1"/>
  <c r="Z151" i="1" s="1"/>
  <c r="Y213" i="1"/>
  <c r="Z213" i="1" s="1"/>
  <c r="Y389" i="1"/>
  <c r="Z389" i="1" s="1"/>
  <c r="Y145" i="1"/>
  <c r="Z145" i="1" s="1"/>
  <c r="Y301" i="1"/>
  <c r="Z301" i="1" s="1"/>
  <c r="Y337" i="1"/>
  <c r="Z337" i="1" s="1"/>
  <c r="Y179" i="1"/>
  <c r="Z179" i="1" s="1"/>
  <c r="Y324" i="1"/>
  <c r="Z324" i="1" s="1"/>
  <c r="Y162" i="1"/>
  <c r="Z162" i="1" s="1"/>
  <c r="Y234" i="1"/>
  <c r="Z234" i="1" s="1"/>
  <c r="Y306" i="1"/>
  <c r="Z306" i="1" s="1"/>
  <c r="Y378" i="1"/>
  <c r="Z378" i="1" s="1"/>
  <c r="Y228" i="1"/>
  <c r="Z228" i="1" s="1"/>
  <c r="Y128" i="1"/>
  <c r="Z128" i="1" s="1"/>
  <c r="Y276" i="1"/>
  <c r="Z276" i="1" s="1"/>
  <c r="Y132" i="1"/>
  <c r="Z132" i="1" s="1"/>
  <c r="Y131" i="1"/>
  <c r="Z131" i="1" s="1"/>
  <c r="Y196" i="1"/>
  <c r="Z196" i="1" s="1"/>
  <c r="Y356" i="1"/>
  <c r="Z356" i="1" s="1"/>
  <c r="Y118" i="1"/>
  <c r="Z118" i="1" s="1"/>
  <c r="Y267" i="1"/>
  <c r="Z267" i="1" s="1"/>
  <c r="Y283" i="1"/>
  <c r="Z283" i="1" s="1"/>
  <c r="Y201" i="1"/>
  <c r="Z201" i="1" s="1"/>
  <c r="Y233" i="1"/>
  <c r="Z233" i="1" s="1"/>
  <c r="Y220" i="1"/>
  <c r="Z220" i="1" s="1"/>
  <c r="Y164" i="1"/>
  <c r="Z164" i="1" s="1"/>
  <c r="Y380" i="1"/>
  <c r="Z380" i="1" s="1"/>
  <c r="Y135" i="1"/>
  <c r="Z135" i="1" s="1"/>
  <c r="Y351" i="1"/>
  <c r="Z351" i="1" s="1"/>
  <c r="Y223" i="1"/>
  <c r="Z223" i="1" s="1"/>
  <c r="Y141" i="1"/>
  <c r="Z141" i="1" s="1"/>
  <c r="Y173" i="1"/>
  <c r="Z173" i="1" s="1"/>
  <c r="Y334" i="1"/>
  <c r="Z334" i="1" s="1"/>
  <c r="Y120" i="1"/>
  <c r="Z120" i="1" s="1"/>
  <c r="Y302" i="1"/>
  <c r="Z302" i="1" s="1"/>
  <c r="Y251" i="1"/>
  <c r="Z251" i="1" s="1"/>
  <c r="Y181" i="1"/>
  <c r="Z181" i="1" s="1"/>
  <c r="Y286" i="1"/>
  <c r="Z286" i="1" s="1"/>
  <c r="Y370" i="1"/>
  <c r="Z370" i="1" s="1"/>
  <c r="Y156" i="1"/>
  <c r="Z156" i="1" s="1"/>
  <c r="Y325" i="1"/>
  <c r="Z325" i="1" s="1"/>
  <c r="Y350" i="1"/>
  <c r="Z350" i="1" s="1"/>
  <c r="Y172" i="1"/>
  <c r="Z172" i="1" s="1"/>
  <c r="Y244" i="1"/>
  <c r="Z244" i="1" s="1"/>
  <c r="Y316" i="1"/>
  <c r="Z316" i="1" s="1"/>
  <c r="Y388" i="1"/>
  <c r="Z388" i="1" s="1"/>
  <c r="Y361" i="1"/>
  <c r="Z361" i="1" s="1"/>
  <c r="Y188" i="1"/>
  <c r="Z188" i="1" s="1"/>
  <c r="Y260" i="1"/>
  <c r="Z260" i="1" s="1"/>
  <c r="Y332" i="1"/>
  <c r="Z332" i="1" s="1"/>
  <c r="Y336" i="1"/>
  <c r="Z336" i="1" s="1"/>
  <c r="Y159" i="1"/>
  <c r="Z159" i="1" s="1"/>
  <c r="Y231" i="1"/>
  <c r="Z231" i="1" s="1"/>
  <c r="Y303" i="1"/>
  <c r="Z303" i="1" s="1"/>
  <c r="Y375" i="1"/>
  <c r="Z375" i="1" s="1"/>
  <c r="Y175" i="1"/>
  <c r="Z175" i="1" s="1"/>
  <c r="Y247" i="1"/>
  <c r="Z247" i="1" s="1"/>
  <c r="Y319" i="1"/>
  <c r="Z319" i="1" s="1"/>
  <c r="Y165" i="1"/>
  <c r="Z165" i="1" s="1"/>
  <c r="Y237" i="1"/>
  <c r="Z237" i="1" s="1"/>
  <c r="Y309" i="1"/>
  <c r="Z309" i="1" s="1"/>
  <c r="Y125" i="1"/>
  <c r="Z125" i="1" s="1"/>
  <c r="Y197" i="1"/>
  <c r="Z197" i="1" s="1"/>
  <c r="Y269" i="1"/>
  <c r="Z269" i="1" s="1"/>
  <c r="Y341" i="1"/>
  <c r="Z341" i="1" s="1"/>
  <c r="Y202" i="1"/>
  <c r="Z202" i="1" s="1"/>
  <c r="Y372" i="1"/>
  <c r="Z372" i="1" s="1"/>
  <c r="Y124" i="1"/>
  <c r="Z124" i="1" s="1"/>
  <c r="Y322" i="1"/>
  <c r="Z322" i="1" s="1"/>
  <c r="Y241" i="1"/>
  <c r="Z241" i="1" s="1"/>
  <c r="Y190" i="1"/>
  <c r="Z190" i="1" s="1"/>
  <c r="Y192" i="1"/>
  <c r="Z192" i="1" s="1"/>
  <c r="Y349" i="1"/>
  <c r="Z349" i="1" s="1"/>
  <c r="Y374" i="1"/>
  <c r="Z374" i="1" s="1"/>
  <c r="Y385" i="1"/>
  <c r="Z385" i="1" s="1"/>
  <c r="Y335" i="1"/>
  <c r="Z335" i="1" s="1"/>
  <c r="Y119" i="1"/>
  <c r="Z119" i="1" s="1"/>
  <c r="Y191" i="1"/>
  <c r="Z191" i="1" s="1"/>
  <c r="Y275" i="1"/>
  <c r="Z275" i="1" s="1"/>
  <c r="Y348" i="1"/>
  <c r="Z348" i="1" s="1"/>
  <c r="Y174" i="1"/>
  <c r="Z174" i="1" s="1"/>
  <c r="Y246" i="1"/>
  <c r="Z246" i="1" s="1"/>
  <c r="Y318" i="1"/>
  <c r="Z318" i="1" s="1"/>
  <c r="Y256" i="1"/>
  <c r="Z256" i="1" s="1"/>
  <c r="Y263" i="1"/>
  <c r="Z263" i="1" s="1"/>
  <c r="Y171" i="1"/>
  <c r="Z171" i="1" s="1"/>
  <c r="Y243" i="1"/>
  <c r="Z243" i="1" s="1"/>
  <c r="Y315" i="1"/>
  <c r="Z315" i="1" s="1"/>
  <c r="Y387" i="1"/>
  <c r="Z387" i="1" s="1"/>
  <c r="Y187" i="1"/>
  <c r="Z187" i="1" s="1"/>
  <c r="Y259" i="1"/>
  <c r="Z259" i="1" s="1"/>
  <c r="Y331" i="1"/>
  <c r="Z331" i="1" s="1"/>
  <c r="Y177" i="1"/>
  <c r="Z177" i="1" s="1"/>
  <c r="Y249" i="1"/>
  <c r="Z249" i="1" s="1"/>
  <c r="Y321" i="1"/>
  <c r="Z321" i="1" s="1"/>
  <c r="Y137" i="1"/>
  <c r="Z137" i="1" s="1"/>
  <c r="Y209" i="1"/>
  <c r="Z209" i="1" s="1"/>
  <c r="Y281" i="1"/>
  <c r="Z281" i="1" s="1"/>
  <c r="Y353" i="1"/>
  <c r="Z353" i="1" s="1"/>
  <c r="Y373" i="1"/>
  <c r="Z373" i="1" s="1"/>
  <c r="Y344" i="1"/>
  <c r="Z344" i="1" s="1"/>
  <c r="Y298" i="1"/>
  <c r="Z298" i="1" s="1"/>
  <c r="Y359" i="1"/>
  <c r="Z359" i="1" s="1"/>
  <c r="Y186" i="1"/>
  <c r="Z186" i="1" s="1"/>
  <c r="Y258" i="1"/>
  <c r="Z258" i="1" s="1"/>
  <c r="Y330" i="1"/>
  <c r="Z330" i="1" s="1"/>
  <c r="Y130" i="1"/>
  <c r="Z130" i="1" s="1"/>
  <c r="Y310" i="1"/>
  <c r="Z310" i="1" s="1"/>
  <c r="Y183" i="1"/>
  <c r="Z183" i="1" s="1"/>
  <c r="Y327" i="1"/>
  <c r="Z327" i="1" s="1"/>
  <c r="Y365" i="1"/>
  <c r="Z365" i="1" s="1"/>
  <c r="Y272" i="1"/>
  <c r="Z272" i="1" s="1"/>
  <c r="Y168" i="1"/>
  <c r="Z168" i="1" s="1"/>
  <c r="Y255" i="1"/>
  <c r="Z255" i="1" s="1"/>
  <c r="Y127" i="1"/>
  <c r="Z127" i="1" s="1"/>
  <c r="Y199" i="1"/>
  <c r="Z199" i="1" s="1"/>
  <c r="Y271" i="1"/>
  <c r="Z271" i="1" s="1"/>
  <c r="Y343" i="1"/>
  <c r="Z343" i="1" s="1"/>
  <c r="Y117" i="1"/>
  <c r="Z117" i="1" s="1"/>
  <c r="Y189" i="1"/>
  <c r="Z189" i="1" s="1"/>
  <c r="Y261" i="1"/>
  <c r="Z261" i="1" s="1"/>
  <c r="Y345" i="1"/>
  <c r="Z345" i="1" s="1"/>
  <c r="Y149" i="1"/>
  <c r="Z149" i="1" s="1"/>
  <c r="Y221" i="1"/>
  <c r="Z221" i="1" s="1"/>
  <c r="Y293" i="1"/>
  <c r="Z293" i="1" s="1"/>
  <c r="Y229" i="1"/>
  <c r="Z229" i="1" s="1"/>
  <c r="Y143" i="1"/>
  <c r="Z143" i="1" s="1"/>
  <c r="Y347" i="1"/>
  <c r="Z347" i="1" s="1"/>
  <c r="Y287" i="1"/>
  <c r="Z287" i="1" s="1"/>
  <c r="Y126" i="1"/>
  <c r="Z126" i="1" s="1"/>
  <c r="Y198" i="1"/>
  <c r="Z198" i="1" s="1"/>
  <c r="Y270" i="1"/>
  <c r="Z270" i="1" s="1"/>
  <c r="Y342" i="1"/>
  <c r="Z342" i="1" s="1"/>
  <c r="Y382" i="1"/>
  <c r="Z382" i="1" s="1"/>
  <c r="Y121" i="1"/>
  <c r="Z121" i="1" s="1"/>
  <c r="Y152" i="1"/>
  <c r="Z152" i="1" s="1"/>
  <c r="Y357" i="1"/>
  <c r="Z357" i="1" s="1"/>
  <c r="Y280" i="1"/>
  <c r="Z280" i="1" s="1"/>
  <c r="Y154" i="1"/>
  <c r="Z154" i="1" s="1"/>
  <c r="Y216" i="1"/>
  <c r="Z216" i="1" s="1"/>
  <c r="Y157" i="1"/>
  <c r="Z157" i="1" s="1"/>
  <c r="Y158" i="1"/>
  <c r="Z158" i="1" s="1"/>
  <c r="Y206" i="1"/>
  <c r="Z206" i="1" s="1"/>
  <c r="Y155" i="1"/>
  <c r="Z155" i="1" s="1"/>
  <c r="Y227" i="1"/>
  <c r="Z227" i="1" s="1"/>
  <c r="Y371" i="1"/>
  <c r="Z371" i="1" s="1"/>
  <c r="Y273" i="1"/>
  <c r="Z273" i="1" s="1"/>
  <c r="Y138" i="1"/>
  <c r="Z138" i="1" s="1"/>
  <c r="Y210" i="1"/>
  <c r="Z210" i="1" s="1"/>
  <c r="Y282" i="1"/>
  <c r="Z282" i="1" s="1"/>
  <c r="Y354" i="1"/>
  <c r="Z354" i="1" s="1"/>
  <c r="Y218" i="1"/>
  <c r="Z218" i="1" s="1"/>
  <c r="Y200" i="1"/>
  <c r="Z200" i="1" s="1"/>
  <c r="Y122" i="1"/>
  <c r="Z122" i="1" s="1"/>
  <c r="Y339" i="1"/>
  <c r="Z339" i="1" s="1"/>
  <c r="Y193" i="1"/>
  <c r="Z193" i="1" s="1"/>
  <c r="Y367" i="1"/>
  <c r="Z367" i="1" s="1"/>
  <c r="Y369" i="1"/>
  <c r="Z369" i="1" s="1"/>
  <c r="Y245" i="1"/>
  <c r="Z245" i="1" s="1"/>
  <c r="Y184" i="1"/>
  <c r="Z184" i="1" s="1"/>
  <c r="Y254" i="1"/>
  <c r="Z254" i="1" s="1"/>
  <c r="Y203" i="1"/>
  <c r="Z203" i="1" s="1"/>
  <c r="Y268" i="1"/>
  <c r="Z268" i="1" s="1"/>
  <c r="Y140" i="1"/>
  <c r="Z140" i="1" s="1"/>
  <c r="Y136" i="1"/>
  <c r="Z136" i="1" s="1"/>
  <c r="Y296" i="1"/>
  <c r="Z296" i="1" s="1"/>
  <c r="Y123" i="1"/>
  <c r="Z123" i="1" s="1"/>
  <c r="Y383" i="1"/>
  <c r="Z383" i="1" s="1"/>
  <c r="Y217" i="1"/>
  <c r="Z217" i="1" s="1"/>
  <c r="Y253" i="1"/>
  <c r="Z253" i="1" s="1"/>
  <c r="Y167" i="1"/>
  <c r="Z167" i="1" s="1"/>
  <c r="Y239" i="1"/>
  <c r="Z239" i="1" s="1"/>
  <c r="Y150" i="1"/>
  <c r="Z150" i="1" s="1"/>
  <c r="Y222" i="1"/>
  <c r="Z222" i="1" s="1"/>
  <c r="Y294" i="1"/>
  <c r="Z294" i="1" s="1"/>
  <c r="Y366" i="1"/>
  <c r="Z366" i="1" s="1"/>
  <c r="V62" i="2"/>
  <c r="V20" i="2"/>
  <c r="V37" i="2"/>
  <c r="V52" i="2"/>
  <c r="V9" i="2"/>
  <c r="V54" i="2"/>
  <c r="V34" i="2"/>
  <c r="V73" i="2"/>
  <c r="V57" i="2"/>
  <c r="V53" i="2"/>
  <c r="V61" i="2"/>
  <c r="V80" i="2"/>
  <c r="V76" i="2"/>
  <c r="V86" i="2"/>
  <c r="V84" i="2"/>
  <c r="V85" i="2"/>
  <c r="V87" i="2"/>
  <c r="V88" i="2"/>
  <c r="V89" i="2"/>
  <c r="V90" i="2"/>
  <c r="V91" i="2"/>
  <c r="V92" i="2"/>
  <c r="V72" i="2"/>
  <c r="V68" i="2"/>
  <c r="V64" i="2"/>
  <c r="V60" i="2"/>
  <c r="V56" i="2"/>
  <c r="V46" i="2"/>
  <c r="V98" i="2"/>
  <c r="V93" i="2"/>
  <c r="V94" i="2"/>
  <c r="V95" i="2"/>
  <c r="V96" i="2"/>
  <c r="V97" i="2"/>
  <c r="V110" i="2"/>
  <c r="V99" i="2"/>
  <c r="V111" i="2"/>
  <c r="V100" i="2"/>
  <c r="V112" i="2"/>
  <c r="V101" i="2"/>
  <c r="V113" i="2"/>
  <c r="V102" i="2"/>
  <c r="V114" i="2"/>
  <c r="V103" i="2"/>
  <c r="V115" i="2"/>
  <c r="V104" i="2"/>
  <c r="V105" i="2"/>
  <c r="V106" i="2"/>
  <c r="V107" i="2"/>
  <c r="V108" i="2"/>
  <c r="V109" i="2"/>
  <c r="V83" i="2"/>
  <c r="V79" i="2"/>
  <c r="V75" i="2"/>
  <c r="V71" i="2"/>
  <c r="V67" i="2"/>
  <c r="V63" i="2"/>
  <c r="V59" i="2"/>
  <c r="V55" i="2"/>
  <c r="V74" i="2"/>
  <c r="V82" i="2"/>
  <c r="V78" i="2"/>
  <c r="V70" i="2"/>
  <c r="V66" i="2"/>
  <c r="V58" i="2"/>
  <c r="V49" i="2"/>
  <c r="V81" i="2"/>
  <c r="V77" i="2"/>
  <c r="V25" i="2"/>
  <c r="V69" i="2"/>
  <c r="V65" i="2"/>
  <c r="V22" i="2"/>
  <c r="V35" i="2"/>
  <c r="V10" i="2"/>
  <c r="V11" i="2"/>
  <c r="V47" i="2"/>
  <c r="V21" i="2"/>
  <c r="V36" i="2"/>
  <c r="V45" i="2"/>
  <c r="V31" i="2"/>
  <c r="V33" i="2"/>
  <c r="V48" i="2"/>
  <c r="V19" i="2"/>
  <c r="V32" i="2"/>
  <c r="V44" i="2"/>
  <c r="V24" i="2"/>
  <c r="V41" i="2"/>
  <c r="V13" i="2"/>
  <c r="V14" i="2"/>
  <c r="V12" i="2"/>
  <c r="V15" i="2"/>
  <c r="V16" i="2"/>
  <c r="V17" i="2"/>
  <c r="V18" i="2"/>
  <c r="V43" i="2"/>
  <c r="V30" i="2"/>
  <c r="V40" i="2"/>
  <c r="V3" i="2"/>
  <c r="V8" i="2"/>
  <c r="V42" i="2"/>
  <c r="V29" i="2"/>
  <c r="V39" i="2"/>
  <c r="V51" i="2"/>
  <c r="V28" i="2"/>
  <c r="V38" i="2"/>
  <c r="V50" i="2"/>
  <c r="V27" i="2"/>
  <c r="V26" i="2"/>
  <c r="V23" i="2"/>
  <c r="V7" i="2"/>
  <c r="V6" i="2"/>
  <c r="V5" i="2"/>
  <c r="V2" i="2"/>
  <c r="W2" i="2" s="1"/>
  <c r="X2" i="2" s="1"/>
  <c r="Y2" i="2" s="1"/>
  <c r="V4" i="2"/>
  <c r="W47" i="2" l="1"/>
  <c r="X47" i="2" s="1"/>
  <c r="V47" i="1" s="1"/>
  <c r="AC2" i="2"/>
  <c r="K2" i="1" s="1"/>
  <c r="W2" i="1"/>
  <c r="W8" i="2"/>
  <c r="X8" i="2" s="1"/>
  <c r="Y8" i="2" s="1"/>
  <c r="W35" i="2"/>
  <c r="X35" i="2" s="1"/>
  <c r="Y35" i="2" s="1"/>
  <c r="W44" i="2"/>
  <c r="X44" i="2" s="1"/>
  <c r="W82" i="2"/>
  <c r="X82" i="2" s="1"/>
  <c r="Y82" i="2" s="1"/>
  <c r="W63" i="2"/>
  <c r="X63" i="2" s="1"/>
  <c r="Y63" i="2" s="1"/>
  <c r="W9" i="2"/>
  <c r="X9" i="2" s="1"/>
  <c r="Y9" i="2" s="1"/>
  <c r="W10" i="2"/>
  <c r="X10" i="2" s="1"/>
  <c r="Y10" i="2" s="1"/>
  <c r="W111" i="2"/>
  <c r="X111" i="2" s="1"/>
  <c r="Y111" i="2" s="1"/>
  <c r="W12" i="2"/>
  <c r="X12" i="2" s="1"/>
  <c r="Y12" i="2" s="1"/>
  <c r="W4" i="2"/>
  <c r="X4" i="2" s="1"/>
  <c r="Y4" i="2" s="1"/>
  <c r="W21" i="2"/>
  <c r="X21" i="2" s="1"/>
  <c r="Y21" i="2" s="1"/>
  <c r="W58" i="2"/>
  <c r="X58" i="2" s="1"/>
  <c r="Y58" i="2" s="1"/>
  <c r="W38" i="2"/>
  <c r="X38" i="2" s="1"/>
  <c r="Y38" i="2" s="1"/>
  <c r="W17" i="2"/>
  <c r="X17" i="2" s="1"/>
  <c r="Y17" i="2" s="1"/>
  <c r="W39" i="2"/>
  <c r="X39" i="2" s="1"/>
  <c r="W49" i="2"/>
  <c r="X49" i="2" s="1"/>
  <c r="W75" i="2"/>
  <c r="X75" i="2" s="1"/>
  <c r="Y75" i="2" s="1"/>
  <c r="W102" i="2"/>
  <c r="X102" i="2" s="1"/>
  <c r="Y102" i="2" s="1"/>
  <c r="W93" i="2"/>
  <c r="X93" i="2" s="1"/>
  <c r="Y93" i="2" s="1"/>
  <c r="W29" i="2"/>
  <c r="X29" i="2" s="1"/>
  <c r="Y29" i="2" s="1"/>
  <c r="W113" i="2"/>
  <c r="X113" i="2" s="1"/>
  <c r="Y113" i="2" s="1"/>
  <c r="W23" i="2"/>
  <c r="X23" i="2" s="1"/>
  <c r="Y23" i="2" s="1"/>
  <c r="W107" i="2"/>
  <c r="X107" i="2" s="1"/>
  <c r="Y107" i="2" s="1"/>
  <c r="W104" i="2"/>
  <c r="X104" i="2" s="1"/>
  <c r="Y104" i="2" s="1"/>
  <c r="W36" i="2"/>
  <c r="X36" i="2" s="1"/>
  <c r="Y36" i="2" s="1"/>
  <c r="W26" i="2"/>
  <c r="X26" i="2" s="1"/>
  <c r="Y26" i="2" s="1"/>
  <c r="W55" i="2"/>
  <c r="X55" i="2" s="1"/>
  <c r="Y55" i="2" s="1"/>
  <c r="W18" i="2"/>
  <c r="X18" i="2" s="1"/>
  <c r="Y18" i="2" s="1"/>
  <c r="W97" i="2"/>
  <c r="X97" i="2" s="1"/>
  <c r="Y97" i="2" s="1"/>
  <c r="W92" i="2"/>
  <c r="X92" i="2" s="1"/>
  <c r="Y92" i="2" s="1"/>
  <c r="W53" i="2"/>
  <c r="X53" i="2" s="1"/>
  <c r="Y53" i="2" s="1"/>
  <c r="W88" i="2"/>
  <c r="X88" i="2" s="1"/>
  <c r="Y88" i="2" s="1"/>
  <c r="W42" i="2"/>
  <c r="X42" i="2" s="1"/>
  <c r="Y42" i="2" s="1"/>
  <c r="W85" i="2"/>
  <c r="X85" i="2" s="1"/>
  <c r="Y85" i="2" s="1"/>
  <c r="W14" i="2"/>
  <c r="X14" i="2" s="1"/>
  <c r="Y14" i="2" s="1"/>
  <c r="W79" i="2"/>
  <c r="X79" i="2" s="1"/>
  <c r="Y79" i="2" s="1"/>
  <c r="W98" i="2"/>
  <c r="X98" i="2" s="1"/>
  <c r="Y98" i="2" s="1"/>
  <c r="W87" i="2"/>
  <c r="X87" i="2" s="1"/>
  <c r="Y87" i="2" s="1"/>
  <c r="W66" i="2"/>
  <c r="X66" i="2" s="1"/>
  <c r="Y66" i="2" s="1"/>
  <c r="W101" i="2"/>
  <c r="X101" i="2" s="1"/>
  <c r="Y101" i="2" s="1"/>
  <c r="W46" i="2"/>
  <c r="X46" i="2" s="1"/>
  <c r="W11" i="2"/>
  <c r="X11" i="2" s="1"/>
  <c r="W109" i="2"/>
  <c r="X109" i="2" s="1"/>
  <c r="Y109" i="2" s="1"/>
  <c r="W64" i="2"/>
  <c r="X64" i="2" s="1"/>
  <c r="Y64" i="2" s="1"/>
  <c r="W32" i="2"/>
  <c r="X32" i="2" s="1"/>
  <c r="Y32" i="2" s="1"/>
  <c r="W106" i="2"/>
  <c r="X106" i="2" s="1"/>
  <c r="Y106" i="2" s="1"/>
  <c r="W99" i="2"/>
  <c r="X99" i="2" s="1"/>
  <c r="Y99" i="2" s="1"/>
  <c r="W68" i="2"/>
  <c r="X68" i="2" s="1"/>
  <c r="Y68" i="2" s="1"/>
  <c r="W80" i="2"/>
  <c r="X80" i="2" s="1"/>
  <c r="Y80" i="2" s="1"/>
  <c r="W19" i="2"/>
  <c r="X19" i="2" s="1"/>
  <c r="W105" i="2"/>
  <c r="X105" i="2" s="1"/>
  <c r="Y105" i="2" s="1"/>
  <c r="W110" i="2"/>
  <c r="X110" i="2" s="1"/>
  <c r="Y110" i="2" s="1"/>
  <c r="W61" i="2"/>
  <c r="X61" i="2" s="1"/>
  <c r="Y61" i="2" s="1"/>
  <c r="W57" i="2"/>
  <c r="X57" i="2" s="1"/>
  <c r="Y57" i="2" s="1"/>
  <c r="W73" i="2"/>
  <c r="X73" i="2" s="1"/>
  <c r="Y73" i="2" s="1"/>
  <c r="W51" i="2"/>
  <c r="X51" i="2" s="1"/>
  <c r="W71" i="2"/>
  <c r="X71" i="2" s="1"/>
  <c r="Y71" i="2" s="1"/>
  <c r="W54" i="2"/>
  <c r="X54" i="2" s="1"/>
  <c r="Y54" i="2" s="1"/>
  <c r="W27" i="2"/>
  <c r="X27" i="2" s="1"/>
  <c r="W65" i="2"/>
  <c r="X65" i="2" s="1"/>
  <c r="W72" i="2"/>
  <c r="X72" i="2" s="1"/>
  <c r="W30" i="2"/>
  <c r="X30" i="2" s="1"/>
  <c r="W43" i="2"/>
  <c r="X43" i="2" s="1"/>
  <c r="W48" i="2"/>
  <c r="X48" i="2" s="1"/>
  <c r="W69" i="2"/>
  <c r="X69" i="2" s="1"/>
  <c r="W59" i="2"/>
  <c r="X59" i="2" s="1"/>
  <c r="W22" i="2"/>
  <c r="X22" i="2" s="1"/>
  <c r="W33" i="2"/>
  <c r="X33" i="2" s="1"/>
  <c r="W25" i="2"/>
  <c r="X25" i="2" s="1"/>
  <c r="W115" i="2"/>
  <c r="X115" i="2" s="1"/>
  <c r="W116" i="2"/>
  <c r="X116" i="2" s="1"/>
  <c r="W96" i="2"/>
  <c r="X96" i="2" s="1"/>
  <c r="W91" i="2"/>
  <c r="X91" i="2" s="1"/>
  <c r="W37" i="2"/>
  <c r="X37" i="2" s="1"/>
  <c r="W74" i="2"/>
  <c r="X74" i="2" s="1"/>
  <c r="W50" i="2"/>
  <c r="X50" i="2" s="1"/>
  <c r="Y50" i="2" s="1"/>
  <c r="W28" i="2"/>
  <c r="X28" i="2" s="1"/>
  <c r="W16" i="2"/>
  <c r="X16" i="2" s="1"/>
  <c r="Y16" i="2" s="1"/>
  <c r="W31" i="2"/>
  <c r="X31" i="2" s="1"/>
  <c r="W77" i="2"/>
  <c r="X77" i="2" s="1"/>
  <c r="W67" i="2"/>
  <c r="X67" i="2" s="1"/>
  <c r="W103" i="2"/>
  <c r="X103" i="2" s="1"/>
  <c r="W95" i="2"/>
  <c r="X95" i="2" s="1"/>
  <c r="W90" i="2"/>
  <c r="X90" i="2" s="1"/>
  <c r="W40" i="2"/>
  <c r="X40" i="2" s="1"/>
  <c r="Y40" i="2" s="1"/>
  <c r="W15" i="2"/>
  <c r="X15" i="2" s="1"/>
  <c r="W45" i="2"/>
  <c r="X45" i="2" s="1"/>
  <c r="Y45" i="2" s="1"/>
  <c r="W81" i="2"/>
  <c r="X81" i="2" s="1"/>
  <c r="W114" i="2"/>
  <c r="X114" i="2" s="1"/>
  <c r="W94" i="2"/>
  <c r="X94" i="2" s="1"/>
  <c r="W89" i="2"/>
  <c r="X89" i="2" s="1"/>
  <c r="W20" i="2"/>
  <c r="X20" i="2" s="1"/>
  <c r="Y20" i="2" s="1"/>
  <c r="W83" i="2"/>
  <c r="X83" i="2" s="1"/>
  <c r="W6" i="2"/>
  <c r="X6" i="2" s="1"/>
  <c r="W41" i="2"/>
  <c r="X41" i="2" s="1"/>
  <c r="W70" i="2"/>
  <c r="X70" i="2" s="1"/>
  <c r="W112" i="2"/>
  <c r="X112" i="2" s="1"/>
  <c r="W56" i="2"/>
  <c r="X56" i="2" s="1"/>
  <c r="W84" i="2"/>
  <c r="X84" i="2" s="1"/>
  <c r="W62" i="2"/>
  <c r="X62" i="2" s="1"/>
  <c r="W5" i="2"/>
  <c r="X5" i="2" s="1"/>
  <c r="Y5" i="2" s="1"/>
  <c r="W13" i="2"/>
  <c r="X13" i="2" s="1"/>
  <c r="Y13" i="2" s="1"/>
  <c r="W7" i="2"/>
  <c r="X7" i="2" s="1"/>
  <c r="W3" i="2"/>
  <c r="X3" i="2" s="1"/>
  <c r="W24" i="2"/>
  <c r="X24" i="2" s="1"/>
  <c r="W78" i="2"/>
  <c r="X78" i="2" s="1"/>
  <c r="W108" i="2"/>
  <c r="X108" i="2" s="1"/>
  <c r="W100" i="2"/>
  <c r="X100" i="2" s="1"/>
  <c r="W60" i="2"/>
  <c r="X60" i="2" s="1"/>
  <c r="W86" i="2"/>
  <c r="X86" i="2" s="1"/>
  <c r="W34" i="2"/>
  <c r="X34" i="2" s="1"/>
  <c r="Y34" i="2" s="1"/>
  <c r="W76" i="2"/>
  <c r="X76" i="2" s="1"/>
  <c r="W52" i="2"/>
  <c r="X52" i="2" s="1"/>
  <c r="Z2" i="2"/>
  <c r="AB2" i="1" s="1"/>
  <c r="V2" i="1"/>
  <c r="Y47" i="2" l="1"/>
  <c r="W47" i="1" s="1"/>
  <c r="Y47" i="1" s="1"/>
  <c r="Z47" i="1" s="1"/>
  <c r="AC47" i="2"/>
  <c r="K47" i="1" s="1"/>
  <c r="Z47" i="2"/>
  <c r="AB47" i="1" s="1"/>
  <c r="AC114" i="2"/>
  <c r="K114" i="1" s="1"/>
  <c r="Y114" i="2"/>
  <c r="W114" i="1" s="1"/>
  <c r="AC43" i="2"/>
  <c r="K43" i="1" s="1"/>
  <c r="Y43" i="2"/>
  <c r="W43" i="1" s="1"/>
  <c r="AC30" i="2"/>
  <c r="K30" i="1" s="1"/>
  <c r="Y30" i="2"/>
  <c r="W30" i="1" s="1"/>
  <c r="AC60" i="2"/>
  <c r="K60" i="1" s="1"/>
  <c r="Y60" i="2"/>
  <c r="W60" i="1" s="1"/>
  <c r="AC65" i="2"/>
  <c r="K65" i="1" s="1"/>
  <c r="Y65" i="2"/>
  <c r="W65" i="1" s="1"/>
  <c r="AC77" i="2"/>
  <c r="K77" i="1" s="1"/>
  <c r="Y77" i="2"/>
  <c r="W77" i="1" s="1"/>
  <c r="AC33" i="2"/>
  <c r="K33" i="1" s="1"/>
  <c r="Y33" i="2"/>
  <c r="W33" i="1" s="1"/>
  <c r="AC51" i="2"/>
  <c r="K51" i="1" s="1"/>
  <c r="Y51" i="2"/>
  <c r="W51" i="1" s="1"/>
  <c r="AC76" i="2"/>
  <c r="K76" i="1" s="1"/>
  <c r="Y76" i="2"/>
  <c r="W76" i="1" s="1"/>
  <c r="AC84" i="2"/>
  <c r="K84" i="1" s="1"/>
  <c r="Y84" i="2"/>
  <c r="W84" i="1" s="1"/>
  <c r="AC112" i="2"/>
  <c r="K112" i="1" s="1"/>
  <c r="Y112" i="2"/>
  <c r="W112" i="1" s="1"/>
  <c r="AC100" i="2"/>
  <c r="K100" i="1" s="1"/>
  <c r="Y100" i="2"/>
  <c r="W100" i="1" s="1"/>
  <c r="AC3" i="2"/>
  <c r="K3" i="1" s="1"/>
  <c r="Y3" i="2"/>
  <c r="W3" i="1" s="1"/>
  <c r="AC7" i="2"/>
  <c r="K7" i="1" s="1"/>
  <c r="Y7" i="2"/>
  <c r="W7" i="1" s="1"/>
  <c r="AC89" i="2"/>
  <c r="K89" i="1" s="1"/>
  <c r="Y89" i="2"/>
  <c r="W89" i="1" s="1"/>
  <c r="AC31" i="2"/>
  <c r="K31" i="1" s="1"/>
  <c r="Y31" i="2"/>
  <c r="W31" i="1" s="1"/>
  <c r="AC22" i="2"/>
  <c r="K22" i="1" s="1"/>
  <c r="Y22" i="2"/>
  <c r="W22" i="1" s="1"/>
  <c r="AC52" i="2"/>
  <c r="K52" i="1" s="1"/>
  <c r="Y52" i="2"/>
  <c r="W52" i="1" s="1"/>
  <c r="AC48" i="2"/>
  <c r="K48" i="1" s="1"/>
  <c r="Y48" i="2"/>
  <c r="W48" i="1" s="1"/>
  <c r="AC37" i="2"/>
  <c r="K37" i="1" s="1"/>
  <c r="Y37" i="2"/>
  <c r="W37" i="1" s="1"/>
  <c r="AC94" i="2"/>
  <c r="K94" i="1" s="1"/>
  <c r="Y94" i="2"/>
  <c r="W94" i="1" s="1"/>
  <c r="AC59" i="2"/>
  <c r="K59" i="1" s="1"/>
  <c r="Y59" i="2"/>
  <c r="W59" i="1" s="1"/>
  <c r="AC11" i="2"/>
  <c r="K11" i="1" s="1"/>
  <c r="Y11" i="2"/>
  <c r="W11" i="1" s="1"/>
  <c r="AC69" i="2"/>
  <c r="K69" i="1" s="1"/>
  <c r="Y69" i="2"/>
  <c r="W69" i="1" s="1"/>
  <c r="AC46" i="2"/>
  <c r="K46" i="1" s="1"/>
  <c r="Y46" i="2"/>
  <c r="W46" i="1" s="1"/>
  <c r="AC49" i="2"/>
  <c r="K49" i="1" s="1"/>
  <c r="Y49" i="2"/>
  <c r="W49" i="1" s="1"/>
  <c r="AC39" i="2"/>
  <c r="K39" i="1" s="1"/>
  <c r="Y39" i="2"/>
  <c r="W39" i="1" s="1"/>
  <c r="AC44" i="2"/>
  <c r="K44" i="1" s="1"/>
  <c r="Y44" i="2"/>
  <c r="W44" i="1" s="1"/>
  <c r="AC56" i="2"/>
  <c r="K56" i="1" s="1"/>
  <c r="Y56" i="2"/>
  <c r="W56" i="1" s="1"/>
  <c r="AC81" i="2"/>
  <c r="K81" i="1" s="1"/>
  <c r="Y81" i="2"/>
  <c r="W81" i="1" s="1"/>
  <c r="Y2" i="1"/>
  <c r="Z2" i="1" s="1"/>
  <c r="AC15" i="2"/>
  <c r="K15" i="1" s="1"/>
  <c r="Y15" i="2"/>
  <c r="W15" i="1" s="1"/>
  <c r="AC90" i="2"/>
  <c r="K90" i="1" s="1"/>
  <c r="Y90" i="2"/>
  <c r="W90" i="1" s="1"/>
  <c r="AC116" i="2"/>
  <c r="K116" i="1" s="1"/>
  <c r="Y116" i="2"/>
  <c r="W116" i="1" s="1"/>
  <c r="AC27" i="2"/>
  <c r="K27" i="1" s="1"/>
  <c r="Y27" i="2"/>
  <c r="W27" i="1" s="1"/>
  <c r="AC62" i="2"/>
  <c r="K62" i="1" s="1"/>
  <c r="Y62" i="2"/>
  <c r="W62" i="1" s="1"/>
  <c r="AC86" i="2"/>
  <c r="K86" i="1" s="1"/>
  <c r="Y86" i="2"/>
  <c r="W86" i="1" s="1"/>
  <c r="AC19" i="2"/>
  <c r="K19" i="1" s="1"/>
  <c r="Y19" i="2"/>
  <c r="W19" i="1" s="1"/>
  <c r="AC72" i="2"/>
  <c r="K72" i="1" s="1"/>
  <c r="Y72" i="2"/>
  <c r="W72" i="1" s="1"/>
  <c r="AC108" i="2"/>
  <c r="K108" i="1" s="1"/>
  <c r="Y108" i="2"/>
  <c r="W108" i="1" s="1"/>
  <c r="AC103" i="2"/>
  <c r="K103" i="1" s="1"/>
  <c r="Y103" i="2"/>
  <c r="W103" i="1" s="1"/>
  <c r="AC28" i="2"/>
  <c r="K28" i="1" s="1"/>
  <c r="Y28" i="2"/>
  <c r="W28" i="1" s="1"/>
  <c r="AC74" i="2"/>
  <c r="K74" i="1" s="1"/>
  <c r="Y74" i="2"/>
  <c r="W74" i="1" s="1"/>
  <c r="AC91" i="2"/>
  <c r="K91" i="1" s="1"/>
  <c r="Y91" i="2"/>
  <c r="W91" i="1" s="1"/>
  <c r="AC70" i="2"/>
  <c r="K70" i="1" s="1"/>
  <c r="Y70" i="2"/>
  <c r="W70" i="1" s="1"/>
  <c r="AC96" i="2"/>
  <c r="K96" i="1" s="1"/>
  <c r="Y96" i="2"/>
  <c r="W96" i="1" s="1"/>
  <c r="AC41" i="2"/>
  <c r="K41" i="1" s="1"/>
  <c r="Y41" i="2"/>
  <c r="W41" i="1" s="1"/>
  <c r="AC95" i="2"/>
  <c r="K95" i="1" s="1"/>
  <c r="Y95" i="2"/>
  <c r="W95" i="1" s="1"/>
  <c r="AC78" i="2"/>
  <c r="K78" i="1" s="1"/>
  <c r="Y78" i="2"/>
  <c r="W78" i="1" s="1"/>
  <c r="AC6" i="2"/>
  <c r="K6" i="1" s="1"/>
  <c r="Y6" i="2"/>
  <c r="W6" i="1" s="1"/>
  <c r="AC115" i="2"/>
  <c r="K115" i="1" s="1"/>
  <c r="Y115" i="2"/>
  <c r="W115" i="1" s="1"/>
  <c r="AC24" i="2"/>
  <c r="K24" i="1" s="1"/>
  <c r="Y24" i="2"/>
  <c r="W24" i="1" s="1"/>
  <c r="AC83" i="2"/>
  <c r="K83" i="1" s="1"/>
  <c r="Y83" i="2"/>
  <c r="W83" i="1" s="1"/>
  <c r="AC67" i="2"/>
  <c r="K67" i="1" s="1"/>
  <c r="Y67" i="2"/>
  <c r="W67" i="1" s="1"/>
  <c r="AC25" i="2"/>
  <c r="K25" i="1" s="1"/>
  <c r="Y25" i="2"/>
  <c r="W25" i="1" s="1"/>
  <c r="W54" i="1"/>
  <c r="AC54" i="2"/>
  <c r="K54" i="1" s="1"/>
  <c r="V106" i="1"/>
  <c r="AC106" i="2"/>
  <c r="K106" i="1" s="1"/>
  <c r="Z85" i="2"/>
  <c r="AB85" i="1" s="1"/>
  <c r="AC85" i="2"/>
  <c r="K85" i="1" s="1"/>
  <c r="Z23" i="2"/>
  <c r="AB23" i="1" s="1"/>
  <c r="AC23" i="2"/>
  <c r="K23" i="1" s="1"/>
  <c r="W4" i="1"/>
  <c r="AC4" i="2"/>
  <c r="K4" i="1" s="1"/>
  <c r="V71" i="1"/>
  <c r="AC71" i="2"/>
  <c r="K71" i="1" s="1"/>
  <c r="W32" i="1"/>
  <c r="AC32" i="2"/>
  <c r="K32" i="1" s="1"/>
  <c r="W42" i="1"/>
  <c r="AC42" i="2"/>
  <c r="K42" i="1" s="1"/>
  <c r="Z113" i="2"/>
  <c r="AB113" i="1" s="1"/>
  <c r="AC113" i="2"/>
  <c r="K113" i="1" s="1"/>
  <c r="Z12" i="2"/>
  <c r="AB12" i="1" s="1"/>
  <c r="AC12" i="2"/>
  <c r="K12" i="1" s="1"/>
  <c r="Z111" i="2"/>
  <c r="AB111" i="1" s="1"/>
  <c r="AC111" i="2"/>
  <c r="K111" i="1" s="1"/>
  <c r="V53" i="1"/>
  <c r="AC53" i="2"/>
  <c r="K53" i="1" s="1"/>
  <c r="Z13" i="2"/>
  <c r="AB13" i="1" s="1"/>
  <c r="AC13" i="2"/>
  <c r="K13" i="1" s="1"/>
  <c r="V16" i="1"/>
  <c r="AC16" i="2"/>
  <c r="K16" i="1" s="1"/>
  <c r="V61" i="1"/>
  <c r="AC61" i="2"/>
  <c r="K61" i="1" s="1"/>
  <c r="V75" i="1"/>
  <c r="AC75" i="2"/>
  <c r="K75" i="1" s="1"/>
  <c r="V50" i="1"/>
  <c r="AC50" i="2"/>
  <c r="K50" i="1" s="1"/>
  <c r="Z110" i="2"/>
  <c r="AB110" i="1" s="1"/>
  <c r="AC110" i="2"/>
  <c r="K110" i="1" s="1"/>
  <c r="V101" i="1"/>
  <c r="AC101" i="2"/>
  <c r="K101" i="1" s="1"/>
  <c r="Z18" i="2"/>
  <c r="AB18" i="1" s="1"/>
  <c r="AC18" i="2"/>
  <c r="K18" i="1" s="1"/>
  <c r="Z82" i="2"/>
  <c r="AB82" i="1" s="1"/>
  <c r="AC82" i="2"/>
  <c r="K82" i="1" s="1"/>
  <c r="Z88" i="2"/>
  <c r="AB88" i="1" s="1"/>
  <c r="AC88" i="2"/>
  <c r="K88" i="1" s="1"/>
  <c r="V93" i="1"/>
  <c r="AC93" i="2"/>
  <c r="K93" i="1" s="1"/>
  <c r="Z97" i="2"/>
  <c r="AB97" i="1" s="1"/>
  <c r="AC97" i="2"/>
  <c r="K97" i="1" s="1"/>
  <c r="V63" i="1"/>
  <c r="AC63" i="2"/>
  <c r="K63" i="1" s="1"/>
  <c r="W34" i="1"/>
  <c r="AC34" i="2"/>
  <c r="K34" i="1" s="1"/>
  <c r="W45" i="1"/>
  <c r="AC45" i="2"/>
  <c r="K45" i="1" s="1"/>
  <c r="W105" i="1"/>
  <c r="AC105" i="2"/>
  <c r="K105" i="1" s="1"/>
  <c r="W66" i="1"/>
  <c r="AC66" i="2"/>
  <c r="K66" i="1" s="1"/>
  <c r="V55" i="1"/>
  <c r="AC55" i="2"/>
  <c r="K55" i="1" s="1"/>
  <c r="Z64" i="2"/>
  <c r="AB64" i="1" s="1"/>
  <c r="AC64" i="2"/>
  <c r="K64" i="1" s="1"/>
  <c r="V73" i="1"/>
  <c r="AC73" i="2"/>
  <c r="K73" i="1" s="1"/>
  <c r="Z57" i="2"/>
  <c r="AB57" i="1" s="1"/>
  <c r="AC57" i="2"/>
  <c r="K57" i="1" s="1"/>
  <c r="Z92" i="2"/>
  <c r="AB92" i="1" s="1"/>
  <c r="AC92" i="2"/>
  <c r="K92" i="1" s="1"/>
  <c r="V87" i="1"/>
  <c r="AC87" i="2"/>
  <c r="K87" i="1" s="1"/>
  <c r="Z17" i="2"/>
  <c r="AB17" i="1" s="1"/>
  <c r="AC17" i="2"/>
  <c r="K17" i="1" s="1"/>
  <c r="V40" i="1"/>
  <c r="AC40" i="2"/>
  <c r="K40" i="1" s="1"/>
  <c r="V80" i="1"/>
  <c r="AC80" i="2"/>
  <c r="K80" i="1" s="1"/>
  <c r="Z98" i="2"/>
  <c r="AB98" i="1" s="1"/>
  <c r="AC98" i="2"/>
  <c r="K98" i="1" s="1"/>
  <c r="W36" i="1"/>
  <c r="AC36" i="2"/>
  <c r="K36" i="1" s="1"/>
  <c r="Z38" i="2"/>
  <c r="AB38" i="1" s="1"/>
  <c r="AC38" i="2"/>
  <c r="K38" i="1" s="1"/>
  <c r="W8" i="1"/>
  <c r="AC8" i="2"/>
  <c r="K8" i="1" s="1"/>
  <c r="Z10" i="2"/>
  <c r="AB10" i="1" s="1"/>
  <c r="AC10" i="2"/>
  <c r="K10" i="1" s="1"/>
  <c r="V102" i="1"/>
  <c r="AC102" i="2"/>
  <c r="K102" i="1" s="1"/>
  <c r="W5" i="1"/>
  <c r="AC5" i="2"/>
  <c r="K5" i="1" s="1"/>
  <c r="W26" i="1"/>
  <c r="AC26" i="2"/>
  <c r="K26" i="1" s="1"/>
  <c r="W35" i="1"/>
  <c r="AC35" i="2"/>
  <c r="K35" i="1" s="1"/>
  <c r="V68" i="1"/>
  <c r="AC68" i="2"/>
  <c r="K68" i="1" s="1"/>
  <c r="Z79" i="2"/>
  <c r="AB79" i="1" s="1"/>
  <c r="AC79" i="2"/>
  <c r="K79" i="1" s="1"/>
  <c r="Z104" i="2"/>
  <c r="AB104" i="1" s="1"/>
  <c r="AC104" i="2"/>
  <c r="K104" i="1" s="1"/>
  <c r="V58" i="1"/>
  <c r="AC58" i="2"/>
  <c r="K58" i="1" s="1"/>
  <c r="V20" i="1"/>
  <c r="AC20" i="2"/>
  <c r="K20" i="1" s="1"/>
  <c r="V29" i="1"/>
  <c r="AC29" i="2"/>
  <c r="K29" i="1" s="1"/>
  <c r="V109" i="1"/>
  <c r="AC109" i="2"/>
  <c r="K109" i="1" s="1"/>
  <c r="Z9" i="2"/>
  <c r="AB9" i="1" s="1"/>
  <c r="AC9" i="2"/>
  <c r="K9" i="1" s="1"/>
  <c r="V99" i="1"/>
  <c r="AC99" i="2"/>
  <c r="K99" i="1" s="1"/>
  <c r="Z14" i="2"/>
  <c r="AB14" i="1" s="1"/>
  <c r="AC14" i="2"/>
  <c r="K14" i="1" s="1"/>
  <c r="V107" i="1"/>
  <c r="AC107" i="2"/>
  <c r="K107" i="1" s="1"/>
  <c r="Z21" i="2"/>
  <c r="AB21" i="1" s="1"/>
  <c r="AC21" i="2"/>
  <c r="K21" i="1" s="1"/>
  <c r="Z35" i="2"/>
  <c r="AB35" i="1" s="1"/>
  <c r="V35" i="1"/>
  <c r="V26" i="1"/>
  <c r="V82" i="1"/>
  <c r="W82" i="1"/>
  <c r="V17" i="1"/>
  <c r="W17" i="1"/>
  <c r="Z54" i="2"/>
  <c r="AB54" i="1" s="1"/>
  <c r="W63" i="1"/>
  <c r="W113" i="1"/>
  <c r="Z63" i="2"/>
  <c r="AB63" i="1" s="1"/>
  <c r="W55" i="1"/>
  <c r="V64" i="1"/>
  <c r="W111" i="1"/>
  <c r="V111" i="1"/>
  <c r="W109" i="1"/>
  <c r="W10" i="1"/>
  <c r="Z66" i="2"/>
  <c r="AB66" i="1" s="1"/>
  <c r="W53" i="1"/>
  <c r="W12" i="1"/>
  <c r="V10" i="1"/>
  <c r="W75" i="1"/>
  <c r="Z53" i="2"/>
  <c r="AB53" i="1" s="1"/>
  <c r="Z75" i="2"/>
  <c r="AB75" i="1" s="1"/>
  <c r="V21" i="1"/>
  <c r="W21" i="1"/>
  <c r="Z26" i="2"/>
  <c r="AB26" i="1" s="1"/>
  <c r="Z73" i="2"/>
  <c r="AB73" i="1" s="1"/>
  <c r="V23" i="1"/>
  <c r="W23" i="1"/>
  <c r="Z109" i="2"/>
  <c r="AB109" i="1" s="1"/>
  <c r="W73" i="1"/>
  <c r="W93" i="1"/>
  <c r="V97" i="1"/>
  <c r="W102" i="1"/>
  <c r="V66" i="1"/>
  <c r="Z105" i="2"/>
  <c r="AB105" i="1" s="1"/>
  <c r="V105" i="1"/>
  <c r="Z102" i="2"/>
  <c r="AB102" i="1" s="1"/>
  <c r="W85" i="1"/>
  <c r="Z55" i="2"/>
  <c r="AB55" i="1" s="1"/>
  <c r="V85" i="1"/>
  <c r="V92" i="1"/>
  <c r="W38" i="1"/>
  <c r="V38" i="1"/>
  <c r="V113" i="1"/>
  <c r="W104" i="1"/>
  <c r="V79" i="1"/>
  <c r="V104" i="1"/>
  <c r="W29" i="1"/>
  <c r="Z58" i="2"/>
  <c r="AB58" i="1" s="1"/>
  <c r="W58" i="1"/>
  <c r="Z29" i="2"/>
  <c r="AB29" i="1" s="1"/>
  <c r="Z50" i="2"/>
  <c r="AB50" i="1" s="1"/>
  <c r="Z45" i="2"/>
  <c r="AB45" i="1" s="1"/>
  <c r="V12" i="1"/>
  <c r="V57" i="1"/>
  <c r="Z93" i="2"/>
  <c r="AB93" i="1" s="1"/>
  <c r="V110" i="1"/>
  <c r="W88" i="1"/>
  <c r="Z36" i="2"/>
  <c r="AB36" i="1" s="1"/>
  <c r="V36" i="1"/>
  <c r="Z107" i="2"/>
  <c r="AB107" i="1" s="1"/>
  <c r="W16" i="1"/>
  <c r="W107" i="1"/>
  <c r="V45" i="1"/>
  <c r="Z16" i="2"/>
  <c r="AB16" i="1" s="1"/>
  <c r="W98" i="1"/>
  <c r="V13" i="1"/>
  <c r="V54" i="1"/>
  <c r="W99" i="1"/>
  <c r="Z99" i="2"/>
  <c r="AB99" i="1" s="1"/>
  <c r="Z42" i="2"/>
  <c r="AB42" i="1" s="1"/>
  <c r="V42" i="1"/>
  <c r="V32" i="1"/>
  <c r="W50" i="1"/>
  <c r="W101" i="1"/>
  <c r="V98" i="1"/>
  <c r="Z80" i="2"/>
  <c r="AB80" i="1" s="1"/>
  <c r="V88" i="1"/>
  <c r="W80" i="1"/>
  <c r="Z101" i="2"/>
  <c r="AB101" i="1" s="1"/>
  <c r="W57" i="1"/>
  <c r="W92" i="1"/>
  <c r="W61" i="1"/>
  <c r="W64" i="1"/>
  <c r="W79" i="1"/>
  <c r="W68" i="1"/>
  <c r="W97" i="1"/>
  <c r="Z68" i="2"/>
  <c r="AB68" i="1" s="1"/>
  <c r="Z34" i="2"/>
  <c r="AB34" i="1" s="1"/>
  <c r="W110" i="1"/>
  <c r="V34" i="1"/>
  <c r="Z61" i="2"/>
  <c r="AB61" i="1" s="1"/>
  <c r="Z106" i="2"/>
  <c r="AB106" i="1" s="1"/>
  <c r="W106" i="1"/>
  <c r="W20" i="1"/>
  <c r="Z20" i="2"/>
  <c r="AB20" i="1" s="1"/>
  <c r="W87" i="1"/>
  <c r="W71" i="1"/>
  <c r="Z71" i="2"/>
  <c r="AB71" i="1" s="1"/>
  <c r="Z87" i="2"/>
  <c r="AB87" i="1" s="1"/>
  <c r="V77" i="1"/>
  <c r="Z77" i="2"/>
  <c r="AB77" i="1" s="1"/>
  <c r="W13" i="1"/>
  <c r="V81" i="1"/>
  <c r="Z81" i="2"/>
  <c r="AB81" i="1" s="1"/>
  <c r="V91" i="1"/>
  <c r="Z91" i="2"/>
  <c r="AB91" i="1" s="1"/>
  <c r="V96" i="1"/>
  <c r="Z96" i="2"/>
  <c r="AB96" i="1" s="1"/>
  <c r="V65" i="1"/>
  <c r="Z65" i="2"/>
  <c r="AB65" i="1" s="1"/>
  <c r="V70" i="1"/>
  <c r="Z70" i="2"/>
  <c r="AB70" i="1" s="1"/>
  <c r="V116" i="1"/>
  <c r="Z116" i="2"/>
  <c r="AB116" i="1" s="1"/>
  <c r="V76" i="1"/>
  <c r="Z76" i="2"/>
  <c r="AB76" i="1" s="1"/>
  <c r="V115" i="1"/>
  <c r="Z115" i="2"/>
  <c r="AB115" i="1" s="1"/>
  <c r="V72" i="1"/>
  <c r="Z72" i="2"/>
  <c r="AB72" i="1" s="1"/>
  <c r="V67" i="1"/>
  <c r="Z67" i="2"/>
  <c r="AB67" i="1" s="1"/>
  <c r="V83" i="1"/>
  <c r="Z83" i="2"/>
  <c r="AB83" i="1" s="1"/>
  <c r="V59" i="1"/>
  <c r="Z59" i="2"/>
  <c r="AB59" i="1" s="1"/>
  <c r="V78" i="1"/>
  <c r="Z78" i="2"/>
  <c r="AB78" i="1" s="1"/>
  <c r="V62" i="1"/>
  <c r="Z62" i="2"/>
  <c r="AB62" i="1" s="1"/>
  <c r="V69" i="1"/>
  <c r="Z69" i="2"/>
  <c r="AB69" i="1" s="1"/>
  <c r="V108" i="1"/>
  <c r="Z108" i="2"/>
  <c r="AB108" i="1" s="1"/>
  <c r="V84" i="1"/>
  <c r="Z84" i="2"/>
  <c r="AB84" i="1" s="1"/>
  <c r="V89" i="1"/>
  <c r="Z89" i="2"/>
  <c r="AB89" i="1" s="1"/>
  <c r="V86" i="1"/>
  <c r="Z86" i="2"/>
  <c r="AB86" i="1" s="1"/>
  <c r="V56" i="1"/>
  <c r="Z56" i="2"/>
  <c r="AB56" i="1" s="1"/>
  <c r="V94" i="1"/>
  <c r="Z94" i="2"/>
  <c r="AB94" i="1" s="1"/>
  <c r="V90" i="1"/>
  <c r="Z90" i="2"/>
  <c r="AB90" i="1" s="1"/>
  <c r="V74" i="1"/>
  <c r="Z74" i="2"/>
  <c r="AB74" i="1" s="1"/>
  <c r="V60" i="1"/>
  <c r="Z60" i="2"/>
  <c r="AB60" i="1" s="1"/>
  <c r="V112" i="1"/>
  <c r="Z112" i="2"/>
  <c r="AB112" i="1" s="1"/>
  <c r="V114" i="1"/>
  <c r="Z114" i="2"/>
  <c r="AB114" i="1" s="1"/>
  <c r="V95" i="1"/>
  <c r="Z95" i="2"/>
  <c r="AB95" i="1" s="1"/>
  <c r="V100" i="1"/>
  <c r="Z100" i="2"/>
  <c r="AB100" i="1" s="1"/>
  <c r="V103" i="1"/>
  <c r="Z103" i="2"/>
  <c r="AB103" i="1" s="1"/>
  <c r="V14" i="1"/>
  <c r="W40" i="1"/>
  <c r="Z40" i="2"/>
  <c r="AB40" i="1" s="1"/>
  <c r="W14" i="1"/>
  <c r="V9" i="1"/>
  <c r="Z32" i="2"/>
  <c r="AB32" i="1" s="1"/>
  <c r="W18" i="1"/>
  <c r="V18" i="1"/>
  <c r="W9" i="1"/>
  <c r="Z41" i="2"/>
  <c r="AB41" i="1" s="1"/>
  <c r="V41" i="1"/>
  <c r="Z11" i="2"/>
  <c r="AB11" i="1" s="1"/>
  <c r="V11" i="1"/>
  <c r="Z4" i="2"/>
  <c r="AB4" i="1" s="1"/>
  <c r="Z39" i="2"/>
  <c r="AB39" i="1" s="1"/>
  <c r="V39" i="1"/>
  <c r="V25" i="1"/>
  <c r="Z25" i="2"/>
  <c r="AB25" i="1" s="1"/>
  <c r="Z5" i="2"/>
  <c r="AB5" i="1" s="1"/>
  <c r="V33" i="1"/>
  <c r="Z33" i="2"/>
  <c r="AB33" i="1" s="1"/>
  <c r="V5" i="1"/>
  <c r="V15" i="1"/>
  <c r="Z15" i="2"/>
  <c r="AB15" i="1" s="1"/>
  <c r="Z37" i="2"/>
  <c r="AB37" i="1" s="1"/>
  <c r="V37" i="1"/>
  <c r="Z46" i="2"/>
  <c r="AB46" i="1" s="1"/>
  <c r="V46" i="1"/>
  <c r="Z51" i="2"/>
  <c r="AB51" i="1" s="1"/>
  <c r="V51" i="1"/>
  <c r="V48" i="1"/>
  <c r="Z48" i="2"/>
  <c r="AB48" i="1" s="1"/>
  <c r="V19" i="1"/>
  <c r="Z19" i="2"/>
  <c r="AB19" i="1" s="1"/>
  <c r="V52" i="1"/>
  <c r="Z52" i="2"/>
  <c r="AB52" i="1" s="1"/>
  <c r="Z44" i="2"/>
  <c r="AB44" i="1" s="1"/>
  <c r="V44" i="1"/>
  <c r="V30" i="1"/>
  <c r="Z30" i="2"/>
  <c r="AB30" i="1" s="1"/>
  <c r="Z28" i="2"/>
  <c r="AB28" i="1" s="1"/>
  <c r="V28" i="1"/>
  <c r="V8" i="1"/>
  <c r="V31" i="1"/>
  <c r="Z31" i="2"/>
  <c r="AB31" i="1" s="1"/>
  <c r="Z22" i="2"/>
  <c r="AB22" i="1" s="1"/>
  <c r="V22" i="1"/>
  <c r="V43" i="1"/>
  <c r="Z43" i="2"/>
  <c r="AB43" i="1" s="1"/>
  <c r="V49" i="1"/>
  <c r="Z49" i="2"/>
  <c r="AB49" i="1" s="1"/>
  <c r="V4" i="1"/>
  <c r="Z8" i="2"/>
  <c r="AB8" i="1" s="1"/>
  <c r="Z27" i="2"/>
  <c r="AB27" i="1" s="1"/>
  <c r="V27" i="1"/>
  <c r="V24" i="1"/>
  <c r="Z24" i="2"/>
  <c r="AB24" i="1" s="1"/>
  <c r="V7" i="1"/>
  <c r="Z7" i="2"/>
  <c r="AB7" i="1" s="1"/>
  <c r="V3" i="1"/>
  <c r="Z3" i="2"/>
  <c r="AB3" i="1" s="1"/>
  <c r="V6" i="1"/>
  <c r="Z6" i="2"/>
  <c r="AB6" i="1" s="1"/>
  <c r="Y71" i="1" l="1"/>
  <c r="Z71" i="1" s="1"/>
  <c r="Y68" i="1"/>
  <c r="Z68" i="1" s="1"/>
  <c r="Y50" i="1"/>
  <c r="Z50" i="1" s="1"/>
  <c r="Y114" i="1"/>
  <c r="Z114" i="1" s="1"/>
  <c r="Y84" i="1"/>
  <c r="Z84" i="1" s="1"/>
  <c r="Y53" i="1"/>
  <c r="Z53" i="1" s="1"/>
  <c r="Y91" i="1"/>
  <c r="Z91" i="1" s="1"/>
  <c r="Y38" i="1"/>
  <c r="Z38" i="1" s="1"/>
  <c r="Y55" i="1"/>
  <c r="Z55" i="1" s="1"/>
  <c r="Y109" i="1"/>
  <c r="Z109" i="1" s="1"/>
  <c r="Y107" i="1"/>
  <c r="Z107" i="1" s="1"/>
  <c r="Y97" i="1"/>
  <c r="Z97" i="1" s="1"/>
  <c r="Y73" i="1"/>
  <c r="Z73" i="1" s="1"/>
  <c r="Y104" i="1"/>
  <c r="Z104" i="1" s="1"/>
  <c r="Y64" i="1"/>
  <c r="Z64" i="1" s="1"/>
  <c r="Y23" i="1"/>
  <c r="Z23" i="1" s="1"/>
  <c r="Y75" i="1"/>
  <c r="Z75" i="1" s="1"/>
  <c r="Y110" i="1"/>
  <c r="Z110" i="1" s="1"/>
  <c r="Y67" i="1"/>
  <c r="Z67" i="1" s="1"/>
  <c r="Y22" i="1"/>
  <c r="Z22" i="1" s="1"/>
  <c r="Y95" i="1"/>
  <c r="Z95" i="1" s="1"/>
  <c r="Y62" i="1"/>
  <c r="Z62" i="1" s="1"/>
  <c r="Y51" i="1"/>
  <c r="Z51" i="1" s="1"/>
  <c r="Y87" i="1"/>
  <c r="Z87" i="1" s="1"/>
  <c r="Y39" i="1"/>
  <c r="Z39" i="1" s="1"/>
  <c r="Y89" i="1"/>
  <c r="Z89" i="1" s="1"/>
  <c r="Y31" i="1"/>
  <c r="Z31" i="1" s="1"/>
  <c r="Y25" i="1"/>
  <c r="Z25" i="1" s="1"/>
  <c r="Y29" i="1"/>
  <c r="Z29" i="1" s="1"/>
  <c r="Y21" i="1"/>
  <c r="Z21" i="1" s="1"/>
  <c r="Y74" i="1"/>
  <c r="Z74" i="1" s="1"/>
  <c r="Y30" i="1"/>
  <c r="Z30" i="1" s="1"/>
  <c r="Y86" i="1"/>
  <c r="Z86" i="1" s="1"/>
  <c r="Y96" i="1"/>
  <c r="Z96" i="1" s="1"/>
  <c r="Y93" i="1"/>
  <c r="Z93" i="1" s="1"/>
  <c r="Y10" i="1"/>
  <c r="Z10" i="1" s="1"/>
  <c r="Y7" i="1"/>
  <c r="Z7" i="1" s="1"/>
  <c r="Y19" i="1"/>
  <c r="Z19" i="1" s="1"/>
  <c r="Y116" i="1"/>
  <c r="Z116" i="1" s="1"/>
  <c r="Y79" i="1"/>
  <c r="Z79" i="1" s="1"/>
  <c r="Y46" i="1"/>
  <c r="Z46" i="1" s="1"/>
  <c r="Y33" i="1"/>
  <c r="Z33" i="1" s="1"/>
  <c r="Y70" i="1"/>
  <c r="Z70" i="1" s="1"/>
  <c r="Y90" i="1"/>
  <c r="Z90" i="1" s="1"/>
  <c r="Y76" i="1"/>
  <c r="Z76" i="1" s="1"/>
  <c r="Y3" i="1"/>
  <c r="Z3" i="1" s="1"/>
  <c r="Y27" i="1"/>
  <c r="Z27" i="1" s="1"/>
  <c r="Y58" i="1"/>
  <c r="Z58" i="1" s="1"/>
  <c r="Y115" i="1"/>
  <c r="Z115" i="1" s="1"/>
  <c r="Y18" i="1"/>
  <c r="Z18" i="1" s="1"/>
  <c r="Y106" i="1"/>
  <c r="Z106" i="1" s="1"/>
  <c r="Y44" i="1"/>
  <c r="Z44" i="1" s="1"/>
  <c r="Y80" i="1"/>
  <c r="Z80" i="1" s="1"/>
  <c r="Y63" i="1"/>
  <c r="Z63" i="1" s="1"/>
  <c r="Y72" i="1"/>
  <c r="Z72" i="1" s="1"/>
  <c r="Y16" i="1"/>
  <c r="Z16" i="1" s="1"/>
  <c r="Y28" i="1"/>
  <c r="Z28" i="1" s="1"/>
  <c r="Y111" i="1"/>
  <c r="Z111" i="1" s="1"/>
  <c r="Y14" i="1"/>
  <c r="Z14" i="1" s="1"/>
  <c r="Y61" i="1"/>
  <c r="Z61" i="1" s="1"/>
  <c r="Y92" i="1"/>
  <c r="Z92" i="1" s="1"/>
  <c r="Y88" i="1"/>
  <c r="Z88" i="1" s="1"/>
  <c r="Y49" i="1"/>
  <c r="Z49" i="1" s="1"/>
  <c r="Y37" i="1"/>
  <c r="Z37" i="1" s="1"/>
  <c r="Y9" i="1"/>
  <c r="Z9" i="1" s="1"/>
  <c r="Y57" i="1"/>
  <c r="Z57" i="1" s="1"/>
  <c r="Y99" i="1"/>
  <c r="Z99" i="1" s="1"/>
  <c r="Y102" i="1"/>
  <c r="Z102" i="1" s="1"/>
  <c r="Y35" i="1"/>
  <c r="Z35" i="1" s="1"/>
  <c r="Y66" i="1"/>
  <c r="Z66" i="1" s="1"/>
  <c r="Y4" i="1"/>
  <c r="Z4" i="1" s="1"/>
  <c r="Y100" i="1"/>
  <c r="Z100" i="1" s="1"/>
  <c r="Y60" i="1"/>
  <c r="Z60" i="1" s="1"/>
  <c r="Y56" i="1"/>
  <c r="Z56" i="1" s="1"/>
  <c r="Y108" i="1"/>
  <c r="Z108" i="1" s="1"/>
  <c r="Y59" i="1"/>
  <c r="Z59" i="1" s="1"/>
  <c r="Y65" i="1"/>
  <c r="Z65" i="1" s="1"/>
  <c r="Y13" i="1"/>
  <c r="Z13" i="1" s="1"/>
  <c r="Y113" i="1"/>
  <c r="Z113" i="1" s="1"/>
  <c r="Y43" i="1"/>
  <c r="Z43" i="1" s="1"/>
  <c r="Y77" i="1"/>
  <c r="Z77" i="1" s="1"/>
  <c r="Y26" i="1"/>
  <c r="Z26" i="1" s="1"/>
  <c r="Y36" i="1"/>
  <c r="Z36" i="1" s="1"/>
  <c r="Y105" i="1"/>
  <c r="Z105" i="1" s="1"/>
  <c r="Y15" i="1"/>
  <c r="Z15" i="1" s="1"/>
  <c r="Y98" i="1"/>
  <c r="Z98" i="1" s="1"/>
  <c r="Y12" i="1"/>
  <c r="Z12" i="1" s="1"/>
  <c r="Y24" i="1"/>
  <c r="Z24" i="1" s="1"/>
  <c r="Y48" i="1"/>
  <c r="Z48" i="1" s="1"/>
  <c r="Y69" i="1"/>
  <c r="Z69" i="1" s="1"/>
  <c r="Y83" i="1"/>
  <c r="Z83" i="1" s="1"/>
  <c r="Y17" i="1"/>
  <c r="Z17" i="1" s="1"/>
  <c r="Y5" i="1"/>
  <c r="Z5" i="1" s="1"/>
  <c r="Y45" i="1"/>
  <c r="Z45" i="1" s="1"/>
  <c r="Y6" i="1"/>
  <c r="Z6" i="1" s="1"/>
  <c r="Y101" i="1"/>
  <c r="Z101" i="1" s="1"/>
  <c r="Y82" i="1"/>
  <c r="Z82" i="1" s="1"/>
  <c r="Y34" i="1"/>
  <c r="Z34" i="1" s="1"/>
  <c r="Y42" i="1"/>
  <c r="Z42" i="1" s="1"/>
  <c r="Y11" i="1"/>
  <c r="Z11" i="1" s="1"/>
  <c r="Y32" i="1"/>
  <c r="Z32" i="1" s="1"/>
  <c r="Y54" i="1"/>
  <c r="Z54" i="1" s="1"/>
  <c r="Y85" i="1"/>
  <c r="Z85" i="1" s="1"/>
  <c r="Y40" i="1"/>
  <c r="Z40" i="1" s="1"/>
  <c r="Y52" i="1"/>
  <c r="Z52" i="1" s="1"/>
  <c r="Y41" i="1"/>
  <c r="Z41" i="1" s="1"/>
  <c r="Y103" i="1"/>
  <c r="Z103" i="1" s="1"/>
  <c r="Y112" i="1"/>
  <c r="Z112" i="1" s="1"/>
  <c r="Y94" i="1"/>
  <c r="Z94" i="1" s="1"/>
  <c r="Y78" i="1"/>
  <c r="Z78" i="1" s="1"/>
  <c r="Y81" i="1"/>
  <c r="Z81" i="1" s="1"/>
  <c r="Y20" i="1"/>
  <c r="Z20" i="1" s="1"/>
  <c r="Y8" i="1"/>
  <c r="Z8" i="1" s="1"/>
</calcChain>
</file>

<file path=xl/sharedStrings.xml><?xml version="1.0" encoding="utf-8"?>
<sst xmlns="http://schemas.openxmlformats.org/spreadsheetml/2006/main" count="11373" uniqueCount="7015">
  <si>
    <t>STT</t>
  </si>
  <si>
    <t>NgayHoaDon</t>
  </si>
  <si>
    <t>MaKhachHang</t>
  </si>
  <si>
    <t>TenKhachHang</t>
  </si>
  <si>
    <t>TenNguoiMua</t>
  </si>
  <si>
    <t>MaSoThue</t>
  </si>
  <si>
    <t>DiaChiKhachHang</t>
  </si>
  <si>
    <t>SoTaiKhoan</t>
  </si>
  <si>
    <t>NganHang</t>
  </si>
  <si>
    <t>HinhThucTT</t>
  </si>
  <si>
    <t>MaSanPham</t>
  </si>
  <si>
    <t>SanPham</t>
  </si>
  <si>
    <t>DonViTinh</t>
  </si>
  <si>
    <t>Extra1SP</t>
  </si>
  <si>
    <t>Extra2SP</t>
  </si>
  <si>
    <t>SoLuong</t>
  </si>
  <si>
    <t>DonGia</t>
  </si>
  <si>
    <t>ThanhTien</t>
  </si>
  <si>
    <t>TienBan</t>
  </si>
  <si>
    <t>ThueSuat</t>
  </si>
  <si>
    <t>TienThueSanPham</t>
  </si>
  <si>
    <t>TienThue</t>
  </si>
  <si>
    <t>TongCong</t>
  </si>
  <si>
    <t>DonViTienTe</t>
  </si>
  <si>
    <t>TyGia</t>
  </si>
  <si>
    <t>Fkey</t>
  </si>
  <si>
    <t>Extra1</t>
  </si>
  <si>
    <t>Extra2</t>
  </si>
  <si>
    <t>EmailKhachHang</t>
  </si>
  <si>
    <t>mau_01</t>
  </si>
  <si>
    <t>VungDuLieu</t>
  </si>
  <si>
    <t>Extra3</t>
  </si>
  <si>
    <t>Extra4</t>
  </si>
  <si>
    <t>Extra5</t>
  </si>
  <si>
    <t>Extra6</t>
  </si>
  <si>
    <t>Extra7</t>
  </si>
  <si>
    <t>Extra8</t>
  </si>
  <si>
    <t>Extra9</t>
  </si>
  <si>
    <t>Extra10</t>
  </si>
  <si>
    <t>Extra11</t>
  </si>
  <si>
    <t>Extra12</t>
  </si>
  <si>
    <t>DienThoaiKhachHang</t>
  </si>
  <si>
    <t>TinhChatHangHoa</t>
  </si>
  <si>
    <t>TyLeChietKhau</t>
  </si>
  <si>
    <t>SoTienChietKhau</t>
  </si>
  <si>
    <t>LDDNBo</t>
  </si>
  <si>
    <t>HDSo</t>
  </si>
  <si>
    <t>HVTNXHang</t>
  </si>
  <si>
    <t>TNVChuyen</t>
  </si>
  <si>
    <t>PTVChuyen</t>
  </si>
  <si>
    <t>HDKTNgay</t>
  </si>
  <si>
    <t>HDKTSo</t>
  </si>
  <si>
    <t>CCCDan</t>
  </si>
  <si>
    <t>gói</t>
  </si>
  <si>
    <t>chai</t>
  </si>
  <si>
    <t>ống</t>
  </si>
  <si>
    <t>Tuyp</t>
  </si>
  <si>
    <t>OMO Bột Giặt Đỏ Hương Thơm Mát 2.9kg/4 gói</t>
  </si>
  <si>
    <t>CLOSEUP KĐR Bạc Hà Thơm Mát 180g/36 ống</t>
  </si>
  <si>
    <t>OMO Bột Giặt Đỏ Hương Thơm Mát 380g/36 gói</t>
  </si>
  <si>
    <t>Ngày</t>
  </si>
  <si>
    <t>Số Đơn</t>
  </si>
  <si>
    <t>Mã Nv</t>
  </si>
  <si>
    <t>Tên Nv</t>
  </si>
  <si>
    <t>Mã Khách</t>
  </si>
  <si>
    <t>Tên Khách</t>
  </si>
  <si>
    <t>Địa chỉ</t>
  </si>
  <si>
    <t>Phone</t>
  </si>
  <si>
    <t>Stt</t>
  </si>
  <si>
    <t>Mã hàng</t>
  </si>
  <si>
    <t>Tên hàng</t>
  </si>
  <si>
    <t>Qc</t>
  </si>
  <si>
    <t>Là Km</t>
  </si>
  <si>
    <t>Số lượng</t>
  </si>
  <si>
    <t>Đơn giá sau KM/Ck</t>
  </si>
  <si>
    <t>Mã Kho</t>
  </si>
  <si>
    <t>Nhóm hàng</t>
  </si>
  <si>
    <t>Kênh hàng</t>
  </si>
  <si>
    <t>KHOCHINH</t>
  </si>
  <si>
    <t>OMO Bột Giặt Comfort Tinh Dầu Thơm Sang Trọng 2.6kg/4 gói</t>
  </si>
  <si>
    <t>OMO Nước Giặt MG Cửa Trên Tinh Dầu N.Hoa Tinh Tế 3.6kg/4 túi</t>
  </si>
  <si>
    <t>OMO NướcGiặt MG CửaTrước H.Hoa Oải Hương Thư Thái 3.6kg/4túi</t>
  </si>
  <si>
    <t>OMO Bột Giặt Đỏ Hương Thơm Mát 770g/18 gói</t>
  </si>
  <si>
    <t>VIM vệ sinh xanh biển 880ml/16 chai</t>
  </si>
  <si>
    <t>P/S KĐR Trà Xanh 180g (+ống 30g)/24 bộ</t>
  </si>
  <si>
    <t>P/S BCĐR Bảo Vệ 123 12cây/25 vỉ</t>
  </si>
  <si>
    <t>OMO Bột Giặt Đỏ Hương Thơm Mát 5.5kg/3 gói</t>
  </si>
  <si>
    <t>OMO Bột Giặt Comfort Tinh Dầu Thơm Sang Trọng 5.1kg/3 gói</t>
  </si>
  <si>
    <t>OMO Bột Giặt Comfort H.Hoa Hồng Pháp Ngọt Ngào 2.6kg/4 gói</t>
  </si>
  <si>
    <t>OMO Bột Giặt Comfort H.Hoa Hồng Pháp Ngọt Ngào 700g/18 gói</t>
  </si>
  <si>
    <t>OMO Bột Giặt Comfort H.Hoa Hồng Pháp Ngọt Ngào 5.1kg/3 gói</t>
  </si>
  <si>
    <t>CLEAR Dầu Gội Mát Lạnh Bạc Hà 6gx10/84 Dây</t>
  </si>
  <si>
    <t>DOVE Dầu Gội Phục Hồi Hư Tổn 6G (10+2)/84 Dây</t>
  </si>
  <si>
    <t>CLEAR DG Mát Lạnh Bạc Hà 630g(1+1 DG Gừng&amp;H.Cúc140g)/8 Bộ</t>
  </si>
  <si>
    <t>COMFORT NX Mềm Vải DịuNhẹ Thơm Hương Phấn (10+2)x20ml/30 dây</t>
  </si>
  <si>
    <t>COMFORT Đậm Đặc 1 Lần xả Hương Ban Mai (10+2)x20ml/30 dây</t>
  </si>
  <si>
    <t>SUNLIGHT NRC Thiên Nhiên Lô Hội 750g/15 Chai</t>
  </si>
  <si>
    <t/>
  </si>
  <si>
    <t>Danh mục hàng hóa - vật tư</t>
  </si>
  <si>
    <t>Mã vật tư</t>
  </si>
  <si>
    <t>Tên vật tư</t>
  </si>
  <si>
    <t>Đvt</t>
  </si>
  <si>
    <t>P/S Kem đánh răng Trẻ em hương dâu 35g/120 ống</t>
  </si>
  <si>
    <t>LIFEBUOY DG TOC MEM MUOT 720X6G</t>
  </si>
  <si>
    <t>DÂY</t>
  </si>
  <si>
    <t>LIFEBUOY Dầu gội Tóc dày óng ả 6gx12/60 dây</t>
  </si>
  <si>
    <t>Dây</t>
  </si>
  <si>
    <t>LIFEBUOY NRT VUOT TROI RE0115 3X4KG</t>
  </si>
  <si>
    <t>Chai</t>
  </si>
  <si>
    <t>LIPTON YELLOW LABEL SIP2 36X100X2G</t>
  </si>
  <si>
    <t>Hộp</t>
  </si>
  <si>
    <t>SUNSILK DG vàng mền mượt diệu kỳ 6gx12/60 dây - T04/16</t>
  </si>
  <si>
    <t>SUNSILK DG đen óng Mượt rạng ngời 6gx12/60 dây - T04/16</t>
  </si>
  <si>
    <t>DOVE dầu gội Phục Hồi Hư Tổn 6gx12/60 Day -T01/16</t>
  </si>
  <si>
    <t>SUNLIGHT LAU KINH SNHANH RE0123 12X520ML</t>
  </si>
  <si>
    <t>SUNLIGHT NATURE KITCHEN RE0123 12X500ML</t>
  </si>
  <si>
    <t>SUNLIGHT NTR MTPURPOSE RE0123 12X500ML</t>
  </si>
  <si>
    <t>DOVE HC IN RPR/SG BLSM 8(1+1)610G/200G</t>
  </si>
  <si>
    <t>DOVE SP ANTI HF/SG BLSM 8(1+1)640G/200G</t>
  </si>
  <si>
    <t>DOVE SP INT RPR/SG BLSM 8(1+1)640G/200G</t>
  </si>
  <si>
    <t>CHAI</t>
  </si>
  <si>
    <t>OMO LQ MT TL CORE/SAMP 3(3.9KG+350G)</t>
  </si>
  <si>
    <t>túi</t>
  </si>
  <si>
    <t>OMO LQ MT TL CF GOLD/SAMP 3(3.6KG+350G)</t>
  </si>
  <si>
    <t>OMO LQ MT TL CF ROSE/SAMP 3(3.6KG+350G)</t>
  </si>
  <si>
    <t>OMO BG STRONG BEN LAU/SAMP 3(2.6KG+350G)</t>
  </si>
  <si>
    <t>OMO BG HH DMAT BLAU/SAMP 3(2.6KG+350G)</t>
  </si>
  <si>
    <t>OMO BG DO/SAMP 3(2.9KG+350G)</t>
  </si>
  <si>
    <t>P/S KDR NGUA SR VT/T.XANH 21(180G+30G)</t>
  </si>
  <si>
    <t>hộp</t>
  </si>
  <si>
    <t>CLEAR MEN DG SG HươngNcHoa Gỗ &amp;Phong Lữ 600g(1+1DG140g)/8Bộ</t>
  </si>
  <si>
    <t>bộ</t>
  </si>
  <si>
    <t>HAZELINE FF MTCH TEATREE 24(1+1)100G/40G</t>
  </si>
  <si>
    <t>HAZELINE FF TURMERIC/MTC 24(1+1)100G/40G</t>
  </si>
  <si>
    <t>OMO MT LQ FL B.CARE/SAMP 3(3.6KG+350G)</t>
  </si>
  <si>
    <t>OMO MT LQ FL LAVENDER/SAMP 3(3.6KG+350G)</t>
  </si>
  <si>
    <t>OMO MT LQ FL P.M SMELL/SAMP3(3.6KG+350G)</t>
  </si>
  <si>
    <t>CLEAR SP HERBAL 9 ANT DR 8(1+TOWEL)630G</t>
  </si>
  <si>
    <t>CLEAR SP CL MNTHL/HB AD 8(1+1)630G/140G</t>
  </si>
  <si>
    <t>LIFEBUOY Sữa Tắm Bảo Vệ Vượt Trội 800G/12 Chai</t>
  </si>
  <si>
    <t>LIFEBUOY Sữa Tắm Chăm Sóc Da 800G/12 Chai</t>
  </si>
  <si>
    <t>CLOSE UP TP A.BAC MNTHL BURST 6(6X180G)</t>
  </si>
  <si>
    <t>CLOSE UP TP A.BAC WINTER BLAST 6(6X180G)</t>
  </si>
  <si>
    <t>CLEAR SP CL MNTHL/MEN WF 12(1+1)340G/70G</t>
  </si>
  <si>
    <t>SURF LIQ EMERALD POU PA0123 4X2.9KG</t>
  </si>
  <si>
    <t>SURF Nước Giặt Hương Sương Mai Dịu Mát 4Kg/4 túi</t>
  </si>
  <si>
    <t>SURF NG H.CO HOA DIEU KI TUI 4X2.9KG</t>
  </si>
  <si>
    <t>SURF Nước Giặt Hương Cỏ Hoa Diệu Kì 4Kg/4 túi</t>
  </si>
  <si>
    <t>OMO Matic Viên Giặt 3 Trong 1 Hương Tinh Tế 315g/12 Túi</t>
  </si>
  <si>
    <t>OMO Matic Viên Giặt 3 Trong 1 Hương Tươi Mát 315G/12 Túi</t>
  </si>
  <si>
    <t>OMO Nước Giặt Máy Giặt C.Trước Bền Đẹp 1.8Kg/4 túi</t>
  </si>
  <si>
    <t>OMO Nước Giặt MGiặt C.Trước Khử Mùi Thư Thái 1.8Kg/4 túi</t>
  </si>
  <si>
    <t>OMO LQ MT FL P.MUSTY SMELL POU 4X1.8KG</t>
  </si>
  <si>
    <t>OMO Nước Giặt Máy Giặt C.Trên Giữ Màu 1.8Kg/4 túi</t>
  </si>
  <si>
    <t>OMO Nước Giặt MGiặt C.Trên CFT Tinh Dầu Thơm 1.8Kg/4 túi</t>
  </si>
  <si>
    <t>OMO Nước Giặt MGiặt C.Trên CFT Hoa Hồng Ecuador 1.8Kg/4 túi</t>
  </si>
  <si>
    <t>OMO Nước Giặt Máy Giặt Cửa Trên Khử Mùi 2Kg/4 túi</t>
  </si>
  <si>
    <t>OMO Nước Giặt Cho Quần Áo Bé Yêu 1.8Kg/4 túi</t>
  </si>
  <si>
    <t>Túi</t>
  </si>
  <si>
    <t>COMFORT LQ 1R WHITE/OMO 3(1.8L+350G)</t>
  </si>
  <si>
    <t>COMFORT PC I-D S.FRSH/OMO 3X(1.8L+350G)</t>
  </si>
  <si>
    <t>COMFORT PC 1R BLUE/OMO 3(1.8L+350G)</t>
  </si>
  <si>
    <t>COMFORT PC 1R MERLIN/OMO 3(1.8L+350G)</t>
  </si>
  <si>
    <t>COMFORT PC SS BELLA POU/OMO 3(1.8L+350G)</t>
  </si>
  <si>
    <t>COMFORT PC SS JENNIE/OMO 3(1.8L+350G)</t>
  </si>
  <si>
    <t>COMFORT PC SS SOPHIA/OMO 3(1.8L+350G)</t>
  </si>
  <si>
    <t>COMFORT S.P.C.V BLM POU/OMO 3(1.7L+350G)</t>
  </si>
  <si>
    <t>LIFEBUOY SG TOTAL10/HERBAL 12(800G+200G)</t>
  </si>
  <si>
    <t>LIFEBUOY SG CARE/HERBAL 12(800G+200G)</t>
  </si>
  <si>
    <t>LIFEBUOY SG C.FRESH/HERBAL 12(800G+200G)</t>
  </si>
  <si>
    <t>LIFEBUOY SG TOTAL10 12(800G+200G)</t>
  </si>
  <si>
    <t>LIFEBUOY SG CARE/TTL10 12(800G+200G)</t>
  </si>
  <si>
    <t>LIFEBUOY SG C.FRESH/TTL10 12(800G+200G)</t>
  </si>
  <si>
    <t>P/S TP PROTEC 123/TB X30 36X(180G+1PC)</t>
  </si>
  <si>
    <t>CLOSEUP KĐR BạcHàThơmMát230g (1+1 KĐR BạcHàThơmMát50g)/24 bộ</t>
  </si>
  <si>
    <t>CLOSEUP KĐR TinhThểBăngTuyết230g(1+1 TThể BTuyết 50g)/24 bộ</t>
  </si>
  <si>
    <t>LUX xà bông cục Hương Phong Lan Quyến Rũ 105g/96 bánh</t>
  </si>
  <si>
    <t>bánh</t>
  </si>
  <si>
    <t>LUX xà bông cục Hương Hồng Pháp Nồng Nàn 105g/96 bánh</t>
  </si>
  <si>
    <t>COMFORT NX Mềm Vải Dịu Nhẹ Thơm Hương Phấn 800ml/12 chai</t>
  </si>
  <si>
    <t>COMFORT NX Mềm Vải Dịu Nhẹ Thơm Hương Phấn 10x20ml/30 dây</t>
  </si>
  <si>
    <t>dây</t>
  </si>
  <si>
    <t>COMFORT NX Mềm Vải Dịu Nhẹ Thơm Hương Phấn 3.8L/3 chai</t>
  </si>
  <si>
    <t>COMFORT NX Mềm Vải Dịu Nhẹ Thơm Hương Phấn 3.2L/4 túi</t>
  </si>
  <si>
    <t>COMFORT NX Mềm Vải Dịu Nhẹ Thơm Hương Phấn 1.8L/6 chai</t>
  </si>
  <si>
    <t>COMFORT NX Mềm Vải Dịu Nhẹ Thơm Hương Phấn 1.8L/4 túi</t>
  </si>
  <si>
    <t>COMFORT NX Mềm Vải Dịu Nhẹ Thơm Hương Phấn 3.8L/4 túi</t>
  </si>
  <si>
    <t>CLOSEUP Bàn Chải Đánh Răng Precision Clean/36 cây</t>
  </si>
  <si>
    <t>cây</t>
  </si>
  <si>
    <t>COMFORT 1RNS PRCR PINK/OMO3(1.8L+350G)</t>
  </si>
  <si>
    <t>COMFORT NG TTHUONG/NX SAMP 3(3.6KG+350G)</t>
  </si>
  <si>
    <t>COMFORT NG TH.LICH/NX SAMP 3(3.6KG+350G)</t>
  </si>
  <si>
    <t>PONDS FF BR BTY/VSL HB PY 24(100G+100ML)</t>
  </si>
  <si>
    <t>PONDS FF PURE BR/VSL HBPY 24(100G+100ML)</t>
  </si>
  <si>
    <t>SUNLIGHT NRC Chanh 750g (1chai +1SL Thiên Nhiên 200g)/9 bộ</t>
  </si>
  <si>
    <t>CLOSEUP M.BURST/W.BLAST 21(180G+50G)</t>
  </si>
  <si>
    <t>CLOSEUP W.BLAST/M.BURST 21(180G+50G)</t>
  </si>
  <si>
    <t>KNORR Hạt Nêm Từ Thịt 400g DT Tết 2024/16 gói</t>
  </si>
  <si>
    <t>KNORR Hạt Nêm Từ Thịt 900g DT Tết 2024/8 gói</t>
  </si>
  <si>
    <t>KNORR Hạt Nêm Nấm Hương Organic 380g DT Tết 2024/16 gói</t>
  </si>
  <si>
    <t>SUNSILK DG OM R.Ngời 650g(1+1CLR MEN DG HgNcHoaGỗ140g)/8Bộ</t>
  </si>
  <si>
    <t>SUNSILK DG MM DiệuKỳ 650g(1+1CLR MEN DG HgNcHoaGỗ140g)/8Bộ</t>
  </si>
  <si>
    <t>COMFORT 1LX Dịu Nhẹ Thơm Dịu Êm 10x20ml/30 dây</t>
  </si>
  <si>
    <t>COMFORT 1LX Dịu Nhẹ Thơm Dịu Êm 1.8L/4 túi</t>
  </si>
  <si>
    <t>COMFORT 1LX Dịu Nhẹ Thơm Dịu Êm 3.2L/4 túi</t>
  </si>
  <si>
    <t>LIFEBUOY Sữa Tắm Tràm Trà Muối Hồng 500g (1+Hộp)/12 bộ</t>
  </si>
  <si>
    <t>TRESEMME Dầu Xả Bond Repair 620g/8 Chai</t>
  </si>
  <si>
    <t>TRESEMME Dầu Gội Bond Repair 640g/8 Chai</t>
  </si>
  <si>
    <t>TRESEMME Dầu Gội  Bond Repair 850g/8 Chai</t>
  </si>
  <si>
    <t>HAZELINE ST SOC/LFB NRTSDA 12(800G+120G)</t>
  </si>
  <si>
    <t>HAZELINE ST YM/LFB NRT SDA 12(800G+120G)</t>
  </si>
  <si>
    <t>HAZELINE ST MTC/LFB NRTSDA 12(800G+120G)</t>
  </si>
  <si>
    <t>CLEAR DG MátLạnh BạcHà 630g(1+1DOVE KX P.H.H.Tổn 140g)/8Bộ</t>
  </si>
  <si>
    <t>DOVE Dầu Gội Phục Hồi Hư Tổn 640g + Kem Xả 320g (1+1)/8Bộ</t>
  </si>
  <si>
    <t>PONDS KD SH BNGAY/SRM SH 12(1+1)50G/40G</t>
  </si>
  <si>
    <t>PONDS KD SH BDEM/SRM SH 12(1+1)50G/40G</t>
  </si>
  <si>
    <t>COMFORT TN Thanh Khiết Hương Hoa Linh Lan &amp; Kiwi 1.7L/4 túi</t>
  </si>
  <si>
    <t>COMFORT TN Thanh Khiết H.Hoa Anh Đào &amp; Đào Tươi 1.7L/4 túi</t>
  </si>
  <si>
    <t>COMFORT TNTKhiết H.Hoa Linh Lan &amp; Kiwi (10+2)x18ml/30 dây</t>
  </si>
  <si>
    <t>COMFORT TNTKhiết H.Hoa Anh Đào &amp; Đào Tươi (10+2)x18ml/30 dây</t>
  </si>
  <si>
    <t>SURF NRC Hương Chanh Sả 750g/20 chai</t>
  </si>
  <si>
    <t>LIFEBUOY ST Bảo Vệ Vượt Trội 800g (1+ ST Tết 200g)/12 bộ</t>
  </si>
  <si>
    <t>LIFEBUOY ST Chăm Sóc Da 800g (1+ ST Tết 200g)/12 bộ</t>
  </si>
  <si>
    <t>LIFEBUOY ST M.Lạnh S.Khoái 800g (1+ ST Tết 200g)/12 bộ</t>
  </si>
  <si>
    <t>LIFEBUOY ST Trà Xanh Khổ Qua 800g (1+ ST Tết 200g)/12 bộ</t>
  </si>
  <si>
    <t>LIFEBUOY ST Than H.Tính Cám Gạo 800g (1+ ST Tết 200g)/12 bộ</t>
  </si>
  <si>
    <t>LIFEBUOY ST Tràm Trà Muối Hồng800g (1+ST Tết 200g)/12 bộ</t>
  </si>
  <si>
    <t>LIFEBUOY ST Thảo dược&amp;Hoa sen800g (1+ST Tết 200g)/12 bộ</t>
  </si>
  <si>
    <t>LIFEBUOY NRT Bạc Bảo Vệ 450g (1 + NRT Tết 120g)/12 bộ</t>
  </si>
  <si>
    <t>LIFEBUOY NRT Sữa Dưỡng Ẩm 450g (1 + NRT Tết 120g)/12 bộ</t>
  </si>
  <si>
    <t>CLEAR dầu gội 9 thảo dược cổ truyền P0123 12x340G</t>
  </si>
  <si>
    <t>CLOSEUP KĐR Bạc Hà Thơm Mát 230g/36 ống</t>
  </si>
  <si>
    <t>CLOSEUP KĐR Bạc Hà Thơm Mát 140g/60 ống</t>
  </si>
  <si>
    <t>KNORR GVHC Cá Kho Riềng Khuyến Mại 28gx6/10 dây</t>
  </si>
  <si>
    <t>KNORR GVHC Thịt Kho Tàu Khuyến Mại 28gx6/10 dây</t>
  </si>
  <si>
    <t>OMO Bột Giặt Đỏ 5.7Kg (1+1Omo NG SHTVượng 400g)/2 bộ</t>
  </si>
  <si>
    <t>OMO BộtGiặt CFT TDT STrọng 5.3kg(1+1Omo NG SHTVượng400g)/2bộ</t>
  </si>
  <si>
    <t>OMO BG CFT H.Hồng DịuMát 5.3kg (1+1Omo NG SHTVượng 400g)/2bộ</t>
  </si>
  <si>
    <t>OMO NG CFT Tinh Dầu Thơm 3.6kg (1+1OMO NG SHTVượng 400g)/3Bộ</t>
  </si>
  <si>
    <t>OMO NG Hoa Hồng Ecuador 3.6kg (1+1OMO NG SHTVượng 400g)/3Bộ</t>
  </si>
  <si>
    <t>OMO Nước Giặt Cửa Trên 3.9kg (1+1OMO NG SHTVượng 400g)/3Bộ</t>
  </si>
  <si>
    <t>OMO NG Giữ Màu Cửa Trên 3.6kg (1+1OMO NG SHTVượng 400g)/3Bộ</t>
  </si>
  <si>
    <t>OMO NG Bền Đẹp Cửa Trước 3.6kg (1+1OMO NG SHTVượng 400g)/3Bộ</t>
  </si>
  <si>
    <t>OMO NG KMT ThưThái CTrước 3.6kg (1+1OMO NG SHTVượng400g)/3Bộ</t>
  </si>
  <si>
    <t>OMO NG CTRC NgănMùiẨmMốc 3.6kg (1+1OMO NG SHTVượng 400g)/3Bộ</t>
  </si>
  <si>
    <t>SURF NRC Hương Chanh Sả 1.4kg/9 can</t>
  </si>
  <si>
    <t>can</t>
  </si>
  <si>
    <t>SURF NRC Hương Trà xanh&amp;Lá dứa 3.4kg/4 túi</t>
  </si>
  <si>
    <t>SURF NRC Hương Chanh sả 3.4kg/4 túi</t>
  </si>
  <si>
    <t>SURF NRC Hương Trà xanh&amp;Lá dứa 1.4kg/9 can</t>
  </si>
  <si>
    <t>POND'S Kem Dưỡng Sáng Da Ban Ngày 30g/24 Hũ</t>
  </si>
  <si>
    <t>hũ</t>
  </si>
  <si>
    <t>POND'S Kem Dưỡng Sáng Da Ban Đêm 30g/24 Hũ</t>
  </si>
  <si>
    <t>PONDS SRM S.Mịn R.Rỡ 100g (1+3KD S.Da B.Ngày 6.5g)/24 Bộ</t>
  </si>
  <si>
    <t>PONDS SRM Tr.DaT.Khiết100g (1+3KD S.Da B.Ngày 6.5g)/24 Bộ</t>
  </si>
  <si>
    <t>CLOSEUP KĐR White Now Với Khoáng Trắng Tự Nhiên 100g/36 ống</t>
  </si>
  <si>
    <t>Ống</t>
  </si>
  <si>
    <t>CLOSEUP KĐR White Now Với Tinh Thể Blue Sapphire 100g/36 ống</t>
  </si>
  <si>
    <t>SUNLIGHT NLS T Dầu Diên Vỹ 3.6kg (1chai + 1SL NRC 550g)/3 bộ</t>
  </si>
  <si>
    <t>SUNLIGHT NLS TDầu Lily 3.6kg (1 chai +1SL NRC 550g)/3 bộ</t>
  </si>
  <si>
    <t>SUNLIGHT NLS T Dầu H Lavender 3.6kg(1chai+1SL NRC 550g)/3 bộ</t>
  </si>
  <si>
    <t>SUNLIGHT NLS BIO Chanh Sả 3.6kg (1chai+1SL NRC 550g)/3 bộ</t>
  </si>
  <si>
    <t>SUNLIGHT NLS BIO H Quế Cam 3.6kg (1 chai+1 SL NRC 550g)/3 bộ</t>
  </si>
  <si>
    <t>SUNLIGHT NLS Thiên Nhiên 3.6kg (1 chai + 1 SL NRC 550g)/3 bộ</t>
  </si>
  <si>
    <t>KNORR Nước Mắm Ngon Tròn Vị 242ml/20 chai</t>
  </si>
  <si>
    <t>SUNLIGHT NRC Thiên Nhiên 750g (1chai +1miếng rửa chén)/10 bộ</t>
  </si>
  <si>
    <t>SUNLIGHT NRC Trà Xanh 750g (1 chai + 1miếng rửa chén)/10 bộ</t>
  </si>
  <si>
    <t>SUNLIGHT NRC Chanh 3.6kg (1+1SL NLS Hoa Hạ túi 700g)/ 3bộ</t>
  </si>
  <si>
    <t>SUNLIGHT NRC Thiên Nhiên 3.6kg (1+1SL NLS Hoa Hạ 700g)/ 3bộ</t>
  </si>
  <si>
    <t>SUNLIGHT NRC Trà Xanh 3.6kg (1+1SL NLS Hoa Hạ túi 700g)/ 3bộ</t>
  </si>
  <si>
    <t>VIM Trắng Sáng Oải Hương 870ml(1+1NRC TNhiên túi 200g)/10 bộ</t>
  </si>
  <si>
    <t>VIM Trắng Hương Chanh Sả 870ml(1+1NRC TNhiên túi 200g)/10 bộ</t>
  </si>
  <si>
    <t>HAZELINE STắm OChúa HoaLy + ymạch dtằm (288+216)6g 2 /vỉ</t>
  </si>
  <si>
    <t>COMFORT H.Vườn Xuân Túi 1.8L (1+1OMO NG Giữ Màu 350g)/3 bộ</t>
  </si>
  <si>
    <t>COMFORT Thơm Hương Phấn Túi 1.8L (1+1OMO NG GiữMàu 350g)/3bộ</t>
  </si>
  <si>
    <t>COMFORT Thơm Dịu Êm Túi 1.8L (1+1OMO NG Giữ Màu 350g)/3bộ</t>
  </si>
  <si>
    <t>COMFORT Hương Nắng Mới Túi 1.8L (1+1OMO NG Giữ Màu 350g)/3bộ</t>
  </si>
  <si>
    <t>COMFORT HNH DiệuKỳ Bella Túi1.8L (1+1OMO NG GiữMàu 350g)/3bộ</t>
  </si>
  <si>
    <t>COMFORT HNHQuyếnRũ Jennie Túi1.8L (1+1OMO NG GiữMàu350g)/3bộ</t>
  </si>
  <si>
    <t>COMFORT HNH TinhTế Sophia Túi1.8L (1+1OMO NG GiữMàu350g)/3bộ</t>
  </si>
  <si>
    <t>COMFORT 1LX H.Ban Mai Túi 1.8L (1+1OMO NG Giữ Màu 350g)/3bộ</t>
  </si>
  <si>
    <t>COMFORT H.Thanh Xuân Túi 1.7L (1+1OMO NG Giữ Màu 350g)/3bộ</t>
  </si>
  <si>
    <t>COMFORT 1LX H.Gió Xuân Túi 1.8L (1+1OMO NG Giữ Màu 350g)/3bộ</t>
  </si>
  <si>
    <t>P/S KĐR Trà Xanh 180g (1+1 KĐR Trà Xanh 30g)/24 bộ</t>
  </si>
  <si>
    <t>vỉ</t>
  </si>
  <si>
    <t>COMFORT Nước Giặt Dưỡng Vải Thời Thượng 3.6kg/4 chai</t>
  </si>
  <si>
    <t>COMFORT Nước Giặt Dưỡng Vải Thanh Lịch 3.6kg/4 chai</t>
  </si>
  <si>
    <t>CLOSEUP KĐR BạcHàThơmMát180g (1+1 KĐR BạcHàThơmMát30g)/21 bộ</t>
  </si>
  <si>
    <t>CLOSEUP KĐR TinhThểBăngTuyết180g(1+1 TThể BTuyết 30g)/21 bộ</t>
  </si>
  <si>
    <t>POND'S Kem Chống Lão Hóa Ban Ngày 45g/12 Hũ</t>
  </si>
  <si>
    <t>POND'S Kem Dưỡng Sáng Da Ban Đêm 45g/12 Hũ</t>
  </si>
  <si>
    <t>POND'S Kem Chống Lão Hóa Ban Đêm 45g/12 Hũ</t>
  </si>
  <si>
    <t>POND'S Kem Dưỡng Sáng Da Ban Ngày 45g/12 Hũ</t>
  </si>
  <si>
    <t>POND'S Sữa Rửa Mặt Chống Lão Hóa 100g/12 Tuýp</t>
  </si>
  <si>
    <t>SURF NG Thiên Nhiên 7trong1 Hương Thuần Khiết 3.6kg/4 chai</t>
  </si>
  <si>
    <t>SURF NG Tinh Dầu Nước Hoa 7trong1 Hương Đam Mê 3.6kg/4 chai</t>
  </si>
  <si>
    <t>SURF NRC Hương Chanh Sả 3.5kg/3 can</t>
  </si>
  <si>
    <t>SURF NRC Hương Trà xanh&amp;Lá dứa 3.5kg/3 can</t>
  </si>
  <si>
    <t>SURF NRC Hương Tắc 3.5kg/3 can</t>
  </si>
  <si>
    <t>DOVE Dầu gội phục hồi hư tổn 170g/36 chai</t>
  </si>
  <si>
    <t>DOVE Dầu gội phục hồi tóc hư tổn 325g/12 chai</t>
  </si>
  <si>
    <t>DOVE Dầu gội phục hồi tóc hư tổn 640g/8 chai</t>
  </si>
  <si>
    <t>64323981A</t>
  </si>
  <si>
    <t>DOVE Dầu gội phục hồi tóc hư tổn 640g/8chai</t>
  </si>
  <si>
    <t>DOVE Dầu Gội Phục Hồi Tóc Hư Tổn 640g/12 Túi</t>
  </si>
  <si>
    <t>DOVE Dầu gội phục hồi tóc hư tổn 880g/8 chai</t>
  </si>
  <si>
    <t>DOVE Dầu gội Phục Hồi Hư Tổn 1400g/6 chai</t>
  </si>
  <si>
    <t>DOVE Dầu gội ngăn gãy rụng tóc 325g/12 chai</t>
  </si>
  <si>
    <t>DOVE Dầu gội ngăn gãy rụng tóc 640g/8 chai</t>
  </si>
  <si>
    <t>64323996A</t>
  </si>
  <si>
    <t>DOVE Dầu gội ngăn gãy rụng tóc 880g/8 chai</t>
  </si>
  <si>
    <t>DOVE Kem Xả Ngăn Gãy Rụng Tóc 610g/8 Chai</t>
  </si>
  <si>
    <t>DOVE Dầu gội dưỡng tóc bồng bềnh 640g/8 chai</t>
  </si>
  <si>
    <t>DOVE Dầu gội hoa sen óng mềm 640gr/8 chai</t>
  </si>
  <si>
    <t>Dove kem xả óng mềm tự nhiên 610g/8 chai</t>
  </si>
  <si>
    <t>Dove dầu gội vào nếp sống động tự nhiên 640g/8 chai</t>
  </si>
  <si>
    <t>DOVE dầu gội matcha &amp; hoa anh đào 640g/8chai</t>
  </si>
  <si>
    <t>DOVE Kem Xả Phục Hồi Hư Tổn 1 Phút Siêu Dưỡng 170g/24 Tuýp</t>
  </si>
  <si>
    <t>tuyp</t>
  </si>
  <si>
    <t>DOVE Kem Xả Phục Hồi Hư Tổn 1 Phút Siêu Dưỡng 320g/12 Tuýp</t>
  </si>
  <si>
    <t>DOVE Kem Xả Ngăn Gãy Rụng Tóc 320g/12 Tuýp</t>
  </si>
  <si>
    <t>DOVE Kem xả phục hồi hư tổn 610g/8 chai</t>
  </si>
  <si>
    <t>DOVE Kem ủ phục hồi hư tổn CERAMIDE 300ml/12 hũ</t>
  </si>
  <si>
    <t>DOVE kem ủ ngăn gãy rụng tóc BIOTIN 300ML/12 Hũ</t>
  </si>
  <si>
    <t>LIFEBUOY sữa tắm bảo vệ vượt trội 350g/24 chai</t>
  </si>
  <si>
    <t>LIFEBUOY sữa tắm chăm sóc da 350g/24 chai</t>
  </si>
  <si>
    <t>SUNLIGHT NRC Thiên Nhiên Gừng 750g/15 Chai</t>
  </si>
  <si>
    <t>SUNLIGHT NRC Thiên Nhiên Gừng 3.5kg/3 can</t>
  </si>
  <si>
    <t>SUNLIGHT NRC Thiên Nhiên Gừng 3.3kg/4 Túi</t>
  </si>
  <si>
    <t>SUNLIGHT NRC Thiên Nhiên Lô Hội 400g/24 Chai</t>
  </si>
  <si>
    <t>SUNLIGHT NRC Thiên Nhiên Lô Hội 3.5kg/3 Can</t>
  </si>
  <si>
    <t>SUNLIGHT NRC Thiên Nhiên Lô Hội 720g/18 Túi</t>
  </si>
  <si>
    <t>SUNLIGHT NRC Thiên Nhiên Lô Hội 3.3kg/4 Túi</t>
  </si>
  <si>
    <t>SUNLIGHT NRC Thiên Nhiên Lô Hội 2kg/4 Túi</t>
  </si>
  <si>
    <t>64330142A</t>
  </si>
  <si>
    <t>SUNLIGHT NRC Thiên Nhiên Muối Khoáng và Lô Hội 2kg/4 túi</t>
  </si>
  <si>
    <t>Túi</t>
  </si>
  <si>
    <t>SUNLIGHT NRC Trà Xanh 400g/24 Chai</t>
  </si>
  <si>
    <t>SUNLIGHT NRC Trà Xanh 750g/15 chai</t>
  </si>
  <si>
    <t>SUNLIGHT NRC Trà Xanh 3.5kg/3 Can</t>
  </si>
  <si>
    <t>SUNLIGHT NRC Trà Xanh 720g/18 Túi</t>
  </si>
  <si>
    <t>SUNLIGHT NRC Trà Xanh 2kg/4 Túi</t>
  </si>
  <si>
    <t>SUNLIGHT NRC Trà Xanh 3.3kg/4 Túi</t>
  </si>
  <si>
    <t>SUNLIGHT NRC Mềm Dịu Hồng 3.5kg/3 Can</t>
  </si>
  <si>
    <t>SUNLIGHT NRC Hương Quế 750g/15 Chai</t>
  </si>
  <si>
    <t>SUNLIGHT NRC Hương Quế 3.5kg/3 Can</t>
  </si>
  <si>
    <t>Vaseline SDT Gluta-Hya Hồng 330ml (1+1SDT Tr.Da100ml)/12Bộ</t>
  </si>
  <si>
    <t>Vaseline SDT Gluta-Hya Vàng 330ml (1+1SDT Tr.Da 100ml)/12Bộ</t>
  </si>
  <si>
    <t>VASELINE tinh chất dưỡng thể sáng khoẻ da SPF50 300ml/12tuýp</t>
  </si>
  <si>
    <t>KNORR Hạt Nêm Từ Thịt 900g (1+1KNORR Từ Thịt 136g)/6 bộ</t>
  </si>
  <si>
    <t>KNORR Hạt Nêm Từ Thịt 400g (1+1KNORR Từ Thịt 136g)/12 bộ</t>
  </si>
  <si>
    <t>SURF NướcGiặt HSM DịuMát 2.9Kg (1+1 SURF NG T.Nhiên350g)/3Bộ</t>
  </si>
  <si>
    <t>SURF NướcGiặt CỏHoaDiệuKỳ2.9Kg (1+1 SURF NG T.Nhiên350g)/3Bộ</t>
  </si>
  <si>
    <t>COMFORT NG DVải Thanh Lịch 3.6kg (1+1 CFT N.Giặt 400g)/3bộ</t>
  </si>
  <si>
    <t>COMFORT NG DVải Thời Thượng 3.6kg (1+1 CFT N.Giặt 400g)/3bộ</t>
  </si>
  <si>
    <t>LIFEBUOY Xà Bông Cục Sữa Dưỡng Ẩm 125g/72 bánh</t>
  </si>
  <si>
    <t>COMFORT NX Mềm Vải Dịu Nhẹ Thơm Hương Phấn 2.3L/4 túi</t>
  </si>
  <si>
    <t>COMFORT NX 1Lần Xả Dịu Nhẹ Thơm Dịu Êm 2.3L/4 túi</t>
  </si>
  <si>
    <t>COMFORT CSCS 100H Lưu Hương Sâu H.Vườn Xuân 2.4L/4 Túi</t>
  </si>
  <si>
    <t>COMFORT CSCS Phơi Trong Nhà Hương Nắng Mới 2.4L/4 túi</t>
  </si>
  <si>
    <t>COMFORT CSCS HNH Thiên Nhiên Diệu Kỳ 2.4L/4 Túi</t>
  </si>
  <si>
    <t>COMFORT CSCS HNH Thiên Nhiên Quyến Rũ 2.4L/4 Túi</t>
  </si>
  <si>
    <t>COMFORT CSCS HNH Thiên Nhiên Tinh Tế 2.4L/4 Túi</t>
  </si>
  <si>
    <t>COMFORT Đậm Đặc 1 Lần Xả Hương Ban Mai 2.4L/4 túi</t>
  </si>
  <si>
    <t>COMFORT Đ.Đặc ChoDa NhạyCảm Túi1.8L (1+1OMO NGCTRC 350g)/3bộ</t>
  </si>
  <si>
    <t>COMFORT Thơm Dịu Êm Túi 1.8L (1+1OMO NG CTRC 350g)/3bộ</t>
  </si>
  <si>
    <t>COMFORT HNHTN DiệuKỳ Bella Túi1.8L (1+1OMO NG CTRC 350g)/3bộ</t>
  </si>
  <si>
    <t>COMFORT Đ.Đặc 1LX H.BanMai Túi1.8L (1+1OMO NG CTRC 350g)/3bộ</t>
  </si>
  <si>
    <t>COMFORT Phơi Tr.Nhà H.N.Mới Túi1.8L (1+1OMO NGCTRC 350g)/3bộ</t>
  </si>
  <si>
    <t>COMFORT HNH Quyến Rũ Jennie Túi1.8L (1+1OMO NGCTRC 350g)/3bộ</t>
  </si>
  <si>
    <t>COMFORT Đ.Đặc 1LX H.GióXuân Túi1.8L (1+1OMO NGCTRC 350g)/3bộ</t>
  </si>
  <si>
    <t>COMFORT 100H LH H.Vườn Xuân Túi1.8L (1+1OMO NGCTRC 350g)/3bộ</t>
  </si>
  <si>
    <t>COMFORT HNH Tinh Tế Sophia Túi1.8L (1+1OMO NGCTRC 350g)/3bộ</t>
  </si>
  <si>
    <t>COMFORT TNTK LinhLan&amp;Kiwi Túi1.7L (1+1OMO NG CTRC 350g)/3bộ</t>
  </si>
  <si>
    <t>COMFORT TNTK H.AnhĐào&amp;ĐàoTươi1.7L (1+1OMO NG CTRC 350g)/3bộ</t>
  </si>
  <si>
    <t>COMFORT ChốngNhăn ThanhXuân Túi1.7L (1+1OMO NGCTRC 350g)/3bộ</t>
  </si>
  <si>
    <t>COMFORT TNTK LinhLan&amp;Kiwi Túi1.7L (1+1OMO NG GiữMàu350g)/3bộ</t>
  </si>
  <si>
    <t>COMFORT TNTK H.AnhĐào&amp;ĐàoTươi1.7L (1+1OMO NG GiữMàu350g)/3bộ</t>
  </si>
  <si>
    <t>TRESEMME DG KRT/KU KRT/BR 8(1+2)640G/50G</t>
  </si>
  <si>
    <t>SUNLIGHT NLS TDầu Lily 3.6kg (1+1 NLS Hoa Hạ túi 700g)/3 bộ</t>
  </si>
  <si>
    <t>Bộ</t>
  </si>
  <si>
    <t>SUNLIGHT NLS T Dầu H Lavender 3.6kg(1+1 Hoa Hạ túi 700g)/3bộ</t>
  </si>
  <si>
    <t>SUNLIGHT NLS BIO Chanh Sả 3.6kg (1+1SL Hoa Hạ túi 700g)/3 bộ</t>
  </si>
  <si>
    <t>SUNLIGHT NLS BIO H Quế Cam 3.6kg (1+1SL Hoa Hạ túi 700g/3 bộ</t>
  </si>
  <si>
    <t>PONDS nước hoa hồng dưỡng sáng da 150ml/ 24 chai</t>
  </si>
  <si>
    <t>Hazeline gel rửa mặt tràm trà rau má 100g/24 tuýp</t>
  </si>
  <si>
    <t>Hazeline gel rửa mặt tràm trà rau má 50g/24 tuýp</t>
  </si>
  <si>
    <t>SUNLIGHT NRC Chanh 3.6kg (1+1SL NLS Lavender túi 700g)/ 3bộ</t>
  </si>
  <si>
    <t>SUNLIGHT NRC T Nhiên 3.6kg(1+1SL NLS Lavender túi 700g)/ 3bộ</t>
  </si>
  <si>
    <t>SUNLIGHT NRC T Xanh 3.6kg (1+1SL NLS Lavender túi 700g)/ 3bộ</t>
  </si>
  <si>
    <t>OMO Nước Giặt MG Cửa Trên Sạch Sâu Vượt Trội 3.9kg/4 túi</t>
  </si>
  <si>
    <t>OMO Nước Giặt MG Cửa Trên Sạch Sâu Vượt Trội 3.1kg/4 túi</t>
  </si>
  <si>
    <t>OMO Nước Giặt MG Cửa Trên Sạch Sâu Vượt Trội 2kg/4 túi</t>
  </si>
  <si>
    <t>OMO Nước Giặt MG Cửa Trên Tinh Dầu N.Hoa Tinh Tế 2.8kg/4 túi</t>
  </si>
  <si>
    <t>OMO Nước Giặt MG Cửa Trên Tinh Dầu N.Hoa Tinh Tế 1.8kg/4 túi</t>
  </si>
  <si>
    <t>OMO Nước Giặt MG Cửa Trên Hoa Hồng Ecuador 3.6kg/4 túi</t>
  </si>
  <si>
    <t>OMO Nước Giặt MG Cửa Trên Hoa Hồng Ecuador 1.8kg/4 túi</t>
  </si>
  <si>
    <t>OMO Nước Giặt MG Cửa Trên Giữ Màu 3.6kg/4 túi</t>
  </si>
  <si>
    <t>OMO Nước Giặt MG Cửa Trên Giữ Màu 1.8kg/4 túi</t>
  </si>
  <si>
    <t>OMO Nước Giặt MG Cửa Trước Giữ Màu 3.6kg/4 túi</t>
  </si>
  <si>
    <t>OMO Nước Giặt MG Cửa Trước Giữ Màu 2.8kg/4 túi</t>
  </si>
  <si>
    <t>OMO Nước Giặt MG Cửa Trước Giữ Màu 1.8kg/4 túi</t>
  </si>
  <si>
    <t>OMO NướcGiặt MG CửaTrước H.Hoa Oải Hương Thư Thái 2.8kg/4túi</t>
  </si>
  <si>
    <t>OMO NướcGiặt MG CửaTrước H.Hoa Oải Hương Thư Thái 1.8kg/4túi</t>
  </si>
  <si>
    <t>OMO Nước Giặt MG Cửa Trước Ngăn Ngừa Mùi Ẩm Mốc 3.6kg/4 túi</t>
  </si>
  <si>
    <t>OMO Nước Giặt MG Cửa Trước Ngăn Ngừa Mùi Ẩm Mốc 2.8kg/4 túi</t>
  </si>
  <si>
    <t>OMO Nước Giặt MG Cửa Trước Ngăn Ngừa Mùi Ẩm Mốc 1.8kg/4 túi</t>
  </si>
  <si>
    <t>OMO Nước Giặt MG Cửa Trên Sạch Sâu Vượt Trội 2.7kg/4chai</t>
  </si>
  <si>
    <t>OMO Nước Giặt MG Cửa Trên Tinh Dầu N.Hoa Tinh Tế 2.3kg/4chai</t>
  </si>
  <si>
    <t>OMO Nước Giặt MG Cửa Trên Tinh Dầu N.Hoa Tinh Tế 3.7kg/4chai</t>
  </si>
  <si>
    <t>OMO Nước Giặt MG Cửa Trước Giữ Màu 2.3kg/4chai</t>
  </si>
  <si>
    <t>KNORR Hạt Nêm Từ Thịt 170g/32 gói</t>
  </si>
  <si>
    <t>KNORR Hạt Nêm Từ Thịt 400g/16 gói</t>
  </si>
  <si>
    <t>KNORR Hạt Nêm Từ Thịt 900g/8 gói</t>
  </si>
  <si>
    <t>Gói</t>
  </si>
  <si>
    <t>KNORR Hạt Nêm Từ Thịt 1.8kg/6 gói</t>
  </si>
  <si>
    <t>LIFEBUOY Xà Bông Cục Matcha &amp; Khổ Qua 125g/72 bánh</t>
  </si>
  <si>
    <t>COMFORT Đậm Đặc 1 Lần Xả Hương Ban Mai 3.1L/4 túi</t>
  </si>
  <si>
    <t>COMFORT Đậm Đặc 1 Lần Xả Hương Ban Mai 3.7L/4 túi</t>
  </si>
  <si>
    <t>COMFORT CSCS Phơi Trong Nhà Hương Nắng Mới 3.1L/4 túi</t>
  </si>
  <si>
    <t>COMFORT CSCS Phơi Trong Nhà Hương Nắng Mới 3.7L/4 túi</t>
  </si>
  <si>
    <t>COMFORT CSCS HNH Thiên Nhiên Tinh Tế 3.7L/4 Túi</t>
  </si>
  <si>
    <t>COMFORT CSCS HNH Thiên Nhiên Diệu Kỳ 3.1L/4 Túi</t>
  </si>
  <si>
    <t>COMFORT CSCS HNH Thiên Nhiên Diệu Kỳ 3.7L/4 Túi</t>
  </si>
  <si>
    <t>COMFORT CSCS HNH Thiên Nhiên Quyến Rũ 3.1L/4 Túi</t>
  </si>
  <si>
    <t>COMFORT CSCS HNH Thiên Nhiên Quyến Rũ 3.7L/4 Túi</t>
  </si>
  <si>
    <t>COMFORT CSCS 100H Lưu Hương Sâu H.Vườn Xuân 3.1L/4 Túi</t>
  </si>
  <si>
    <t>COMFORT CSCS 100H Lưu Hương Sâu H.Vườn Xuân 3.7L/4 Túi</t>
  </si>
  <si>
    <t>COMFORT CSCS HNH Thiên Nhiên Tinh Tế 3.1L/4 Túi</t>
  </si>
  <si>
    <t>SUNSILK Dầu xả Ngăn Gãy rụng tóc ( xanh) 330ml/12 tuyp</t>
  </si>
  <si>
    <t>SUNSILK Dầu gội ngăn gãy rụng tóc (xanh) 380ml/12chai</t>
  </si>
  <si>
    <t>SUNSILK Dầu xả  dưỡng phục hồi (nâu)380ml/12 tuýp</t>
  </si>
  <si>
    <t>SUNSILK Dầu gội dưỡng phục hồi (nâu)380ml/12 chai</t>
  </si>
  <si>
    <t>VASELINE TCDT Sáng Khoẻ DaSPF50 300ml(1+GHDR 70ml)/12Bộ</t>
  </si>
  <si>
    <t>SUNLIGHT NLS H Diên Vỹ 3.6kg (1+1SL Lavender túi 700g)/3 bộ</t>
  </si>
  <si>
    <t>VITAKERATIN kem ủ phục hồi chuyên sâu 500ml/ 12 Hũ</t>
  </si>
  <si>
    <t>PONDS Kem Chống Lão Hóa Ngày 45g (1+6 PONDS Serum 7g)/12 bộ</t>
  </si>
  <si>
    <t>KNORR Hạt Nêm Nấm Hương Organic 70g/72 gói</t>
  </si>
  <si>
    <t>LIFEBUOY sữa tắm vượt trội 10 1.1kg (1+thẻ cào)/6 bộ</t>
  </si>
  <si>
    <t>LIFEBUOY sữa tắm vượt trội 10 800g (1+thẻ cào)/12 bộ</t>
  </si>
  <si>
    <t>LIFEBUOY sữa tắm M.Lạnh Sảng Khoái 800g (1+thẻ cào)/12 bộ</t>
  </si>
  <si>
    <t>LIFEBUOY sữa tắm chăm sóc da 800g (1+thẻ cào)/12 bộ</t>
  </si>
  <si>
    <t>LIFEBUOY sữa tắm chăm sóc da 1.1kg (1+thẻ cào)/6 bộ</t>
  </si>
  <si>
    <t>PONDS SRM Sáng Mịn Rạng Rỡ 50g (1+2PONDS 6.5g)/24 Bộ</t>
  </si>
  <si>
    <t>PONDS SRM Trắng Da Tinh Khiết 50g (1+2PONDS 6.5g)/24 Bộ</t>
  </si>
  <si>
    <t>HAZELINE GRM tràm trà rau má 100g(1+GRM CICA 40g)/24 bộ</t>
  </si>
  <si>
    <t>HAZELINE Sữa Rửa Mặt Nghệ Hoa Cúc 100G(1+GRM CICA 40g)/24 bộ</t>
  </si>
  <si>
    <t>SUNLIGHT NRC Thiên Nhiên Gừng 750g chai vòi /15 Chai</t>
  </si>
  <si>
    <t>SUNLIGHT NRC Thiên Nhiên Lô Hội 750g chai vòi /15 Chai</t>
  </si>
  <si>
    <t>POND'S Kem DG Sáng Da Ban Ngày 45g(1+SRM PONDS 40g)/12 Bộ</t>
  </si>
  <si>
    <t>POND'S Kem DG Sáng Da Ban Đêm 45g (1+SRM PONDS 40g)/12 Bộ</t>
  </si>
  <si>
    <t>OMO BộtGiặt CF HHồng DMát BềnLâu2.6kg(1+1Omo NG CFT206g)/4bộ</t>
  </si>
  <si>
    <t>OMO BộtGiặt CF TDT STrọng BềnLâu2.6kg(1+1Omo NG CFT206g)/4bộ</t>
  </si>
  <si>
    <t>OMO Bột Giặt Đỏ 2.9kg(1+1Omo NG CFT206g)/4bộ</t>
  </si>
  <si>
    <t>P/S BC 4D Khang khuan 2024 ( 24x1PC )</t>
  </si>
  <si>
    <t>P/s Bàn chải đánh răng 4D Chăm sóc nướu khỏe/24 cây</t>
  </si>
  <si>
    <t>chiếc</t>
  </si>
  <si>
    <t>OMO NG CTRC NgănMùiẨmMốc 3.6kg (1+1OMO CTRC SạchBẩn412g)/3Bộ</t>
  </si>
  <si>
    <t>OMO NG CTrên TDNH TinhTế 3.6kg (1+1OMO CTRN SạchBẩn412g)/3Bộ</t>
  </si>
  <si>
    <t>OMO NG CTrên HHồngEcuador3.6kg (1+1OMO CTRN SạchBẩn412g)/3Bộ</t>
  </si>
  <si>
    <t>OMO NG CTrên Sạch Sâu 3.9kg (1+1OMO CTRN SạchBẩn 412g)/3Bộ</t>
  </si>
  <si>
    <t>OMO NG Cửa Trên Giữ Màu 3.6kg (1+1OMO CTRN SạchBẩn 412g)/3Bộ</t>
  </si>
  <si>
    <t>OMO NG Cửa Trước Giữ Màu 3.6kg (1+1OMO CTRC SạchBẩn412g)/3Bộ</t>
  </si>
  <si>
    <t>OMO NG CTRC OảiHươngTThái3.6kg (1+1OMO CTRC SạchBẩn412g)/3Bộ</t>
  </si>
  <si>
    <t>COMFORT 1LX Dịu Nhẹ Thơm Dịu Êm 1.7L/4 túi</t>
  </si>
  <si>
    <t>COMFORT NX Mềm Vải Dịu Nhẹ Thơm Hương Phấn 1.7L/4 túi</t>
  </si>
  <si>
    <t>LIFEBUOY Sữa tắm Cica &amp; Muối Hồng 800g /12 Chai</t>
  </si>
  <si>
    <t>PONDS sữa rửa mặt sáng da 100G/24 Tuýp</t>
  </si>
  <si>
    <t>PONDS sữa rửa mặt kiềm dầu 50G/24 Tuýp</t>
  </si>
  <si>
    <t>PONDS sữa rửa mặt sáng da 50G/24 Tuýp</t>
  </si>
  <si>
    <t>PONDS sữa rửa mặt kiềm dầu 100G/24 Tuýp</t>
  </si>
  <si>
    <t>KNORR Hạt Nêm Từ Thịt 400g (1+1KNORR Từ Thịt 136g)/16 bộ</t>
  </si>
  <si>
    <t>VIM Viên Treo Bồn Cầu Lavender 50g/9 viên</t>
  </si>
  <si>
    <t>viên</t>
  </si>
  <si>
    <t>VIM Viên Treo Bồn Cầu Hương Chanh 50g/9 viên</t>
  </si>
  <si>
    <t>VIM Viên treo bồn cầu hương trà xanh &amp; chanh 50g/ 9 viên</t>
  </si>
  <si>
    <t>VIM Viên Treo Bồn cầu Hoa Mộc Lan 50g/9 viên</t>
  </si>
  <si>
    <t>KNORR FS MAIN STREAM 9(750ML+OIL400ML)</t>
  </si>
  <si>
    <t>COMFORT H.VườnXuân Túi2.4L (1+6gói OMO NG CTRC 60g)/4Bộ</t>
  </si>
  <si>
    <t>COMFORT HNHTN DiệuKỳ Túi2.4L (1+6gói OMO NG CTRC 60g)/4Bộ</t>
  </si>
  <si>
    <t>COMFORT HNHTN QuyếnRũ Túi2.4L (1+6gói OMO NG CTRC 60g)/4Bộ</t>
  </si>
  <si>
    <t>COMFORT HNHTN Tinh Tế Túi2.4L (1+6gói OMO NG CTRC 60g)/4Bộ</t>
  </si>
  <si>
    <t>COMFORT CSCS H.BanMai Túi2.4L (1+6gói OMO NG CTRC 60g)/4Bộ</t>
  </si>
  <si>
    <t>COMFORT DN T.HươngPhấn Túi2.3L (1+6gói OMO NG CTRC 60g)/4Bộ</t>
  </si>
  <si>
    <t>COMFORT DN Thơm Dịu Êm Túi2.3L (1+6gói OMO NG CTRC 60g)/4Bộ</t>
  </si>
  <si>
    <t>COMFORT PTRNhà H.NắngMới Túi2.4L (1+6gói OMO NGCTRC 60g)/4Bộ</t>
  </si>
  <si>
    <t>COMFORT TNTK LinhLan&amp;Kiwi Túi1.7L (1+1CFT Dịu Êm 250ml)/4Bộ</t>
  </si>
  <si>
    <t>COMFORT TNTK H.AnhĐào&amp;ĐàoTươi1.7L (1+1CFT Dịu Êm 250ml)/4Bộ</t>
  </si>
  <si>
    <t>COMFORT 100H LH H.Vườn Xuân Túi1.8L (1+1CFT DịuÊm 250ml)/4Bộ</t>
  </si>
  <si>
    <t>COMFORT HNHTN DiệuKỳ Bella Túi1.8L (1+1CFT Dịu Êm 250ml)/4Bộ</t>
  </si>
  <si>
    <t>COMFORT HNH Quyến Rũ Jennie Túi1.8L (1+1CFT DịuÊm 250ml)/4Bộ</t>
  </si>
  <si>
    <t>COMFORT HNH Tinh Tế Sophia Túi1.8L (1+1CFT Dịu Êm 250ml)/4Bộ</t>
  </si>
  <si>
    <t>COMFORT Đ.Đặc 1LX H.BanMai Túi1.8L (1+1CFT Dịu Êm 250ml)/4Bộ</t>
  </si>
  <si>
    <t>COMFORT D.Nhẹ ThơmHươngPhấn Túi1.8L (1+1CFT DịuÊm 250ml)/4Bộ</t>
  </si>
  <si>
    <t>COMFORT DịuNhẹ Thơm DịuÊm Túi 1.8L (1+1CFT Dịu Êm 250ml)/4Bộ</t>
  </si>
  <si>
    <t>COMFORT Phơi Tr.Nhà H.N.Mới Túi1.8L (1+1CFT DịuÊm 250ml)/4Bộ</t>
  </si>
  <si>
    <t>COMFORT Đ.Đặc 1LX H.GióXuân Túi1.8L (1+1CFT DịuÊm 250ml)/4Bộ</t>
  </si>
  <si>
    <t>COMFORT Hương Thanh Xuân Túi1.7L (1+1CFT DịuÊm 250ml)/4Bộ</t>
  </si>
  <si>
    <t>SUNLIGHT NLS BIO H Quế 1kg (1+1 Gừng túi 200g)/10 bộ</t>
  </si>
  <si>
    <t>SUNLIGHT NLS T Dầu Hoa Hạ 1kg (1+1 Gừng túi 200g)/10 bộ</t>
  </si>
  <si>
    <t>SUNLIGHT NLS TDầu H Lavender 1kg (1+1 Gừng túi 200g)/10 bộ</t>
  </si>
  <si>
    <t>SUNLIGHT NLS BIO Chanh Sả 1kg (1+1 Gừng túi 200g)/10 bộ</t>
  </si>
  <si>
    <t>SUNLIGHT NLS TDầu Lily 1kg (1+1 Gừng túi 200g)/10 bộ</t>
  </si>
  <si>
    <t>SUNLIGHT NLS H Diên Vỹ 1kg (1+1 Gừng túi 200g)/10 bộ</t>
  </si>
  <si>
    <t>OMO Bột Giặt Trắng Sạch Chuyên Dụng 5.5Kg/3 Gói</t>
  </si>
  <si>
    <t>SURF Nước Giặt Hương Hoa Cỏ Huyền Bí 2.9Kg/4 túi</t>
  </si>
  <si>
    <t>SURF Nước Giặt Hương Hoa Cỏ Huyền Bí 4Kg/4 túi</t>
  </si>
  <si>
    <t>LIFEBUOY sữa tắm bảo vệ vượt trội 350g (1+thẻ cào)/24 bộ</t>
  </si>
  <si>
    <t>LIFEBUOY sữa tắm chăm sóc da 350g (1+thẻ cào)/24 bộ</t>
  </si>
  <si>
    <t>HAZELINE Gel Rửa Mặt Tràm Trà Rau Má 100g khay 3/8 Khay</t>
  </si>
  <si>
    <t>khay</t>
  </si>
  <si>
    <t>KNORR Hạt Nêm Từ Thịt 900g (Quay Số KM)/8 gói</t>
  </si>
  <si>
    <t>KNORR Hạt Nêm Nấm Hương Organic 380g(1+1Knorr Nấm 136g)/16bộ</t>
  </si>
  <si>
    <t>KNORR Hạt Nêm Nấm Hương Organic 800g(1+1Knorr Nấm 136g)/8bộ</t>
  </si>
  <si>
    <t>COMFORT Nước Giặt Dưỡng Vải Thanh Lịch 3.6kg/4 túi</t>
  </si>
  <si>
    <t>COMFORT Nước Giặt Dưỡng Vải Thời Thượng 3.6kg/4 túi</t>
  </si>
  <si>
    <t>OMO Bột Giặt Đỏ Hương Thơm Mát 100g/140 gói</t>
  </si>
  <si>
    <t>OMO Bột Giặt Đỏ Hương Thơm Mát 1.15kg/12 gói</t>
  </si>
  <si>
    <t>OMO Bột Giặt Đỏ Hương Thơm Mát 4.3kg/3 gói</t>
  </si>
  <si>
    <t>OMO Bột Giặt Comfort Tinh Dầu Thơm Sang Trọng 350g/36 gói</t>
  </si>
  <si>
    <t>OMO Bột Giặt Comfort Tinh Dầu Thơm Sang Trọng 700g/18 gói</t>
  </si>
  <si>
    <t>OMO Bột Giặt Comfort Tinh Dầu Thơm Sang Trọng 3.9kg/3 gói</t>
  </si>
  <si>
    <t>OMO Bột Giặt Comfort H.Hoa Hồng Pháp Ngọt Ngào 3.9kg/3 gói</t>
  </si>
  <si>
    <t>KNORR N.Mắm 750ml + H.Nêm Thịt 900g (+1 Tạp dề)/6 bộ</t>
  </si>
  <si>
    <t>LUX Sữa Tắm Hương Hoa Thiên Điểu 570g/12 chai</t>
  </si>
  <si>
    <t>COMFORT 1LX Dịu Nhẹ Thơm Dịu Êm 3.6L/4 túi</t>
  </si>
  <si>
    <t>COMFORT 1LX Dịu Nhẹ Thơm Dịu Êm 3L/4 túi</t>
  </si>
  <si>
    <t>COMFORT NX Mềm Vải Dịu Nhẹ Thơm Hương Phấn 1.7L/6 chai</t>
  </si>
  <si>
    <t>COMFORT NX Mềm Vải Dịu Nhẹ Thơm Hương Phấn 3.6L/3 chai</t>
  </si>
  <si>
    <t>COMFORT NX Mềm Vải Dịu Nhẹ Thơm Hương Phấn 3.6L/4 túi</t>
  </si>
  <si>
    <t>COMFORT NX Mềm Vải Dịu Nhẹ Thơm Hương Phấn 3L/4 túi</t>
  </si>
  <si>
    <t>HAZELINE Sữa Tắm Sữa Ong Chúa Hoa Ly 670g (1+thẻ cào)/8 bộ</t>
  </si>
  <si>
    <t>HAZELINE Sữa Tắm Yến Mạch Dâu Tằm 670g (1+thẻ cào)/8 bộ</t>
  </si>
  <si>
    <t>SUNLIGHT Lau Bếp Bọt Tuyết Powerfoam 500ml/12 chai</t>
  </si>
  <si>
    <t>PONDS Nước Tẩy Trang Sáng Da 235ML/12 Chai</t>
  </si>
  <si>
    <t>CLEAR MEN DG SạchGàu Hương Nước Hoa Gỗ&amp;Phong Lữ 5gx14/60 Dây</t>
  </si>
  <si>
    <t>CLEAR Dầu Gội 9 Thảo Dược Cổ Truyền 6gx10/66 Dây</t>
  </si>
  <si>
    <t>COMFORT Đậm Đặc 1 Lần xả Hương Ban Mai 10x18ml/30 dây</t>
  </si>
  <si>
    <t>COMFORT Đậm Đặc 1 Lần Xả Hương Ban Mai 1800ml/4 túi</t>
  </si>
  <si>
    <t>TÚI</t>
  </si>
  <si>
    <t>COMFORT Đậm Đặc 1 Lần Xả Hương Ban Mai 800ml/12 chai</t>
  </si>
  <si>
    <t>COMFORT Đậm Đặc 1 Lần xả Hương Gió Xuân 10x18ml/30 dây</t>
  </si>
  <si>
    <t>COMFORT Đậm Đặc 1 Lần Xả Hương Gió Xuân 1800ml/4 túi</t>
  </si>
  <si>
    <t>COMFORT CSCS 100H Lưu Hương Sâu H.Vườn Xuân 1.8L/4 Túi</t>
  </si>
  <si>
    <t>VIM Trắng Hương Chanh Sả 870ml(1+1NRC Gừng túi 200g)/10 bộ</t>
  </si>
  <si>
    <t>VIM Trắng Sáng Oải Hương 870ml(1+1NRC Gừng túi 200g)/10 bộ</t>
  </si>
  <si>
    <t>VIM Vệ Sinh Xanh Biển 880ml (1+1NRC Gừng túi 200g)/10 bộ</t>
  </si>
  <si>
    <t>CLEAR MEN Dầu Gội Mát Lạnh Bạc Hà 5g (12+2)/84 Dây</t>
  </si>
  <si>
    <t>LIFEBUOY Dầu Gội Dưỡng Tóc Óng Ả (Xanh) 6gx12/84 Dây</t>
  </si>
  <si>
    <t>LIFEBUOY Dầu Gội Mềm Mượt Kháng Khuẩn (Đỏ) 6gx12/84 Dây</t>
  </si>
  <si>
    <t>SUNSILK Dầu Xả Óng Mượt Rạng Ngời (Đen) 6gx10/84 Dây</t>
  </si>
  <si>
    <t>SUNSILK Dầu Gội Óng Mượt Rạng Ngời (Đen) 6gx10/84 Dây</t>
  </si>
  <si>
    <t>SUNSILK Dầu Xả Mềm Mượt Diệu Kỳ (Vàng) 6gx10/84 Dây</t>
  </si>
  <si>
    <t>SUNSILK Dầu Gội Mềm Mượt Diệu Kỳ (Vàng) 6gx10/84 Dây</t>
  </si>
  <si>
    <t>DOVE Dầu gội Phục hồi hư tổn 6gx10/84 dây</t>
  </si>
  <si>
    <t>DOVE Kem xả Phục hồi hư tổn 6gx10/84 dây</t>
  </si>
  <si>
    <t>DOVE Dầu gội ngăn gãy rụng tóc 6gx10/84 dây</t>
  </si>
  <si>
    <t>DOVE Kem xả ngăn gãy rụng tóc 6gx10/84 dây</t>
  </si>
  <si>
    <t>CLEAR Dầu Gội Hương Hoa Anh Đào 6gx10/84 Dây</t>
  </si>
  <si>
    <t>HAZELINE Sữa Tắm Sữa Gạo Hoa Bưởi  800g/12 chai</t>
  </si>
  <si>
    <t>LIFEBUOY nước rửa tay bạc bảo vệ bộ 9 chai 180g*9/4 bộ</t>
  </si>
  <si>
    <t>LIFEBUOY nước rửa tay chanh khử mùi bộ 9 chai 180g*9/4 bộ</t>
  </si>
  <si>
    <t>DOVE Dầu Gội Ngăn Gãy Rụng Tóc 640g (1+1 Kem Xả 136g)/8 Bộ</t>
  </si>
  <si>
    <t>DOVE Dầu Gội Phục Hồi Tóc Hư Tổn 640g (1+1 Kem Xả 136g)/8 Bộ</t>
  </si>
  <si>
    <t>PONDS Sữa Rửa Mặt Sáng Da 100g khay 3/8 Khay</t>
  </si>
  <si>
    <t>OMO Bột Giặt Thơm Mát 5.5kg(1+1Omo Nước Giặt 412g)/2 bộ</t>
  </si>
  <si>
    <t>OMO Bột Giặt TDT SangTrọng 5.1kg(1+1Omo Nước Giặt 412g)/2 bộ</t>
  </si>
  <si>
    <t>OMO BộtGiặt HHồng Pháp NNgào 5.1kg(1+1Omo N.Giặt 412g)/2 bộ</t>
  </si>
  <si>
    <t>DOVE Sữa Tắm Serum Tái Tạo Độ Ẩm 500G/12 Chai</t>
  </si>
  <si>
    <t>DOVE Sữa Tắm Serum Hương Hoa Muối Hồng 500G/12 Chai</t>
  </si>
  <si>
    <t>DOVE Sữa Tắm Serum Tái Tạo Độ Ẩm 12X6g/84 dây</t>
  </si>
  <si>
    <t>DOVE Sữa Tắm Serum Hương Hoa Muối Hồng 12x6g/84 dây</t>
  </si>
  <si>
    <t>DOVE Sữa Tắm Serum Đào Bơ &amp; Calendula 500g/12 chai</t>
  </si>
  <si>
    <t>DOVE Sữa Tắm Serum Da Nhạy Cảm 500G/12 Chai</t>
  </si>
  <si>
    <t>SUNLIGHT NLS TD Thảo Mộc Hương Lily &amp; Bạch Trà 1kg/12 chai</t>
  </si>
  <si>
    <t>SUNLIGHT NLS TD Thảo Mộc Hương Lily &amp; Bạch Trà 3.6kg/3 can</t>
  </si>
  <si>
    <t>Can</t>
  </si>
  <si>
    <t>SUNLIGHT NLS TD Thảo Mộc Hương Lily &amp; Bạch Trà 3.6kg/4 túi</t>
  </si>
  <si>
    <t>CLEAR MEN DG Mát Lạnh Bạc Hà 630g (1+1DG HNH Gỗ 140g)/8 Bộ</t>
  </si>
  <si>
    <t>OMO NG CTrên TDNH TinhTế 2.8kg (1+1OMO NG 350g)/3Bộ</t>
  </si>
  <si>
    <t>OMO NG CTrước OảiHươngTThái 2.8Kg (1+1OMO NG 350g)/3Bộ</t>
  </si>
  <si>
    <t>P/S KĐR Bé Ngoan Hương Dâu 90g/60 ống</t>
  </si>
  <si>
    <t>COMFORT DN ThơmHươngPhấn Túi1.7L (1+1CFT NhàiTáo 250ml)/4Bộ</t>
  </si>
  <si>
    <t>COMFORT DNhẹ Thơm DịuÊm Túi 1.7L (1+1CFT Nhài Táo 250ml)/4Bộ</t>
  </si>
  <si>
    <t>COMFORT ĐĐặc 1LX H.BanMai Túi1.8L (1+1CFT NhàiTáo 250ml)/4Bộ</t>
  </si>
  <si>
    <t>COMFORT HNHTN Diệu Kỳ Túi1.8L (1+1CFT Nhài Táo 250ml)/4Bộ</t>
  </si>
  <si>
    <t>COMFORT HNH Quyến Rũ Túi1.8L (1+1CFT Nhài Táo 250ml)/4Bộ</t>
  </si>
  <si>
    <t>COMFORT HNH Tinh Tế Túi1.8L (1+1CFT Nhài Táo 250ml)/4Bộ</t>
  </si>
  <si>
    <t>P/S BCĐR Lông Tơ Sạch Hiệu Quả 12cây/12 vỉ</t>
  </si>
  <si>
    <t>Vỉ</t>
  </si>
  <si>
    <t>P/S BCĐR Lông Tơ Mềm Mại 12cây/12 vỉ</t>
  </si>
  <si>
    <t>P/S BCĐR Than Bạc 12cây/6 vỉ</t>
  </si>
  <si>
    <t>LIFEBUOY Nước Rửa Tay Bạc Bảo Vệ (Đỏ) 450g(1+thẻcào)/12bộ</t>
  </si>
  <si>
    <t>LIFEBUOY Nước Rửa Tay Sữa Dưỡng Ẩm(Xanh)450G(1+thẻcào)/12 bộ</t>
  </si>
  <si>
    <t>LIFEBUOY NướcRửaTay Chanh KhửMùi(Vàng)450g(1+thẻ cào)/12bộ</t>
  </si>
  <si>
    <t>LIFEBUOY Sữa Tắm Bảo Vệ Vượt Trội 800G(1+thẻ cào)/12bộ</t>
  </si>
  <si>
    <t>LIFEBUOY Sữa Tắm Chăm Sóc Da 800G (1+thẻ cào)/12 bộ</t>
  </si>
  <si>
    <t>KNORR Hạt Nêm Từ Thịt 900g (1+1N.MắmTròn vị 235ml)/8 bộ</t>
  </si>
  <si>
    <t>SUNLIGHT NRC Chanh 750g (1chai +1SL Gừng 200g)/9 bộ</t>
  </si>
  <si>
    <t>SUNLIGHT NRC Trà Xanh 750g (1chai +1SL Gừng 200g)/9 bộ</t>
  </si>
  <si>
    <t>SUNLIGHT NRC Thiên Nhiên 750g (1chai +1SL Gừng 200g)/9 bộ</t>
  </si>
  <si>
    <t>SUNLIGHT NRC Gừng 750g (1chai +1SL Gừng 200g)/9 bộ</t>
  </si>
  <si>
    <t>SUNLIGHT NRC Quế 750g (1chai +1SL Gừng 200g)/9 bộ</t>
  </si>
  <si>
    <t>PONDS Kem DG Sáng Da Ban Ngày 45g (1+ PONDS NTT 100ml)/12 Bộ</t>
  </si>
  <si>
    <t>PONDS Kem DG Sáng Da Ban Đêm 45g (1+ PONDS NTT 100ml)/12 Bộ</t>
  </si>
  <si>
    <t>PONDS Sữa Rửa Mặt Sáng Da 100G (1+ VASELINE 70ml)/24 Bộ</t>
  </si>
  <si>
    <t>PONDS Sữa Rửa Mặt Kiềm Dầu 100G (1+ VASELINE 70ml)/24 Bộ</t>
  </si>
  <si>
    <t>KNORR Hạt Nêm Từ Thịt 900g (1+1KNORR 136g) Tết 25/8 bộ</t>
  </si>
  <si>
    <t>SUNLIGHT NRC Chanh 3.6kg (1chai +1Vim 400ml)/3 bộ</t>
  </si>
  <si>
    <t>SUNLIGHT NRC Trà Xanh 3.5kg (1chai +1Vim 400ml)/3 bộ</t>
  </si>
  <si>
    <t>SUNLIGHT NRC T Nhiên Lô Hội 3.5kg (1chai +1Vim 400ml)/3 bộ</t>
  </si>
  <si>
    <t>SUNLIGHT NRC Gừng  3.5kg (1chai +1Vim 400ml)/3 bộ</t>
  </si>
  <si>
    <t>SUNLIGHT NRC Quế  3.5kg (1chai +1Vim 400ml)/3 bộ</t>
  </si>
  <si>
    <t>COMFORT HNH Hương Mẫu Đơn Kiêu Sa 1.8L/4 Túi</t>
  </si>
  <si>
    <t>COMFORT HNH Hương Mẫu Đơn Kiêu Sa (10+2)x18ml/30 dây</t>
  </si>
  <si>
    <t>COMFORT HNH Hương Mẫu Đơn Kiêu Sa 1.2L/9 Túi</t>
  </si>
  <si>
    <t>SUNSILK DG Óng Mượt Rạng Ngời 650g (1+1DG MMDK 140g)/8 Bộ</t>
  </si>
  <si>
    <t>SUNSILK DG Mềm Mượt Diệu Kỳ 650g (1+1DG MMDK 140g)/8 Bộ</t>
  </si>
  <si>
    <t>OMO NG THIEN NHIEN 4X3.6KG</t>
  </si>
  <si>
    <t>P/S KĐR Chuyên Gia Chăm Sóc Nướu Trắng Răng 100g/60 ống</t>
  </si>
  <si>
    <t>P/S KĐR Chuyên Gia Chăm Sóc Nướu Thơm Mát 100g/60 ống</t>
  </si>
  <si>
    <t>KNORR Hạt Nêm Nấm Hương Organic 380g Tết 25/16 gói</t>
  </si>
  <si>
    <t>KNORR Hạt Nêm Nấm Hương Organic 800g Tết 25/8 gói</t>
  </si>
  <si>
    <t>CLEAR Dầu Gội Mát Lạnh Bạc Hà 630g (QR code 10k)/ 8 Chai</t>
  </si>
  <si>
    <t>CLEAR MEN Dầu Gội Mát Lạnh Bạc Hà 630g (QR code 10k)/ 8 Chai</t>
  </si>
  <si>
    <t>KNORR Hạt Nêm Từ Thịt 400g (1+1KNORR Nấm 136g)/16 bộ</t>
  </si>
  <si>
    <t>Knorr NM NTRON VI 12 ( 750ML+ Dau an 400 ml )</t>
  </si>
  <si>
    <t>KNORR Hạt Nêm Từ Thịt 400g (1+1KNORR 65g) Tết 25/16 bộ</t>
  </si>
  <si>
    <t>SUNLIGHT NRC Chanh 3.6kg (1chai +1SL Gừng 500g)/3 bộ</t>
  </si>
  <si>
    <t>SUNLIGHT NRC Trà Xanh 3.5kg (1chai +1SL Gừng 500g)/3 bộ</t>
  </si>
  <si>
    <t>SUNLIGHT NRC Thiên Nhiên 3.5kg (1chai +1SL Gừng 500g)/3 bộ</t>
  </si>
  <si>
    <t>SUNLIGHT NRC Gừng 3.5kg (1chai +1SL Gừng 500g)/3 bộ</t>
  </si>
  <si>
    <t>SUNLIGHT NRC Quế 3.5kg (1chai +1SL Gừng 500g)/3 bộ</t>
  </si>
  <si>
    <t>LIFEBUOY NRT Chanh Khử Mùi Tết 499g/12 chai</t>
  </si>
  <si>
    <t>LIFEBUOY NRT Bảo Vệ Vượt Trội 10 Tết 499g/12 chai</t>
  </si>
  <si>
    <t>SURF NướcGiặt CỏHoaDiệuKỳ 4Kg (1+1 SURF NG T.Nhiên350g)/4Bộ</t>
  </si>
  <si>
    <t>SURF NướcGiặt Hoa Cỏ Huyền Bí 4Kg (1+1 SURF T.Nhiên350g)/4Bộ</t>
  </si>
  <si>
    <t>SURF NướcGiặt HSM DịuMát 4Kg (1+1 SURF NG T.Nhiên350g)/4Bộ</t>
  </si>
  <si>
    <t>LIFEBUOY Sữa Tắm Bảo Vệ Vượt Trội 10 Tết 888G/12 Chai</t>
  </si>
  <si>
    <t>LIFEBUOY Sữa Tắm Sữa Dưỡng Ẩm Tết 888/12 Chai</t>
  </si>
  <si>
    <t>SUNLIGHT NLS HLILY BT/LVD 3(3.6KG +700G)</t>
  </si>
  <si>
    <t>SUNLIGHT Lau Bếp Bọt Tuyết 500ml (1chai +1 Khăn Lau)/12 bộ</t>
  </si>
  <si>
    <t>HAZELINE Sữa Tắm Yến Mạch Dâu Tằm 1kg (1+thẻ cào)/12 bộ</t>
  </si>
  <si>
    <t>HAZELINE ST Matcha Lựu Đỏ 1kg (1+thẻ cào)/12 bộ</t>
  </si>
  <si>
    <t>HAZELINE Sữa Tắm Sữa Ong Chúa Hoa Ly 1kg (1+thẻ cào)/12 bộ</t>
  </si>
  <si>
    <t>PONDS Sữa Rửa Mặt Sáng Da 100G (1+ PONDS NTT 100ml)/24 Bộ</t>
  </si>
  <si>
    <t>PONDS Sữa Rửa Mặt Kiềm Dầu 100G (1+ PONDS NTT 100ml)/24 Bộ</t>
  </si>
  <si>
    <t>COMFORT 1LX Dịu Nhẹ Thơm Dịu Êm 1.2L/9 túi</t>
  </si>
  <si>
    <t>VIM Vệ Sinh Xanh Biển 880ml (1+1NRC Th Nhiên túi 200g)/10 bộ</t>
  </si>
  <si>
    <t>DOVE Sữa Tắm Serum Đào Bơ &amp; Calendula 12x6g/84 dây</t>
  </si>
  <si>
    <t>LIFEBUOY Sữa Tắm Bảo Vệ Vượt Trội 10 Tết 390G/24 Chai</t>
  </si>
  <si>
    <t>LIFEBUOY Sữa Tắm Sữa Dưỡng Ẩm Tết 390G/24 Chai</t>
  </si>
  <si>
    <t>KNORR HN TTXO&amp;T 8(900G+DUONG500G)</t>
  </si>
  <si>
    <t>SUNSILK Dầu Gội Mềm Mượt Diệu Kỳ (Vàng) 650g(1+DX 140g)/8 Bộ</t>
  </si>
  <si>
    <t>SUNSILK Dầu Gội Óng Mượt Rạng Ngời (Đen)650g(1+DX 140g)/8 Bộ</t>
  </si>
  <si>
    <t>OMO NG CTrên TDNH TinhTế 3.6kg (1+1OMO ViênGiặt63g_6v)/4Bộ</t>
  </si>
  <si>
    <t>OMO NG CTRC OảiHươngTThái3.6kg (1+1OMO ViênGiặt63g_6v)/4Bộ</t>
  </si>
  <si>
    <t>OMO NGiặt T.Nhiên NgọtNgào 3.6kg (1+1OMO ViênGiặt63g_6v)/4Bộ</t>
  </si>
  <si>
    <t>OMO NG CTRC NgănMùiẨmMốc 3.6kg (1+1OMO ViênGiặt63g_6v)/4Bộ</t>
  </si>
  <si>
    <t>OMO NG Cửa Trước Giữ Màu 3.6kg (1+1OMO ViênGiặt63g_6v)/4Bộ</t>
  </si>
  <si>
    <t>OMO NG CTrên HHồngEcuador3.6kg (1+1OMO ViênGiặt63g_6v)/4Bộ</t>
  </si>
  <si>
    <t>OMO NG Cửa Trên Giữ Màu 3.6kg (1+1OMO ViênGiặt63g_6v)/4Bộ</t>
  </si>
  <si>
    <t>OMO NG CTrên Sạch Sâu 3.9kg (1+1OMO ViênGiặt63g_6v)/4Bộ</t>
  </si>
  <si>
    <t>SURF NG CO HOA DIEU KY TUI 4X3.6KG</t>
  </si>
  <si>
    <t>SURF N.Giặt CỏHoaDiệuKỳ 3.6Kg (1+1 SURF NG T.Nhiên350g)/4Bộ</t>
  </si>
  <si>
    <t>SURF N.Giặt HSM DịuMát 3.6Kg (1+1 SURF NG T.Nhiên350g)/4Bộ</t>
  </si>
  <si>
    <t>SURF N.Giặt Hoa Cỏ Huyền Bí 3.6Kg (1+1 SURF T.Nhiên350g)/4Bộ</t>
  </si>
  <si>
    <t>COMFORT Đậm Đặc 1 Lần xả Hương Ban Mai 10x20ml/30 dây</t>
  </si>
  <si>
    <t>COMFORT Đậm Đặc 1 Lần xả Hương Gió Xuân 10*20ml/30 dây</t>
  </si>
  <si>
    <t>COMFORT CSCS 100H Lưu Hương Sâu H.Vườn Xuân 10x20ml/30 dây</t>
  </si>
  <si>
    <t>COMFORT HNH Quyến Rũ Túi1.8L (1+1CFT LinhLan Kiwi 250ml)/4Bộ</t>
  </si>
  <si>
    <t>COMFORT 1LX H.BanMai Túi1.8L (1+1CFT LinhLan Kiwi 250ml)/4Bộ</t>
  </si>
  <si>
    <t>COMFORT DN ThơmHươngPhấn Túi1.7L (1+1CFT L.LanKiwi250ml)/4Bộ</t>
  </si>
  <si>
    <t>SURF NG 7IN1 TKHIET/GM SAMP3(3.6KG+412G)</t>
  </si>
  <si>
    <t>SURF NG 7IN1 DAMME/GM SAMP 3 (3.6KG+412G)</t>
  </si>
  <si>
    <t>P/S KĐR Than Hoạt Tính 180g(1+1 CS Nướu T.Răng 30g)/24 bộ</t>
  </si>
  <si>
    <t>P/S KĐR Than Hoạt Tính 230g(1+1 CS Nướu T.Răng 30g)/24 bộ</t>
  </si>
  <si>
    <t>P/S KĐR MuốiHồng&amp;HoaCúc 180g(1+1 CS Nướu T.Răng 30g)/24 bộ</t>
  </si>
  <si>
    <t>P/S KĐR Trà Xanh 180g(1+1 CS Nướu T.Răng 30g)/24 bộ</t>
  </si>
  <si>
    <t>BỘ</t>
  </si>
  <si>
    <t>P/S KĐR Trà Xanh 230g(1+1 CS Nướu T.Răng 30g)/24 bộ</t>
  </si>
  <si>
    <t>P/S BCĐR Lông Tơ Sạch Hiệu Quả Tết 2025 12cây/12 vỉ</t>
  </si>
  <si>
    <t>P/S BCĐR Lông tơ mềm mại tết 2025 12 cây /12 vỉ</t>
  </si>
  <si>
    <t>SUNLIGHT NRC THIEN NHIEN LO HOI TUI 4X2KG</t>
  </si>
  <si>
    <t>SUNLIGHT NRC MATCHA Trà Nhật Vòi 2kg/4 túi</t>
  </si>
  <si>
    <t>COMFORT NG DVải Thanh Lịch Túi3.6kg (1+1 Omo NG 412g)/4 Bộ</t>
  </si>
  <si>
    <t>COMFORT NG DVải Thời Thượng Túi3.6kg (1+1 Omo NG 412g)/4 Bộ</t>
  </si>
  <si>
    <t>CLEAR DG 9 TH.D COTRUYEN 8(1+B.NUOC)630G</t>
  </si>
  <si>
    <t>CLOSEUP KDR K.TR T.NHIEN 18(100G+GAU)</t>
  </si>
  <si>
    <t>CLOSEUP KDR TT B.SAPPIRE 18 (100G và GAU ) /18 bộ</t>
  </si>
  <si>
    <t>COMFORT NX HNH Q.RU RE0125 300X20ML</t>
  </si>
  <si>
    <t>COMFORT NX HNH QUYEN RU RE 0125 TUI 4X1.8L</t>
  </si>
  <si>
    <t>COMFORT NX HNH Q.RU RE 0125 TUI 4X2.4L</t>
  </si>
  <si>
    <t>COMFORT NX HNH TINH TE RE0125 TUI 4X1.8L</t>
  </si>
  <si>
    <t>P/S KDR THAO DUOC 60X100G</t>
  </si>
  <si>
    <t>TUYP</t>
  </si>
  <si>
    <t>COMFORT NXV HNH DIEU KY 4(2.4L+TUI GIAT)</t>
  </si>
  <si>
    <t>COMFORT NXV 1LX HBMAI 4(2.4L+TUI GIAT)</t>
  </si>
  <si>
    <t>COMFORT DNHE THOM HP 4(1+TUI GIAT)2.3L</t>
  </si>
  <si>
    <t>COMFORT HUONG NUOC HOA DIEU KY 300X20ML</t>
  </si>
  <si>
    <t>Comfort hương nước hoa diệu kỳ 4x1.8L</t>
  </si>
  <si>
    <t>HAZELINE ST SDDA YM DTAM AW0125 1008x6g</t>
  </si>
  <si>
    <t>HAZELINE ST SUA OCHUA HLY AW0125 1008X6G</t>
  </si>
  <si>
    <t>HAZELINE ST SUAGAO H.BUOI AW0125 12X800G</t>
  </si>
  <si>
    <t>HAZELINE ST SDDA YM DAUTAM AW0125 12X1KG</t>
  </si>
  <si>
    <t>HAZELINE ST SMRN MTCH&amp;LDO AW0125 12X1KG</t>
  </si>
  <si>
    <t>HAZELINE ST SUA O.CHUA HLY AW0125 12X1KG</t>
  </si>
  <si>
    <t>CLEAR DG 9 TH DUOC CO TRUYEN ( GDT ) 12X340G</t>
  </si>
  <si>
    <t>P/S KDR than hoạt tính Y25 60x100gr</t>
  </si>
  <si>
    <t>CLEAR DG SG H A.DAO/CH.M8 (1+1)630G/140G</t>
  </si>
  <si>
    <t>Clear DG SG B A.DAO/CH.M8 (1+1)630G/140G</t>
  </si>
  <si>
    <t>CLOSEUP KĐR Bạc Hà Thơm Mát 180g (bộ 6)/6 bộ</t>
  </si>
  <si>
    <t>P/S KDR THAO DUOC Y25 36x150G</t>
  </si>
  <si>
    <t>P/S Ban Chai Bao Ve 123 12x25x1Pc vi</t>
  </si>
  <si>
    <t>P/S Ban CHai Bao ve 123- Mem Mai 25/12/1PC</t>
  </si>
  <si>
    <t>DOVE kem xả Dưỡng Tóc Bồng Bềnh 6gx12/60dây</t>
  </si>
  <si>
    <t>DOVE d.gội Dưỡng tóc bồng bềnh 6gx12/60dây</t>
  </si>
  <si>
    <t>Dove dau goi phuc hoi hu ton 650g + khan / 8bo</t>
  </si>
  <si>
    <t>PONDS FR Mattifying Day Cream 3X4X50g Hu(cao cap)</t>
  </si>
  <si>
    <t>Hũ</t>
  </si>
  <si>
    <t>PONDS FLR Derma+ BB Light 4X3X25g Tuýp</t>
  </si>
  <si>
    <t>PONDS FLAWRAD NIGHT CREAM 4X3X50G</t>
  </si>
  <si>
    <t>P/S Ban Chai Danh Rang Muoi Tre</t>
  </si>
  <si>
    <t>Chiếc</t>
  </si>
  <si>
    <t>P/S BAN CHAI MUOI HIMALAYA 48X1PC</t>
  </si>
  <si>
    <t>KNORR H.N TT&amp;XO&amp;TUY AW0117_2.0 16X350G</t>
  </si>
  <si>
    <t>KNORR H.N TT&amp;XO&amp;TUY AW0117_2.0 8X900G</t>
  </si>
  <si>
    <t>P/S BCDR TRE EM 2-6 TUOI 60X1PC</t>
  </si>
  <si>
    <t>P/S ban chai danh rang tre em 7+ tuoi 10x6c/ vi</t>
  </si>
  <si>
    <t>KNORR GVHC C.K.RIENG STR AW2.0 10X6X28G</t>
  </si>
  <si>
    <t>KNORR GVHC T.KHO TAU STR AW2.0 10X6X28G</t>
  </si>
  <si>
    <t>Lifebuoy NRT Vuot Troi P0317 12x500g chai</t>
  </si>
  <si>
    <t>Vaseline sdt trang da 10 loi ich P0117 24x200ml chai</t>
  </si>
  <si>
    <t>VASLINE STDTD TUC THI P0117 24X200ML</t>
  </si>
  <si>
    <t>COMFORT DD HGIOXUAN 1LX RE0118 6X1.8L</t>
  </si>
  <si>
    <t>P/S Kdr Trang Rang Than Hoat Tinh &amp; Tre 180G/36 Ong</t>
  </si>
  <si>
    <t>CLOSEUP KDR TRANG SANG TU NHIEN 36X180G</t>
  </si>
  <si>
    <t>CLEAR DG MAT LANH BAC HA RE0218 720X6G</t>
  </si>
  <si>
    <t>CLEAR DG THAO DUOC RE0218 720X6G</t>
  </si>
  <si>
    <t>COMFORT DD CDANHAYCAM P0118 6X1.8L</t>
  </si>
  <si>
    <t>P/S KDR 123 TRA XANH RE0118 36X190G</t>
  </si>
  <si>
    <t>P/S KDR 123 TRA XANH RE0118 60X100G</t>
  </si>
  <si>
    <t>VASELINE SDT SUN+POLLUTION PRO 18X200ML</t>
  </si>
  <si>
    <t>CLOSE UP KDR H.LOC DE P0118 60X140G</t>
  </si>
  <si>
    <t>CLOSE UP KDR H.BAC HA P0118 60X140G</t>
  </si>
  <si>
    <t>LIPTON TRA NHAN VANG PC0118 48X25X2G</t>
  </si>
  <si>
    <t>SUNSILK DG OMRANGNGOI 8X(1+KHAN18)X650G</t>
  </si>
  <si>
    <t>SUNSILK DG MM DIEU KI 8X(1+KHAN18)X650G</t>
  </si>
  <si>
    <t>P/S TP KIDS 2-6YRS ORANGE 120X45G</t>
  </si>
  <si>
    <t>KNORR HAT NEM T&amp;XO&amp;T 5X1.8KG</t>
  </si>
  <si>
    <t>VIM TRBC ZERO H.CHANH RE0118 18X750ML</t>
  </si>
  <si>
    <t>VIM VIEN TREO BON CAU H.CHANH 9X55G</t>
  </si>
  <si>
    <t>TRESEMME DG SALON DETOX RE0119 12X340G</t>
  </si>
  <si>
    <t>TRESEMME DX VAO NEP M.MA RE0119 8X620G</t>
  </si>
  <si>
    <t>KNORR HAT NEM TT&amp;XO&amp;T PICO1.1 32X170G</t>
  </si>
  <si>
    <t>TRESEMME DG VAONEP MUOT MA RE0119 600X7G</t>
  </si>
  <si>
    <t>TRESEMME DX VAONEP MUOT MA RE0119 600X7G</t>
  </si>
  <si>
    <t>P/S TP SST EXPERT PRCR R0118 60X100G</t>
  </si>
  <si>
    <t>CLEAR DG BIA 8X650G</t>
  </si>
  <si>
    <t>VIM VIEN TREO BON CAU LAVENDER 9X55G</t>
  </si>
  <si>
    <t>OMO NG MTC B.DEP CTREN RE0218 4X 4.2KG</t>
  </si>
  <si>
    <t>OMO NG MTC BDEP CTREN TUI RE0218 4X2.7KG</t>
  </si>
  <si>
    <t>COMFORT DD HGIOXUAN 1LX RE0119 300X20ML</t>
  </si>
  <si>
    <t>COMFORT DD HBANMAI RE0119 3X3.8L</t>
  </si>
  <si>
    <t>COMFORT DD HBANMAI RE0119 6X1.8L</t>
  </si>
  <si>
    <t>COMFORT DD HBANMAI RE0119 300X20ML</t>
  </si>
  <si>
    <t>COMFORT DD HBANMAI 1LX RE0119 300X20ML</t>
  </si>
  <si>
    <t>OMO NG MATIC MG CUA TRUOC TUI 4X4KG</t>
  </si>
  <si>
    <t>P/S BCDR THAN HOAT TINH P0118 48X1PC</t>
  </si>
  <si>
    <t>TRA SUA LIPTON OOLONG 30X(8X17G)</t>
  </si>
  <si>
    <t>TRA SUA LIPTON  MATCHA 30X(8X17G)</t>
  </si>
  <si>
    <t>P/S KDR T.XANH/KDR THAN HT21(1+1)190/30G</t>
  </si>
  <si>
    <t>KEM DANH RANG CLOSE UP LUA BANG 36X180G</t>
  </si>
  <si>
    <t>CLEAR DG BTNIQ SIEU HAT (1+HOP) 8X650G</t>
  </si>
  <si>
    <t>CLEAR DG BTNIQ TINH DAU (1+HOP) 8X650G</t>
  </si>
  <si>
    <t>Ponds SRM sang da cao cap fw radiance even tone 100g/12 tuyp</t>
  </si>
  <si>
    <t>P/S BC L.TO MEM MAI MP3 PI0119 24(3X1PC)</t>
  </si>
  <si>
    <t>P/S BC LONG TO SACH H.QUA PI0119 72X1PC</t>
  </si>
  <si>
    <t>P/S BC LONG TO MEM MAI PI0119 72X1PC</t>
  </si>
  <si>
    <t>PONDS SRM DSK SACH SAU &amp; SANG MIN 24X90G</t>
  </si>
  <si>
    <t>PONDS SRM DSK SACH SAU &amp; SANG MIN 48X40G</t>
  </si>
  <si>
    <t>COMFORT NX DD CDNHAY CAM RE0219 300X20ML</t>
  </si>
  <si>
    <t>DOVE DG PHUC HOI HU TON(12FR2-P19)840X6G</t>
  </si>
  <si>
    <t>DOVE KX P.HOI HU TON (12FR2-P19)840X6G</t>
  </si>
  <si>
    <t>SUNLIGHT NLS TD HHHONG XANH R0119 12X1KG</t>
  </si>
  <si>
    <t>P/S KDR B.VE CS T.DIEN 123 R0119 36X190G</t>
  </si>
  <si>
    <t>COMFORT NX NH TN BELLA RE0319 12X800ML</t>
  </si>
  <si>
    <t>COMFORT NX NH TN BELLA TUI RE0319 4X2.4L</t>
  </si>
  <si>
    <t>COMFORT NHTN HOA HONG RE0319 12X800ML</t>
  </si>
  <si>
    <t>COMFORT NX NH TN LILLIE RE0319 12X800ML</t>
  </si>
  <si>
    <t>COMFORT NX NHTN SFIA GLD RE0319 12X800ML</t>
  </si>
  <si>
    <t>COMFORT NH T.N BELLA TUI RE0319 12X750ML</t>
  </si>
  <si>
    <t>DOVE DG V.NEP SONG DONG TU NHIEN 720X6G</t>
  </si>
  <si>
    <t>DOVE DG V.NEP SONG DONG TU NHIEN 8X650G</t>
  </si>
  <si>
    <t>DOVE DAU GOI ONG MEM TU NHIEN 720X6G</t>
  </si>
  <si>
    <t>DOVE DAU GOI ONG MEM TU NHIEN 8X650G</t>
  </si>
  <si>
    <t>DOVE DAU XA ONG MEM TU NHIEN 8X620G</t>
  </si>
  <si>
    <t>SUNSILK DG M.MUOT DIEUKI P0119 36X170G</t>
  </si>
  <si>
    <t>SUNSILK DG ONGMUOT R.NGOI P0119 36X170G</t>
  </si>
  <si>
    <t>CLOSE UP KDR V.DUA/V.DUA 21X(1+1)180/30G</t>
  </si>
  <si>
    <t>COMFORT DD 1LX HBANMAI 10TANG1 330X20ml</t>
  </si>
  <si>
    <t>COMFORT DD 1LX HGIOXUAN 10TANG1 330X20ML</t>
  </si>
  <si>
    <t>KNORR HN NAM HUONG ORGANIC R0119 38X170G</t>
  </si>
  <si>
    <t>CLEAR DG MEN MATLANH B.HA P0119 36X180G</t>
  </si>
  <si>
    <t>CLEAR DG MEN MATLANH B.HA P0119 8X650G</t>
  </si>
  <si>
    <t>CLEAR DG MEN MATLANH B.HA P0119 12X370G</t>
  </si>
  <si>
    <t>CLEAR DG BIA 8(1+2 BIA)650G</t>
  </si>
  <si>
    <t>PONDS WB K.SUA D.TRANG NANG TONG 12X50G</t>
  </si>
  <si>
    <t>LIFEBUOY ST THAN HT BAC HA P0119 12X850G</t>
  </si>
  <si>
    <t>LIFEBUOY ST CHAM SOC DA P0119 24X250G</t>
  </si>
  <si>
    <t>LIFEBUOY ST BV VUOT TROI10 P0119 24X250G</t>
  </si>
  <si>
    <t>LIFEBUOY ST BV VUOT TROI10 P0119 12X850G</t>
  </si>
  <si>
    <t>LIFEBUOY ST T.XANH KHO QUA P0119 12X850G</t>
  </si>
  <si>
    <t>LIFEBUOY ST CHAM SOC DA P0119 12X850G</t>
  </si>
  <si>
    <t>CLEAR SP BOT SUPER SEEDS P0119 720X6G</t>
  </si>
  <si>
    <t>SURF NRC HUONG TAC 20X750G</t>
  </si>
  <si>
    <t>SURF NRC HUONG TAC 9X1.5KG</t>
  </si>
  <si>
    <t>DOVE DG P.HOI HU TON (12FR2KX-P19)840X6G</t>
  </si>
  <si>
    <t>SUNLIGHT NRC DIET KHUAN RE0119 15X750G</t>
  </si>
  <si>
    <t>SUNLIGHT NRC TRA XANH RE0119 9X1.5KG</t>
  </si>
  <si>
    <t>DOVE DG DUONG AM BONG BENH P0119 8X650G</t>
  </si>
  <si>
    <t>DOVE DG PHUC HOI HU TON P0119 12X340G</t>
  </si>
  <si>
    <t>DOVE DG DUONG AM BONG BENH P0119 12X340G</t>
  </si>
  <si>
    <t>DOVE DG PHUC HOI HU TON P0119 36X170G</t>
  </si>
  <si>
    <t>DOVE DG PHUC HOI HU TON P0119 8X650G</t>
  </si>
  <si>
    <t>DOVE KX DUONGTOC BONG BENH P0119 12X335G</t>
  </si>
  <si>
    <t>OMO NG MG KHU MUI TUI 4X2.3KG</t>
  </si>
  <si>
    <t>OMO NG MG DIU NHE TREN DA TUI 4X2.3KG</t>
  </si>
  <si>
    <t>OMO NG MG CTREN CF TDTHOM CHAI 4X2.3KG</t>
  </si>
  <si>
    <t>OMO NG MG CTREN CF TDTHOM CHAI 4X3.7KG</t>
  </si>
  <si>
    <t>OMO NG MG CTREN CF TDTHOM TUI 4X2.3KG</t>
  </si>
  <si>
    <t>COMFORT NX DD C.D NHAY CAM(10T1)330X20ML</t>
  </si>
  <si>
    <t>DOVE DX ONG MEM TU NHIEN 8(1+BOX)620G</t>
  </si>
  <si>
    <t>KNORR GVHC TK TAU AW2.3 STR HG 10X6X28G</t>
  </si>
  <si>
    <t>VIM TOILET XANH BIEN RE0119 16X900ML</t>
  </si>
  <si>
    <t>VIM TOILET XANH BIEN RE0119 24X500ML</t>
  </si>
  <si>
    <t>P/S BCDR TRE EM 2-6 CAO CAP 48X1PC</t>
  </si>
  <si>
    <t>P/S BCDR TRE EM 7-11 CAO CAP 48X1PC</t>
  </si>
  <si>
    <t>OMO BG MATIC CUA TREN P0119 4X3KG</t>
  </si>
  <si>
    <t>OMO BG HE BOT THONG MINH P0119 3X6KG</t>
  </si>
  <si>
    <t>OMO BG HE BOT THONG MINH P0119 3X4.5KG</t>
  </si>
  <si>
    <t>KDR CLOSEUP TR.RANG VI MUOI BIEN 36X180G</t>
  </si>
  <si>
    <t>HAZELINE ST DS MATCHA &amp; LUU DO 12X900G</t>
  </si>
  <si>
    <t>HAZELINE ST DS MATCHA &amp; LUU DO 8X670G</t>
  </si>
  <si>
    <t>HAZELINE ST DASD Y.MACH DAU TAM 12X900G</t>
  </si>
  <si>
    <t>HAZELINE ST DASD Y.MACH DAU TAM 8X670G</t>
  </si>
  <si>
    <t>HAZELINE ST DS MATCHA &amp; LUU DO 840X4.5G</t>
  </si>
  <si>
    <t>KNORR HN NAM HUONG ORGANIC 16X380G</t>
  </si>
  <si>
    <t>PONDS SRM ACNE CLEAR/MNA 24(1+1)50G/21ML</t>
  </si>
  <si>
    <t>SUNSILK DX ONG MUOT R.NGOI RE0119 720X6G</t>
  </si>
  <si>
    <t>SUNSILK DX ONGMUOT R.NGOI RE0119 12X320G</t>
  </si>
  <si>
    <t>SUNSILK DX MEMMUOT DIEUKY RE0119 12X320G</t>
  </si>
  <si>
    <t>SUNSILK DX MEM MUOT DIEUKY RE0119 720X6G</t>
  </si>
  <si>
    <t>SUNSILK DX MEMMUOT DIEUKY RE0119 24X170G</t>
  </si>
  <si>
    <t>HAZELINE ST TAY TBC CAM CHERRY 8X670G</t>
  </si>
  <si>
    <t>HAZELINE ST TAY TBC CAM CHERRY 12X900G</t>
  </si>
  <si>
    <t>OMO NG GIAT TAY TUI P0119 6X1.8KG</t>
  </si>
  <si>
    <t>SUNSILK DG MEM MUOT TOA HUONG 8X650G</t>
  </si>
  <si>
    <t>SUNSILK DG MEM MUOT TOA HUONG 720X6G</t>
  </si>
  <si>
    <t>SUNSILK DG D.NGAN RUNG TOC-VVNH 8X650G</t>
  </si>
  <si>
    <t>SUNSILK DG D.NGAN RUNG TOC-VVNH 720X6G</t>
  </si>
  <si>
    <t>SUNSILK DG CHAC KHOE NGAT HUONG 8X650G</t>
  </si>
  <si>
    <t>SUNSILK DG CHAC KHOE NGAT HUONG 720X6G</t>
  </si>
  <si>
    <t>SUNSILK DX MEM MUOT TOA HUONG 12X320G</t>
  </si>
  <si>
    <t>SUNSILK DX MEM MUOT TOA HUONG 720X6G</t>
  </si>
  <si>
    <t>SUNSILK DX D.NGAN RUNG TOC-VVNH 12X320G</t>
  </si>
  <si>
    <t>SUNSILK DX CHAC KHOE NGAT HUONG 12X320G</t>
  </si>
  <si>
    <t>SUNSILK HC STRONG&amp;FRAGRANT 720X6G</t>
  </si>
  <si>
    <t>HAZELINE KD TRANG MATCHA&amp;LUU DO 12X45G</t>
  </si>
  <si>
    <t>HAZELINE KDT T.THAN MTCHA&amp;LUUDO 24X230ML</t>
  </si>
  <si>
    <t>HAZELINE KDA TDTT Y.MACH DAUTAM 24X230ML</t>
  </si>
  <si>
    <t>DOVE DG VAO NEP S.DNG TN 8X(1+KHAN)650G</t>
  </si>
  <si>
    <t>DOVE DG ONG MEM TU NHIEN 8X(1+KHAN)650G</t>
  </si>
  <si>
    <t>DOVE DX ONG MEM TU NHIEN 8X(1+KHAN)620G</t>
  </si>
  <si>
    <t>CLEAR DAU GOI MAT LANH BAC HA 36X170G</t>
  </si>
  <si>
    <t>CLEAR DAU GOI MAT LANH BAC HA 12X340G</t>
  </si>
  <si>
    <t>CLEAR DAU GOI MAT LANH BAC HA 8X630G</t>
  </si>
  <si>
    <t>Clear dầu gội thảo dược 630g/8 chai</t>
  </si>
  <si>
    <t>Clear dầu gội botanique tinh dầu630g/8 chai</t>
  </si>
  <si>
    <t>Clear dầu gội botanique siêu hạt 630g/8 chai</t>
  </si>
  <si>
    <t>LIFEBUOY DG TOC DAY ONG A P0119 8X640G</t>
  </si>
  <si>
    <t>LIFEBUOY DG TOC MEM MUOT P0119 8X640G</t>
  </si>
  <si>
    <t>HAZELINE SRM DS MATCHA&amp;LUU DO 24X100G</t>
  </si>
  <si>
    <t>HAZELINE SRM DS MATCHA&amp;LUU DO 24X50G</t>
  </si>
  <si>
    <t>HAZELINE SRM NG.MUN DS NGHE&amp;KIWI 24X100G</t>
  </si>
  <si>
    <t>HAZELINE SRM NG.MUN DS NGHE&amp;KIWI 24X50G</t>
  </si>
  <si>
    <t>HAZELINE SRM D.A SD Y.MACH D.TAM 24X100G</t>
  </si>
  <si>
    <t>HAZELINE SRM D.A SD Y.MACH DAUTAM 24X50G</t>
  </si>
  <si>
    <t>HAZELINE SRM TAY TBC CAM CHERRY 24X100G</t>
  </si>
  <si>
    <t>HAZELINE SRM TAY TBC CAM CHERRY 24X50G</t>
  </si>
  <si>
    <t>SUNLIGHT NRC CHANH AW0219 9X1.5KG</t>
  </si>
  <si>
    <t>SUNLIGHT NRC CHANH AW0219 15X750G</t>
  </si>
  <si>
    <t>SUNLIGHT NRC CHANH AW0219 3X3.8KG</t>
  </si>
  <si>
    <t>SUNLIGHT NRC CHANH AW0219 TÚI 9X1.4KG</t>
  </si>
  <si>
    <t>SUNLIGHT NRC CHANH AW0219 24X400G</t>
  </si>
  <si>
    <t>CLEAR MEN DG 3IN1 MAT LANH 8X630G</t>
  </si>
  <si>
    <t>CLEAR MEN DG 3IN1 PHONG DO 8X630G</t>
  </si>
  <si>
    <t>COMFORT DD HBANMAI RE0419 6X1.8L</t>
  </si>
  <si>
    <t>COMFORT DD HGXN 1LX TUI RE0419 12X800ML</t>
  </si>
  <si>
    <t>COMFORT DD HBANMAI 1LX RE0419 6X1.8L</t>
  </si>
  <si>
    <t>COMFORT NX NH TN SOFIA TUI RE0419 9X1.5L</t>
  </si>
  <si>
    <t>COMFORT DD HBANMAI 1LX RE0419 12X800ML</t>
  </si>
  <si>
    <t>COMFORT DD HBANMAI RE0419 3X3.8L</t>
  </si>
  <si>
    <t>COMFORT DD HBANMAI RE0419 12X800ML</t>
  </si>
  <si>
    <t>COMFORT DD HGXN 1LX TUI RE0419 9X1.6L</t>
  </si>
  <si>
    <t>COMFORT NX NH TN SOFIA TUI RE0419 4X2.4L</t>
  </si>
  <si>
    <t>SUNSILK DG ONG MUOT R.NGOI P0219 8X650G</t>
  </si>
  <si>
    <t>SUNSILK DG ONG MUOT R.NGOI P0219 24X320G</t>
  </si>
  <si>
    <t>SUNSILK DG MEM MUOT DIEU KY P0219 8X650G</t>
  </si>
  <si>
    <t>SUNSILK DG MEMMUOT DIEU KY P0219 24X320G</t>
  </si>
  <si>
    <t>SUNSILK DG ONG MUOT R.NGOI P0219 6X1.4KG</t>
  </si>
  <si>
    <t>SUNSILK DG MEMMUOT DIEU KY P0219 6X1.4KG</t>
  </si>
  <si>
    <t>CIF KEMTAYRUA HUONGCHANH RE0119 16X690G</t>
  </si>
  <si>
    <t>PONDS KS D.TRNG NANG TONG TUC THI 24X23G</t>
  </si>
  <si>
    <t>SURF NRC HUONG TAC 3X4KG</t>
  </si>
  <si>
    <t>P/S KDR NGUASAURANG VT RE0119 36X240G</t>
  </si>
  <si>
    <t>VIM VTBC TRA XANH&amp;CHANH VANG 9X55G</t>
  </si>
  <si>
    <t>SUNLIGHT NRC TRA XANH TUI AW0219 18X750G</t>
  </si>
  <si>
    <t>HAZELINE SRM NGHE&amp;KW/YMDT 24(1+1)50G/15G</t>
  </si>
  <si>
    <t>TRESEMME dầu gội salon detox 340g/12 chai</t>
  </si>
  <si>
    <t>TRESEMME DX SALON DETOX P0119 12X340G</t>
  </si>
  <si>
    <t>TRESEMME DX VAO NEP MT MA P0119 12X340G</t>
  </si>
  <si>
    <t>TRESEMME DG VAO NEP MT MA P0119 12X340G</t>
  </si>
  <si>
    <t>CLEAR DG T.DUOC/PS KDRTX 8(1+1)630G/190G</t>
  </si>
  <si>
    <t>CLEAR DG BOT TD/PS KDRTX 8(1+1)650G/190G</t>
  </si>
  <si>
    <t>CLEAR DG BOT SH/PS KDRTX 8(1+1)650G/190G</t>
  </si>
  <si>
    <t>TRESEMME DG VAO NEP MUOT MA 8X640G</t>
  </si>
  <si>
    <t>TRESEMME DAU GOI SALON DETOX 8X640G</t>
  </si>
  <si>
    <t>DOVE ST LIEU PHAP SANG DA P0119 12X530G</t>
  </si>
  <si>
    <t>DOVE ST DG AM CHUYEN SAU P0219 12X530G</t>
  </si>
  <si>
    <t>DOVE ST DUONG AM DIU MAT P0219 12X530G</t>
  </si>
  <si>
    <t>DOVE ST LIEU PHAP TUOI MOI P0119 12X530G</t>
  </si>
  <si>
    <t>DOVE sữa tắm liệu pháp êm dịu 530g/12 chai</t>
  </si>
  <si>
    <t>LIFEBUOY NRT TAY LAM BEP P0219 12X500G</t>
  </si>
  <si>
    <t>DOVE ST DUONG AM SANG MIN P0219 12X530G</t>
  </si>
  <si>
    <t>LIFEBUOY NRT BVVT 10 P0219 12X500G</t>
  </si>
  <si>
    <t>LIFEBUOY NRT CHAM SOC DA P0219 12X500G</t>
  </si>
  <si>
    <t>LIFEBUOY NRT BVVT 10 P0219 36X180G</t>
  </si>
  <si>
    <t>LIFEBUOY NRT TAY LAM BEP P0219 36X180G</t>
  </si>
  <si>
    <t>LIFEBUOY NRT THAN HT&amp;B.HA P0119 36X180G</t>
  </si>
  <si>
    <t>LIFEBUOY NRT MTCHA&amp;NHA DAM P0119 36X180G</t>
  </si>
  <si>
    <t>LIFEBUOY NRT CHAM SOC DA P0219 36X180G</t>
  </si>
  <si>
    <t>LIFEBUOY NRT BVVT 10 TUI P0219 24X450G</t>
  </si>
  <si>
    <t>LIFEBUOY NRT MTCHA&amp;NHA DAM P0119 12X500G</t>
  </si>
  <si>
    <t xml:space="preserve"> LIFEBUOY NRT THAN HT&amp;B.HA P0119 12X500G</t>
  </si>
  <si>
    <t>TRA LIPTON IT TB20 CH/DA/XO 15(8+4+4)14G</t>
  </si>
  <si>
    <t>LIPTON TRNV/XANH HXG20 18(15S+15S)2/1.5G</t>
  </si>
  <si>
    <t>SUNLIGHT NRC CHANH AW0319 TUI 18X750G</t>
  </si>
  <si>
    <t>VIM TR.SANG H.CHANH SA P0319 16X880ML</t>
  </si>
  <si>
    <t>SUNLIGHT NRC THIEN NHIEN P0319 3X3.6KG</t>
  </si>
  <si>
    <t>PONDS SRM LAM SANG DA C.XUAT SUA 24X100G</t>
  </si>
  <si>
    <t>PONDS SRM LAM SANG DA C.XUAT SUA 48X40G</t>
  </si>
  <si>
    <t>PONDS SRM L.SANG DA WHITE BEAUTY 24X100G</t>
  </si>
  <si>
    <t>PONDS KDD T.HONG RRO WHITE BTY BD 12X50G</t>
  </si>
  <si>
    <t>PONDS KDD T.HONG RRO WHITE BTY BD 24X30G</t>
  </si>
  <si>
    <t>PONDS SRM L.SANG DA WHITE BEAUTY 24X50G</t>
  </si>
  <si>
    <t>PONDS SRM LAM SACH SAU PURE WHITE 24X50G</t>
  </si>
  <si>
    <t>PONDS SRM LAM SACHSAU PURE WHITE 24X100G</t>
  </si>
  <si>
    <t>PONDS KDD TH RRO WHT BTY BN SPF30 24X30G</t>
  </si>
  <si>
    <t>COMFORT NX CDNCAM TUI RE0519 9X1.6L</t>
  </si>
  <si>
    <t>DOVE ST CBNG THU THAI 12(1+SRT250ML)530G</t>
  </si>
  <si>
    <t>P/S BCDR WHITE DETOX 48X1PC</t>
  </si>
  <si>
    <t>SUNLIGHT NLS TRNG/NRC TN4(2C+1T)1KG/550G</t>
  </si>
  <si>
    <t>VIM TBC NT/NLS TRANG 4(2C+1T)900ML/700G</t>
  </si>
  <si>
    <t>VIM TS OAI.H/NLS TRANG4(2C+1T)880ML/700G</t>
  </si>
  <si>
    <t>VIM TS CH.SA/NLS TRNG4(2C+1T)880ML/700G</t>
  </si>
  <si>
    <t>DOVE ST NDS BTR/ST AVCD 12(1+1)530G/120G</t>
  </si>
  <si>
    <t>DOVE ST D.AM DM/ST AVCD 12(1+1)530G/120G</t>
  </si>
  <si>
    <t>TRESEMME dầu xả salon rebond 340g/12 chai</t>
  </si>
  <si>
    <t>TRESEMME dầu gội salon rebond 340g/12 chai</t>
  </si>
  <si>
    <t>TRESEMME dầu gội salon rebond 640g/8 chai</t>
  </si>
  <si>
    <t>OMO NG MTC CF CTREN HOA HONG TUI 4X2.3KG</t>
  </si>
  <si>
    <t>CLEAR DG THAO DUOC 12X340G</t>
  </si>
  <si>
    <t>CLEAR DG BOTANIQUE TINH DAU 12X340G</t>
  </si>
  <si>
    <t>CLEAR DG BOTANIQUE SIEU HAT 12X340G</t>
  </si>
  <si>
    <t>KDR SENSITIVE MIN.EXPERT BY PS ORIGINAL</t>
  </si>
  <si>
    <t>P/S TP SNSTV EXPERT FRESH MINT 60X100G</t>
  </si>
  <si>
    <t>KDRSENSITIVE MIN.EXPERT BY PS WHITENING</t>
  </si>
  <si>
    <t>LUX ST NUOC HOA MGCL SPELL P0319 12X530G</t>
  </si>
  <si>
    <t>LUX ST MEM MIN SOFT TOUCH P0319 12X530G</t>
  </si>
  <si>
    <t>OMO NG MTC BEN DEP CTRC RE0120 4X2.3KG</t>
  </si>
  <si>
    <t>VIM NTR BC CHUYEN NGHIEP RE0119 16X925G</t>
  </si>
  <si>
    <t>PONDS KDD TH RRO WHT BTY BN SPF30 12X50G</t>
  </si>
  <si>
    <t>COMFORT DD HGXN 1LX TUI RE0120 4X2.6L</t>
  </si>
  <si>
    <t>COMFORT DD HGXN 1LX TUI RE0120 9X1.6L</t>
  </si>
  <si>
    <t>COMFORT NX DD C.D NHAY CAM P0120 3X3.8L</t>
  </si>
  <si>
    <t>COMFORT NX DD C.D NHAY CAM P0120 4X3.2L</t>
  </si>
  <si>
    <t>COMFORT NX DD C.D NHAY CAM P0120 6X1.8L</t>
  </si>
  <si>
    <t>COMFORT NX DD C.D N.CAM P0120 12X800ML</t>
  </si>
  <si>
    <t>COMFORT DD CDNHAYCAM TUI P0120 12X800ML</t>
  </si>
  <si>
    <t>LIFEBUOY XBC MATCHA&amp;KHOQUA AW0319 72X90G</t>
  </si>
  <si>
    <t>Bánh</t>
  </si>
  <si>
    <t>LIFEBUOY XBC CHAM SOC DA AW0319 72X90G</t>
  </si>
  <si>
    <t>LIFEBUOY XBC THIEN NHIEN AW0319 72X90G</t>
  </si>
  <si>
    <t>LIFEBUOY XBC MAT ONG&amp;NGHE AW0319 72X90G</t>
  </si>
  <si>
    <t>LIFEBUOY XBC BV VUOT TROI AW0319 72X90G</t>
  </si>
  <si>
    <t>LIFEBUOY XBC BV VUOT TROI AW0319 72X125G</t>
  </si>
  <si>
    <t>LIFEBUOY XBC MLANH S.KHOAI AW0319 72X90G</t>
  </si>
  <si>
    <t>KĐR CLOSEUP khoáng chất &amp; matcha 180g/36 ống</t>
  </si>
  <si>
    <t>SUNLIGHT NLS T.D HG HLILY RE0120 12X1KG</t>
  </si>
  <si>
    <t>SUNLIGHT NLS T.D HG HLILY RE0120 3X3.8KG</t>
  </si>
  <si>
    <t>SUNLIGHT NLS HTNHIEN RE0120 12X1KG</t>
  </si>
  <si>
    <t>SUNLIGHT NLS TD HTTHAO RE0120 3X3.8KG</t>
  </si>
  <si>
    <t>SUNLIGHT NLS TD HHDIEN VY RE0120 12X1KG</t>
  </si>
  <si>
    <t>SUNLIGHT NLS TD HHDIEN VY RE0120 3X3.8KG</t>
  </si>
  <si>
    <t>SUNLIGHT NLS TD HTTHAO RE0120 12X1KG</t>
  </si>
  <si>
    <t>CLEAR DG MEN MATLANH B.HA AW0120 36X180G</t>
  </si>
  <si>
    <t>CLEAR DG MEN MATLANH B.HA AW0120 8X650G</t>
  </si>
  <si>
    <t>CLEAR MEN DG BHML/CLOSEUP BH 8(650+180)G</t>
  </si>
  <si>
    <t>CLEAR DG THAO DUOC 8(1+BO C.SOC TT)630G</t>
  </si>
  <si>
    <t>CLEAR DG TINH DAU 8(1+BO C.SOC TT)650G</t>
  </si>
  <si>
    <t>CLEAR DG HAT SDUONG 8(1+BO C.SOC TT)630G</t>
  </si>
  <si>
    <t>P/S KDR BAKING SODA &amp; HUONG THAO 36X180G</t>
  </si>
  <si>
    <t>CLOSE UP KDR T.MAT BATTAN BAC HA 36X180G</t>
  </si>
  <si>
    <t>CLOSE UP KDR T.MAT BATTAN BAC HA 60X140G</t>
  </si>
  <si>
    <t>CLOSEUP KĐR Tinh Thể Băng Tuyết 230g/36 ống</t>
  </si>
  <si>
    <t>CLOSE UPKDR T.MAT BAT TAN LOC DE 36X180G</t>
  </si>
  <si>
    <t>CLOSE UPKDR T.MAT BAT TAN LOC DE 60X140G</t>
  </si>
  <si>
    <t>SUNLIGHT NRC CHANH/T.N TUI 10X(750+120)G</t>
  </si>
  <si>
    <t>CLEAR DG MAT LANH BAC HA (12FR2) 840X6G</t>
  </si>
  <si>
    <t>TRESEMME dầu xả salon rebond 620g/8 chai</t>
  </si>
  <si>
    <t>DOVE ST C.BONG TUOI MOI 12(1+1)530G/120G</t>
  </si>
  <si>
    <t>DOVE ST CBTG/CBTM 12(1+1)530G/120G</t>
  </si>
  <si>
    <t>DOVE ST CB S.MIN/CBTM 12(1+1)X530G/120G</t>
  </si>
  <si>
    <t>PONDS VTM MCLR WTR BRTN ROSE VN 12X235ML</t>
  </si>
  <si>
    <t>LIFEBUOY ST MATCHA KHO QUA 8(1+KHAN)850G</t>
  </si>
  <si>
    <t>LIFEBUOY ST THAN HT BAC HA 8(1+KHAN)850G</t>
  </si>
  <si>
    <t>P/S KDR NGUA SAU RANG VT LIMITED 36X180G</t>
  </si>
  <si>
    <t>P/S KDR NGUA SAU RANG VT LIMITED 36X240G</t>
  </si>
  <si>
    <t>TRA LIPTON CHANH M.ONG R0120 30X16X14G</t>
  </si>
  <si>
    <t>TRA LIPTON VI DAO R0120 30X16X14G</t>
  </si>
  <si>
    <t>TRA LIPTON VI XOAI R0120 30X16X14G</t>
  </si>
  <si>
    <t>DOVE KX PHUC HOI HU TON AW0120 720X6G</t>
  </si>
  <si>
    <t>DOVE KX PHUC HOI HUTON AW0120 24X170G</t>
  </si>
  <si>
    <t>DOVE KX PHUC HOI HUTON AW0120 12X335G</t>
  </si>
  <si>
    <t>SURF NG CO HOA DIEU KI TUI 9X1.7KG</t>
  </si>
  <si>
    <t>SURF HS PWDR BRBERRY GOLD AW0120 3X5.5KG</t>
  </si>
  <si>
    <t>SURF HS PWDR GVENCHY AQUA AW0120 3X5.5KG</t>
  </si>
  <si>
    <t>P/S KDR NSR VUOT TROI L.EDITION 60X110G</t>
  </si>
  <si>
    <t>HAZELINE ST MATCHA LUU DO 8(1+KHAN)670G</t>
  </si>
  <si>
    <t>HAZELINE ST YENMACH DAUTAM 8(1+KHAN)670G</t>
  </si>
  <si>
    <t>HAZELINE ST CAMYUZU CHERRY 8(1+KHAN)670G</t>
  </si>
  <si>
    <t>P/S B.CHAI D.RANG BAKING SODA 48X1PC</t>
  </si>
  <si>
    <t>TRESEMME DG/DX VNEP M.MA 8(1+1)640G/140G</t>
  </si>
  <si>
    <t>SUNSILK DG/DX MM DIEU KY 8(1+1)650G/140G</t>
  </si>
  <si>
    <t>SUNSILK DG O.MUOT R.NGOI 8(1+1)650G/140G</t>
  </si>
  <si>
    <t>P/S KDR BV2L/KID DAU 21(240G+2X15G)</t>
  </si>
  <si>
    <t>OMO NG CF TD THOM 4X2.3KG</t>
  </si>
  <si>
    <t>OMO NG CF TD THOM 4X3.7KG</t>
  </si>
  <si>
    <t>OMO NG CF TD THOM TUI 4X2.9KG</t>
  </si>
  <si>
    <t>OMO NG CF TD THOM TUI 4X2KG</t>
  </si>
  <si>
    <t>OMO NG CF TD THOM TUI 4X3.7KG</t>
  </si>
  <si>
    <t>OMO NG MATIC BEN DEP CUA TRUOC 4X2.3KG</t>
  </si>
  <si>
    <t>OMO NG MATIC BEN DEP CTRUOC TUI 4X2.9KG</t>
  </si>
  <si>
    <t>OMO NG MATIC BEN DEP CUA TRUOC TUI 4X2KG</t>
  </si>
  <si>
    <t>OMO NG MATIC BEN DEP CTRUOC TUI 4X3.7KG</t>
  </si>
  <si>
    <t>OMO NG MATIC KHU MUI TUI 4X2KG</t>
  </si>
  <si>
    <t>OMO NG MATIC BEN DEP CUA TREN TUI 4X2KG</t>
  </si>
  <si>
    <t>OMO NG MATIC CUA TREN 4X2.7KG</t>
  </si>
  <si>
    <t>OMO NG MATIC CUA TREN 4X4.2KG</t>
  </si>
  <si>
    <t>OMO NG MATIC CUA TREN 4X2.2KG</t>
  </si>
  <si>
    <t>OMO NG MATIC CUA TREN TUI 4X3.1KG</t>
  </si>
  <si>
    <t>OMO NG MATIC CUA TREN TUI 4X4KG</t>
  </si>
  <si>
    <t>OMO NG MATIC DIU NHE TUI 4X2KG</t>
  </si>
  <si>
    <t>COMFORT NX DD K.KHUAN DIU NHE(NZL)4X2.4L</t>
  </si>
  <si>
    <t>COMFORT NX DD K.KHUAN DIU NHE 12X750ML</t>
  </si>
  <si>
    <t>COMFORT NX DD K.KHUAN DIU NHE 300X20ML</t>
  </si>
  <si>
    <t>COMFORT NX DD K.KHUAN DIU NHE TUI 9X1.5L</t>
  </si>
  <si>
    <t>COMFORT THANH LOC KHU MUI 300X20ml</t>
  </si>
  <si>
    <t>COMFORT DD C.D NHAY CAM TUI P0220 4x2.6L</t>
  </si>
  <si>
    <t>SUNLIGHT HDW NTR ESNC SAMP20 POU 18X550G</t>
  </si>
  <si>
    <t>DOVE DG/KX P.HOI HU TON 8(1+1)640G/140G</t>
  </si>
  <si>
    <t>DOVE DG/KX D.AM BONGBENH 8(1+1)640G/140G</t>
  </si>
  <si>
    <t>DOVE DG/KX O.MEM T.NHIEN 8(1+1)640G/140G</t>
  </si>
  <si>
    <t>LIFEBUOY GRTK BAOVE VUOT TROI10 48X100ML</t>
  </si>
  <si>
    <t>SUNLIGHT nrc chanh 400g/24 chai</t>
  </si>
  <si>
    <t>SUNLIGHT nrc chanh 750g/15 chai</t>
  </si>
  <si>
    <t>SUNLIGHT NRC CHANH RE0220 TUI 9X1.4KG</t>
  </si>
  <si>
    <t>SUNLIGHT nrc chanh 1.5kg/9 chai</t>
  </si>
  <si>
    <t>SUNLIGHT NRC CHANH RE0220 TUI 4X2.6KG</t>
  </si>
  <si>
    <t>SUNLIGHT NRC CHANH RE0220 3X3.8KG</t>
  </si>
  <si>
    <t>SUNLIGHT nước rửa chén chanh 9.5kg/1 can</t>
  </si>
  <si>
    <t>SUNLIGHT NRC CHANH RE0220 TUI 18X750G</t>
  </si>
  <si>
    <t>SUNLIGHT nước rửa chén trà xanh 400g/24 chai</t>
  </si>
  <si>
    <t>SUNLIGHT nước rửa chén trà xanh 750g/15 chai</t>
  </si>
  <si>
    <t>SUNLIGHT NRC TRA XANH RE0220 3X3.6KG</t>
  </si>
  <si>
    <t>SUNLIGHT NRC TRA XANH TUI RE0220 18X750G</t>
  </si>
  <si>
    <t>SUNLIGHT NRC KMTTRAXANH TUI R220 4X2.1KG</t>
  </si>
  <si>
    <t>SUNLIGHT nước rửa chén thiên nhiên 400gr/24 chai</t>
  </si>
  <si>
    <t>SUNLIGHT nước rửa chén thiên nhiên 750gr/15 chai</t>
  </si>
  <si>
    <t>SUNLIGHT NRC THIEN NHIEN RE0220 3X3.6KG</t>
  </si>
  <si>
    <t>SUNLIGHT NRC TH.NHIEN TUI RE0220 18X750G</t>
  </si>
  <si>
    <t>SUNLIGHT NRC CHANH&amp;LA BHA 15X750G</t>
  </si>
  <si>
    <t>SUNLIGHT NLS SA CHANH CHAI 3X3.6KG</t>
  </si>
  <si>
    <t>SUNLIGHT NLS SA CHANH PP CHAI 12X1KG</t>
  </si>
  <si>
    <t>SUNLIGHT NLS THIEN NHIEN CHAI 3X3.6KG</t>
  </si>
  <si>
    <t>SUNLIGHT NLS THIEN NHIEN PP CHAI 12X1KG</t>
  </si>
  <si>
    <t>DOVE DG NGAN GAY RUNG TOC 12X325G</t>
  </si>
  <si>
    <t>DOVE DG NGAN GAY RUNG TOC 8X640G</t>
  </si>
  <si>
    <t>DOVE KX NGAN GAY RUNG TOC 12X320G</t>
  </si>
  <si>
    <t>PONDS AGE MIRACLE SRM NNLHCC FTC 12X100G</t>
  </si>
  <si>
    <t>DOVE KX/DG PHUCHOI HUTON 8(1+1)610G/140G</t>
  </si>
  <si>
    <t>DOVE KX/DG O.MEM T.NHIEN 8(1+1)620G/140G</t>
  </si>
  <si>
    <t>DOVE DG NGAN GAY RUNG TOC 720X6G</t>
  </si>
  <si>
    <t>DOVE KX NGAN GAY RUNG TOC 720X6G</t>
  </si>
  <si>
    <t>PONDS WHT BTY NHH LAM SANG DA 24X150ML</t>
  </si>
  <si>
    <t xml:space="preserve"> PONDS AGE MIRACLE KNNLH CC BNGAY 12X50G</t>
  </si>
  <si>
    <t xml:space="preserve"> PONDS AGE MIRACLE KNNLH CC BDEM 12X50G</t>
  </si>
  <si>
    <t>SUNLIGHT NLS DIET KHUAN CHAI 12X1KG</t>
  </si>
  <si>
    <t>LIFEBUOY GRTK BAOVE VUOT TROI10 6X1.1L</t>
  </si>
  <si>
    <t>TRA LIPTON IC CHANH M.O15(2X16X14G+BINH)</t>
  </si>
  <si>
    <t>TRA LIPTON IC VI DAO 15(2X16X14G+BINH)</t>
  </si>
  <si>
    <t>SUNLIGHT FLR PINK LILY POU SAMP 18X550G</t>
  </si>
  <si>
    <t>SUNLIGHT FLR GRN IRIS POU SAMP 18X550G</t>
  </si>
  <si>
    <t>PONDS SRM S.DA/MNA DSCD 24(1+1)50G/21ML</t>
  </si>
  <si>
    <t>VIM T.S LVNDR THAN HTINH RE0120 16X880ML</t>
  </si>
  <si>
    <t>SUNLIGHT nước rửa chén mềm dịu 750gr/15 chai</t>
  </si>
  <si>
    <t>SUNLIGHT NRC MEM DIU CAN 3X3.6KG</t>
  </si>
  <si>
    <t>HAZELINE ST MATCHA LUU DO 1008X4G</t>
  </si>
  <si>
    <t>HAZELINE ST YEN MACH DAU TAM 1008X4G</t>
  </si>
  <si>
    <t>CIF NLK SIEU NHANH RE0120 12X520ML</t>
  </si>
  <si>
    <t>CIF NLDN SIEU NHANH RE0120 12X520ML</t>
  </si>
  <si>
    <t>CIF THIEN NHIEN LAU BEP CHAI 12X500ML</t>
  </si>
  <si>
    <t>CIF THIEN NHIEN LAU DA NANG 12X500ML</t>
  </si>
  <si>
    <t>CLEAR MEN DG 3IN1 ML 9(1+LOCK&amp;LOCK)630G</t>
  </si>
  <si>
    <t>CLEAR MEN DG 3IN1 PDO 9(1+LOCK&amp;LOCK)630G</t>
  </si>
  <si>
    <t>OMO BG CF TDT N.NAN VANG RE0120 36X360G</t>
  </si>
  <si>
    <t>OMO BG CF TDT N.NAN VANG RE0120 18X720G</t>
  </si>
  <si>
    <t>OMO BG CF TDT N.NAN VANG RE0120 3X4KG</t>
  </si>
  <si>
    <t>OMO BG CF TDT N.NGAY HONG RE0120 18X720G</t>
  </si>
  <si>
    <t>OMO BG CF TDT N.NGAY HONG RE0120 3X4KG</t>
  </si>
  <si>
    <t>OMO BOT GIAT RE0120 140X100G</t>
  </si>
  <si>
    <t>OMO BOT GIAT RE0120 36X400G</t>
  </si>
  <si>
    <t>OMO BOT GIAT RE0120 18X800G</t>
  </si>
  <si>
    <t>OMO BOT GIAT RE0120 12X1.2KG</t>
  </si>
  <si>
    <t>OMO BOT GIAT RE0120 4X3KG</t>
  </si>
  <si>
    <t>OMO BG CF TDT N.NAN VANG RE0120 3X5.5KG</t>
  </si>
  <si>
    <t>OMO BG CF TDT N.NGAY HONG RE0120 3X5.5KG</t>
  </si>
  <si>
    <t>OMO BOT GIAT RE0120 3X4.5G</t>
  </si>
  <si>
    <t>OMO BOT GIAT RE0120 3X6KG</t>
  </si>
  <si>
    <t>LIPTON IC TR.CHANH M.ONG HGR 10(6X8X14G)</t>
  </si>
  <si>
    <t>LIPTON IC TRA DAO HANGER 10(6X8X14G)</t>
  </si>
  <si>
    <t>OMO NG MATIC THU THAI CTRUOC TUI 4X2KG</t>
  </si>
  <si>
    <t>OMO NG MATIC THU THAI CTRUOC TUI 4X2.9KG</t>
  </si>
  <si>
    <t>LIFEBUOY GRTK BAOVE VUOT TROI10 14X500ML</t>
  </si>
  <si>
    <t>OMO NG MATIC COMFORT HOA HONG TUI 4X2KG</t>
  </si>
  <si>
    <t>COMFORT NXDD CDNC/SAMP 6(1+2)1.6L/120ML</t>
  </si>
  <si>
    <t>COMFORT NXDD CDNC/SL NRCTN 6(800ML+250G)</t>
  </si>
  <si>
    <t>NUOC SUC MIENG P/S PRO COMPLETE 20X300ML</t>
  </si>
  <si>
    <t>KNORR TUONG OT BOTTLE BAC 20X220G</t>
  </si>
  <si>
    <t>KNORR TUONG OT BAC GIA DUNG THU 20X220G</t>
  </si>
  <si>
    <t>LIFEBUOY STMLSK/NRTBVVT R20 8(850G+120G)</t>
  </si>
  <si>
    <t>LIFEBUOY ST THAN HT R20 12(1+1)850G/200G</t>
  </si>
  <si>
    <t>LIFEBUOY ST MCKQ/THT R20 12(850G+200G)</t>
  </si>
  <si>
    <t>LIFEBUOY ST CSD/NRTBVVT R20 8(850G+120G)</t>
  </si>
  <si>
    <t>LIFEBUOY ST/NRT BVVT10 R20 8(850G+120G)</t>
  </si>
  <si>
    <t>HAZELINE ST DSMCLD/YMDT 12(1+1)900G/300G</t>
  </si>
  <si>
    <t xml:space="preserve"> HAZELINE ST DASD YM DT 12(1+1)900G/300G</t>
  </si>
  <si>
    <t>VIEN TREO BC VIM TRA XANH (HANGER) 9X55G</t>
  </si>
  <si>
    <t>OMO BG CF T.D THOM (BALE) RE0120 36X360G</t>
  </si>
  <si>
    <t>OMO MATIC BOT GIAT CUA TRUOC 4X3KG</t>
  </si>
  <si>
    <t>OMO MATIC BOT GIAT CUA TRUOC 3X6KG</t>
  </si>
  <si>
    <t>OMO MATIC BOT GIAT CUA TREN 4X3KG</t>
  </si>
  <si>
    <t>OMO BG CF TDT N.NGAY HONG RE0120 4X2.7KG</t>
  </si>
  <si>
    <t>OMO BG CF TDT N.NAN VANG RE0120 4X2.7KG</t>
  </si>
  <si>
    <t>OMO MATIC BOT GIAT CUA TREN 3X6KG</t>
  </si>
  <si>
    <t>LIFEBUOY HW TOTAL10 POU AW0120 24X450G</t>
  </si>
  <si>
    <t>DOVE DG PHUC HOI HU TON 12X325G</t>
  </si>
  <si>
    <t>DOVE DG PHUC HOI HU TON 8X640G</t>
  </si>
  <si>
    <t>DOVE DG PHUC HOI HU TON 8X880G</t>
  </si>
  <si>
    <t>DOVE KX PHUC HOI HU TON 12X320G</t>
  </si>
  <si>
    <t>DOVE KX PHUC HOI HU TON 8X610G</t>
  </si>
  <si>
    <t>DOVE DG DUONG TOC BONG BENH 8X640G</t>
  </si>
  <si>
    <t>DOVE KX DUONG TOC BONG BENH 12X320G</t>
  </si>
  <si>
    <t>DOVE DG V.NEP SONG DONG TU NHIEN 8X640G</t>
  </si>
  <si>
    <t>DOVE DAU GOI ONG MEM TU NHIEN 8X640G</t>
  </si>
  <si>
    <t>DOVE KEM XA ONG MEM TU NHIEN 8X610G</t>
  </si>
  <si>
    <t>VIM NVS NHA CUA DA NANG 12X500ML</t>
  </si>
  <si>
    <t>CIF KHAN LAU D.NANG CC B.MAT POU 24X30PC</t>
  </si>
  <si>
    <t>SURF BG NH AQUA QUYEN RU RE0220 3X 5.5KG</t>
  </si>
  <si>
    <t>SURF BG HNXV NGAT HUONG XUAN 6x 2KG</t>
  </si>
  <si>
    <t>SURF BG HNXV NGAT H.XUAN RE0220 3X6.8KG</t>
  </si>
  <si>
    <t>SURF BG HNXV NGAT HUONG XUAN 3x 5.8KG</t>
  </si>
  <si>
    <t>SURF BG HNXV NGAT H.XUAN RE0220 36X400G</t>
  </si>
  <si>
    <t>SURF BG HNXV NGAT H.XUAN RE0220 18X800G</t>
  </si>
  <si>
    <t>SURF BG NH GOLD DUYENDANG RE0220 3X5.5KG</t>
  </si>
  <si>
    <t>P/S KDR BV T.DIEN123/THAN HT21(190G+30G)</t>
  </si>
  <si>
    <t>COMFORT NXDD KK DIU NHE (10FR1)330x20ml</t>
  </si>
  <si>
    <t>SURF NG H.S.MAI DMAT TUI RE0220 9X1.7 KG</t>
  </si>
  <si>
    <t>SURF NG H.S.MAI DMAT TUI RE0220 4X3.5 KG</t>
  </si>
  <si>
    <t>SURF NG CO HOA DIEUKI TUI RE0220 9X1.7KG</t>
  </si>
  <si>
    <t>SURF NG CO HOA DIEUKI TUI RE0220 4X3.5KG</t>
  </si>
  <si>
    <t>SURF NG CO HOA DIEU KI RE0220 3X3.8KG</t>
  </si>
  <si>
    <t>KNORR TT XO&amp;T/GVHC TKT 16(1+1)350/28G</t>
  </si>
  <si>
    <t>CF CSC.SAU 1LX H.BAN MAI 12X800ML</t>
  </si>
  <si>
    <t>CF CSC.SAU 1LX H.BAN MAI 300X20ML</t>
  </si>
  <si>
    <t>day</t>
  </si>
  <si>
    <t>COMFORT đậm đặc 1 lần xả hương ban mai 1800ml/4 túi</t>
  </si>
  <si>
    <t>COMFORT đậm đặc 1 lần xả hương ban mai 2800ml/4 túi</t>
  </si>
  <si>
    <t>COMFORT đậm đặc 1 lần xả hương ban mai 3800ml/4 túi</t>
  </si>
  <si>
    <t>COMFORT CSC.SAU 1LX H.GIO XUAN 12X800ML</t>
  </si>
  <si>
    <t>COMFORT CSC.SAU 1LX H.GIO XUAN 300X20ML</t>
  </si>
  <si>
    <t>COMFORT đậm đặc 1 lần xả hương gió xuân 1800ml/4 túi</t>
  </si>
  <si>
    <t>COMFORT đậm đặc 1 lần xả hương gió xuân 2800ml/4 túi</t>
  </si>
  <si>
    <t>COMFORT CSC.SAU K.MUI VUOT TROI 12X800ML</t>
  </si>
  <si>
    <t>COMFORT CSC.SAU K.MUI VUOT TROI 300X20ML</t>
  </si>
  <si>
    <t>COMFORT ngăn ngừa mùi hôi-hương tươi mát 1800ml/4 túi</t>
  </si>
  <si>
    <t>COMFORT ngăn ngừa mùi hôi-hương tươi mát 2800ml/4 túi</t>
  </si>
  <si>
    <t>COMFORT ngăn ngừa mùi hôi-hương tươi mát 3800ml/4 túi</t>
  </si>
  <si>
    <t>COMFORT CSC.SAU NH TN BELLA 12X800ML</t>
  </si>
  <si>
    <t>COMFORT CSC.SAU NH TN BELLA 300X20ML</t>
  </si>
  <si>
    <t>COMFORT hnh t.nhiên bella 1800ml/4 túi</t>
  </si>
  <si>
    <t>COMFORT hnh t.nhiên bella 2800ml/4 túi</t>
  </si>
  <si>
    <t>COMFORT hnh t.nhiên bella 3800ml/4 túi</t>
  </si>
  <si>
    <t>COMFORT CSC.SAU NH TN SOPHIA 12X800ML</t>
  </si>
  <si>
    <t>COMFORT CSC.SAU NH TN SOPHIA 300X20ML</t>
  </si>
  <si>
    <t>COMFORT hnh t.nhiên sophia 1800ml/4 túi</t>
  </si>
  <si>
    <t>COMFORT hnh t.nhiên sophia 2800ml/4 túi</t>
  </si>
  <si>
    <t>COMFORT hnh t.nhiên sophia 3800ml/4 túi</t>
  </si>
  <si>
    <t>LIFEBUOY GDK TAY BV VTTR10 AW0120 6X1.1L</t>
  </si>
  <si>
    <t>TRESEMME dầu gội salon detox 640g/8 chai</t>
  </si>
  <si>
    <t>P/S KDR NSR V.TROI/TH.TRE 21(1+1)180/30G</t>
  </si>
  <si>
    <t>CLEAR dầu gội mát lạnh bạc hà 630g+ Thảo mộc 140g/8 chai</t>
  </si>
  <si>
    <t>SURF BOT GIAT CAO CAP 4X2.7KG</t>
  </si>
  <si>
    <t>SURF BOT GIAT CAO CAP 18X720G</t>
  </si>
  <si>
    <t>SURF NG 3IN1 PREMIUM HHN.DOI TUI 4X3.5KG</t>
  </si>
  <si>
    <t>SURF NG 3IN1 PREMIUM HHN.DOI TUI 4X2.2KG</t>
  </si>
  <si>
    <t>COMFORT CSCS NHTN BELLA (M10T1) 330X20ML</t>
  </si>
  <si>
    <t>COMFORT CSCS NHTN SOPHIA(M10T1) 330X20ML</t>
  </si>
  <si>
    <t>COMFORT CSCS KMVUOTTROI (M10T1) 330X20ML</t>
  </si>
  <si>
    <t>COMFORT CSCS 1LX HGXUAN (M10T1) 330X20ML</t>
  </si>
  <si>
    <t>COMFORT CSCS 1LX HBMAI (M10T1) 330X20ML</t>
  </si>
  <si>
    <t>SUNLIGHT LS HONG/LS XL 6(1B+1P)1KG/550G</t>
  </si>
  <si>
    <t>SUNLIGHT LS XANHLA/LS XL6(1B+1P)1KG/550G</t>
  </si>
  <si>
    <t>KNORR TT&amp;XO&amp;TUY/T.OT 8(1+1)900/220G</t>
  </si>
  <si>
    <t xml:space="preserve"> KNORR TT&amp;XO&amp;T/T.OT NORTH 8(1+1)900/220G</t>
  </si>
  <si>
    <t>LIFEBUOY ST BV VUOT TROI10 8(1+KHAN)850G</t>
  </si>
  <si>
    <t>OMO NG MATIC THU THAI CTRUOC TUI 4X3.7KG</t>
  </si>
  <si>
    <t>COMFORT CS CSAU 1LX H.BAN MAI TUI 4X3.2L</t>
  </si>
  <si>
    <t>COMFORT CS CSAU 1LX H.BAN MAI BTL 6X1.8L</t>
  </si>
  <si>
    <t xml:space="preserve"> SUNLIGHT NRC CHANH 10(1+SPONGE)750G</t>
  </si>
  <si>
    <t xml:space="preserve"> SUNLIGHT NRC T.NHIEN 10(1+SPONGE)750G</t>
  </si>
  <si>
    <t xml:space="preserve"> SUNLIGHT NRC K.M TANH 10(1+SPONGE)750G</t>
  </si>
  <si>
    <t>LIFEBUOY GEL D.KHUAN TAY BVVT10 60X50ML</t>
  </si>
  <si>
    <t>SURF huong hoa loi cuon 1.6l/9 tii</t>
  </si>
  <si>
    <t>SURF huong hoa lan toa 1.6l/9 tui</t>
  </si>
  <si>
    <t>PONDS SRM trang hong rang ro 50g + KDD PONDS Toneup 7g/24bo</t>
  </si>
  <si>
    <t>PONDS SRM trang da tinh khiet 50g + KDD PONDS Toneup 7g/24bo</t>
  </si>
  <si>
    <t>COMFORT NXDD 1LX CDNCAM(STR11)330x20ml</t>
  </si>
  <si>
    <t>CLEAR DG TH.D/LIFEBUOY STTX 8(630G+200G)</t>
  </si>
  <si>
    <t>PONDS WB KDD BAN NGAY SPF30 144X6G</t>
  </si>
  <si>
    <t>LIFEBUOY NRT/GRTK BVVT CTG 12(500G+90ML)</t>
  </si>
  <si>
    <t>CLEAR MEN dg mát lạnh bạc hà 630g+dg 3in1 mát lạnh 140g/8 bộ</t>
  </si>
  <si>
    <t>CLEAR MEN DG SS/3IN1 PD 8(1+1)630G/140G</t>
  </si>
  <si>
    <t>VASELINE SDTCNSPF24 12(1+JELLY50ML)200ML</t>
  </si>
  <si>
    <t>VASELINE SDT PRF10 12(1+JELLY50ML)200ML</t>
  </si>
  <si>
    <t>SUNLIGHT NRC CHANH CHAI 9X1.4KG</t>
  </si>
  <si>
    <t>Sunlight NLS Chanh sa túi samp 18*700G</t>
  </si>
  <si>
    <t>SURF huong hoa loi cuon 10x27ml/24 day</t>
  </si>
  <si>
    <t>SURF huong hoa lan toa 10x27ml/24 day</t>
  </si>
  <si>
    <t>P/S NSM PRO CMPL/T.XANH 24(1+1)300ML/80G</t>
  </si>
  <si>
    <t>P/S NSM FR NTRL/T.XANH 24(1+1)300ML/80G</t>
  </si>
  <si>
    <t>KNORR TUONG OT VI CAY DAM 20X220G</t>
  </si>
  <si>
    <t>CLEAR DG MAT LANH BAC HA AW0320 720X6G</t>
  </si>
  <si>
    <t>CLEAR dầu gội mát lạnh bạc hà 340g/12 chai</t>
  </si>
  <si>
    <t>CLEAR dầu gội mát lạnh bạc hà 170g/36 chai</t>
  </si>
  <si>
    <t>CLEAR dầu gội mát lạnh bạc hà 1.4kg/6 chai</t>
  </si>
  <si>
    <t>CLEAR dầu gội mát lạnh bạc hà 630g/8 chai</t>
  </si>
  <si>
    <t>CLEAR dầu gội mát lạnh bạc hà 880g/8 chai</t>
  </si>
  <si>
    <t>CLEAR men dầu gội mát lạnh bạc hà 340g/12 chai</t>
  </si>
  <si>
    <t>CLEAR men dầu gội mát lạnh bạc hà 170g/36 chai</t>
  </si>
  <si>
    <t>CLEAR DG MEN ML B.HA(12FR2)AW0320 840X5G</t>
  </si>
  <si>
    <t>CLEAR MEN dầu gội mát lạnh bạc hà 630g/8 chai</t>
  </si>
  <si>
    <t>CLEAR men dầu gội mát lạnh bạc hà 900g/8 chai</t>
  </si>
  <si>
    <t>CLEAR men dầu gội mềm sạch sâu 340g/12 chai</t>
  </si>
  <si>
    <t>CLEAR men dầu gội mềm sạch sâu 170g/36 chai</t>
  </si>
  <si>
    <t>CLEAR men dầu gội mềm sạch sâu 630g/8 chai</t>
  </si>
  <si>
    <t>CLEAR men dầu gội mềm sạch sâu 900g/8 chai</t>
  </si>
  <si>
    <t>TRESEMME DG SALON DETOX 8(1+KHAN)640G</t>
  </si>
  <si>
    <t>TRESEMME DG SALON REBOND 8(1+KHAN)640G</t>
  </si>
  <si>
    <t>TRESEMME DG VAONEP MUOT MA 8(1+KHAN)640G</t>
  </si>
  <si>
    <t>Lifebuoy dd diệt khuẩn bảo vệ vượt trội 330ml/24 chai</t>
  </si>
  <si>
    <t>SUNSILK DG MM DKY/TNMMTH 8(1+1)650G/140G</t>
  </si>
  <si>
    <t>SUNSILK DG OM RNG/TNMMTH 8(1+1)650G/140G</t>
  </si>
  <si>
    <t>HAZELINE ST MATCHA&amp;LUU DO 12(1+KHAN)900G</t>
  </si>
  <si>
    <t>HAZELINE ST YMACH DAU TAM 12(1+KHAN)900G</t>
  </si>
  <si>
    <t>SURF NRC hương chanh sả 750g/20 chai</t>
  </si>
  <si>
    <t>SURF NRC CHANH SA 9X1.5KG</t>
  </si>
  <si>
    <t>SURF NRC CHANH SA 3X4KG</t>
  </si>
  <si>
    <t>LIFEBUOY ST CSD/NRT BVVT 8(1+1)850G/450G</t>
  </si>
  <si>
    <t>LIFEBUOY ST/NRT BVVT10 8(1+1)850G/450G</t>
  </si>
  <si>
    <t>CLOSEUP KDR BAC HA/BAC HA 21(1+1)180/30G</t>
  </si>
  <si>
    <t>CLOSEUP KDR LOC DE/BAC HA 21(1+1)180/30G</t>
  </si>
  <si>
    <t>LIFEBUOY STTXKQ/NRT BVVT 8(1+1)850G/120G</t>
  </si>
  <si>
    <t>LIFEBUOY ST THT/NRT BVVT 8(1+1)850G/120G</t>
  </si>
  <si>
    <t>SURF NRC hương tắc 750g/20 chai</t>
  </si>
  <si>
    <t>SURF NRC HUONG TAC RE0120 3X4KG</t>
  </si>
  <si>
    <t>SURF NRC hương tắc 1500g/9 can</t>
  </si>
  <si>
    <t>LIFEBUOY Dầu gội mềm mượt kháng khuẩn 640g/8 chai</t>
  </si>
  <si>
    <t>CLEAR SHAMPOO ICY SAKURA 8X630G</t>
  </si>
  <si>
    <t>BOT CANH TRON VI KNORR 50X190G</t>
  </si>
  <si>
    <t>TRA LIPTON CHANH M.ONG R0121 30X16X14G</t>
  </si>
  <si>
    <t>TRA LIPTON VI DAO R0121 30X16X14G</t>
  </si>
  <si>
    <t>LIPTON TRA NHAN VANG R0121 48X25X2G</t>
  </si>
  <si>
    <t>HAZELINE ST DS MATCHA&amp;LDO 8(1+BOX20)670G</t>
  </si>
  <si>
    <t>SURF BG HNXV NHX/NG HSM DM 18(800G+40G)</t>
  </si>
  <si>
    <t>SURF bg nhxuõn2kg+SURF ng(ch dkỡ 40g và hsmaid?umỏt 40g)/6b?</t>
  </si>
  <si>
    <t>VIM NTR BC NHA TAM/BC THT 10(1+1)900ML</t>
  </si>
  <si>
    <t>VIM TRBC TS THT O.H/BCTHT 10(1+1)880ML</t>
  </si>
  <si>
    <t>VIM TRBC TS CS/BCTHT 10(1+1)880ML</t>
  </si>
  <si>
    <t>LIPTON TRNV/XANH HXG21 18(15S+15S)2/1.5G</t>
  </si>
  <si>
    <t>ONG MINI LIPTON IT CHANH/DAO 30(2X4S)14G</t>
  </si>
  <si>
    <t>TRA LIPTON IT TB21 CH/DA/XO 15(8+4+4)14G</t>
  </si>
  <si>
    <t>TRESEMME dầu gội vào nếp mượt mà 340g/12 chai</t>
  </si>
  <si>
    <t>TRESEMME dầu gội vào nếp mượt mà 640g/8 chai</t>
  </si>
  <si>
    <t>68523193A</t>
  </si>
  <si>
    <t>TRESEMME DG VAONEP MUOT MA RE0121 8X850G</t>
  </si>
  <si>
    <t>TRESEMME dầu xả vào nếp mượt mà 340g/12 chai</t>
  </si>
  <si>
    <t>TRESEMME dầu xả vào nếp mượt mà 620g/8 chai</t>
  </si>
  <si>
    <t>TRESEMME DG VAONEP MUOT MA RE0121 600X7G</t>
  </si>
  <si>
    <t>TRESEMME DX VAONEP MUOT MA RE0121 600X7G</t>
  </si>
  <si>
    <t>KNORR HN T&amp;XO&amp;T GIA UU DAI TET21 16X350G</t>
  </si>
  <si>
    <t>KNORR HN T&amp;XO&amp;T GIA UU DAI TET21 8X900G</t>
  </si>
  <si>
    <t>SUNLIGHT NLS DANH BAY DAU MO CAN 3X3.8KG</t>
  </si>
  <si>
    <t>LIFEBUOY NRT CSD/GRTKBVVT 12(500G+100ML)</t>
  </si>
  <si>
    <t>LIFEBUOY NRT/GRTK BVVT10 12(500G+100ML)</t>
  </si>
  <si>
    <t>PONDS SRM SANG DA BRIGHT BEAUTY 24X100G</t>
  </si>
  <si>
    <t>PONDS SRM SDA SACHSAU PURE BRIGHT 24X50G</t>
  </si>
  <si>
    <t>PONDS SRM SANG DA BRIGHT BEAUTY 24X50G</t>
  </si>
  <si>
    <t>PONDS sữa rửa mặt trắng da tinh khiết 100g/24 tuýp</t>
  </si>
  <si>
    <t>LIFEBUOY ST BV VUOTTROI10 AW0121 6X1.1KG</t>
  </si>
  <si>
    <t>LIFEBUOY ST BVVTROI10 TUI AW0121 12X850G</t>
  </si>
  <si>
    <t xml:space="preserve"> LIFEBUOY SG CARE AW0121 12X850G</t>
  </si>
  <si>
    <t>LIFEBUOY ST CHAM SOC DA AW0121 24X250G</t>
  </si>
  <si>
    <t>LIFEBUOY ST MAT LANH AW0121 12X850G</t>
  </si>
  <si>
    <t>LIFEBUOY ST CHAM SOC DA AW0121 6X1.1KG</t>
  </si>
  <si>
    <t>LIFEBUOY ST BV VUOTTROI10 AW0121 12X850G</t>
  </si>
  <si>
    <t>LIFEBUOY ST BV VUOTTROI10 AW0121 24X250G</t>
  </si>
  <si>
    <t>OMO BG DO/NGAT NGAY SAMP 4X(1+1)3KG/360G</t>
  </si>
  <si>
    <t>VASELINE SDT SUN+POLLUTION 24X200ML</t>
  </si>
  <si>
    <t>VASELINE sữa dưỡng thể trắng da tức thì 200ml/24 chai</t>
  </si>
  <si>
    <t>NSM P/S Active Defense 300ml/20 chai</t>
  </si>
  <si>
    <t>P/S KDR SST ORGNL/NSM 24(1+1)100GX130ML</t>
  </si>
  <si>
    <t>VASELINE SDT SDA PERFECT YOUTH 24X200ML</t>
  </si>
  <si>
    <t>DOVE KX PHUC HOI HU TON 8(1+KHAN)610G</t>
  </si>
  <si>
    <t>DOVE DG NGAN GAY RUNG TOC 8(1+KHAN)640G</t>
  </si>
  <si>
    <t>DOVE DG PHUC HOI HU TON 8(1+KHAN)640G</t>
  </si>
  <si>
    <t>DOVE DG DUONGTOC BONG BENH 8(1+KHAN)640G</t>
  </si>
  <si>
    <t>HAZELINE SRM MCLD/PS KDRTHT 24(100G+30G)</t>
  </si>
  <si>
    <t>HAZELINE SRM YMDT/PS KDRTHT 24(100G+30G)</t>
  </si>
  <si>
    <t>HAZELINE SRM NGKW/PS KDRTHT 24(100G+30G)</t>
  </si>
  <si>
    <t>DOVE ST D.AM D.MAT 12(1+NRTDL 250ML)530G</t>
  </si>
  <si>
    <t>DOVE ST D.AM C.SAU 12(1+NRTDL 250ML)530G</t>
  </si>
  <si>
    <t>DOVE ST CB TUOIMOI 12(1+NRTDL 250ML)530G</t>
  </si>
  <si>
    <t>PONDS SRM SDA/NTT VTM RSE 24(100G+100ML)</t>
  </si>
  <si>
    <t>PONDS SRM SDA/NTT VTM CCL 24(100G+100ML)</t>
  </si>
  <si>
    <t>PONDS SRM SDA/NTT VTM MLK 24(100G+100ML)</t>
  </si>
  <si>
    <t>VIM TS C.SA/SL NLS DV 6(880ML+550G)</t>
  </si>
  <si>
    <t>VIM TTH TINH/SL NLS DV 6(880ML+550G)</t>
  </si>
  <si>
    <t>SUNSILK DX O.M RANG NGOI (12FR1) 780X6G</t>
  </si>
  <si>
    <t>SUNSILK DX M.MUOT DIEU KI (12FR1) 780X6G</t>
  </si>
  <si>
    <t>SUNSILK DG O.M RANG NGOI (12FR1) 780X6G</t>
  </si>
  <si>
    <t>SUNSILK DG M.MUOT DIEU KI (12FR1) 780X6G</t>
  </si>
  <si>
    <t>P/S KDR TR.X/NSM CMPLT 15(1+1)190G/130ML</t>
  </si>
  <si>
    <t>P/S KDR TR XANH/B.SODA 21(1+1)190/30G</t>
  </si>
  <si>
    <t>OMO BG CF TDT NNAN/NN SAMP 3X(5.5KG+1KG)</t>
  </si>
  <si>
    <t>OMO BG CF TDT NNGAY/NN SAMP 3(5.5KG+1KG)</t>
  </si>
  <si>
    <t>OMO BG DO/ CF NONG NAN 3X(1+1)6KG/1KG</t>
  </si>
  <si>
    <t>PONDS KD S.DA FRD DEUMAU BNGAY 4X3X50G</t>
  </si>
  <si>
    <t>PONDS KEM TR.DIEM SANGDA DEU MAU 4X3X25G</t>
  </si>
  <si>
    <t>PONDS KD S.DA FRD DEUMAU BDEM 4X3X50G</t>
  </si>
  <si>
    <t>COMFORT đậm đặc 1 lần xả hương ban mai 1200ml/9 túi</t>
  </si>
  <si>
    <t>COMFORT ngăn ngừa mùi hôi-hương tươi mát 1200ml/9 túi</t>
  </si>
  <si>
    <t>LIFEBUOY XBC CHAM SOC DA 24(3+KHAN)90G</t>
  </si>
  <si>
    <t>LIFEBUOY XBC BV VUOT TROI 24(3+KHAN)90G</t>
  </si>
  <si>
    <t>LIFEBUOY NRT CHANH KHU MUI 36X180G</t>
  </si>
  <si>
    <t>LIFEBUOY NRT CHANH KHU MUI 12X500G</t>
  </si>
  <si>
    <t>LIFEBUOY NRT SUA DUONG AM 12X500G</t>
  </si>
  <si>
    <t>LIFEBUOY NRT SUA DUONG AM 36X180G</t>
  </si>
  <si>
    <t>LIFEBUOY NRT BAC BAO VE 12X500G</t>
  </si>
  <si>
    <t>LIFEBUOY NRT BAC BAO VE TUI 24X450G</t>
  </si>
  <si>
    <t>LIFEBUOY NRT BAC BAO VE 36X180G</t>
  </si>
  <si>
    <t>LIFEBUOY sữa tắm bảo vệ vượt trội 850g+ matcha 200g/12 bộ</t>
  </si>
  <si>
    <t>LIFEBUOY sữa tắm chăm sóc da 850g + matcha 200g/12 bộ</t>
  </si>
  <si>
    <t>LIFEBUOY sữa tắm mát lạnh 850g + matcha 200g/12 bộ</t>
  </si>
  <si>
    <t>LIFEBUOY ST MLSK/THT R21 12(850G+200G)</t>
  </si>
  <si>
    <t>LIFEBUOY ST CSDA/THT R21 12(850G+200G)</t>
  </si>
  <si>
    <t>LIFEBUOY ST BVVT10/THT R21 12(850G+200G)</t>
  </si>
  <si>
    <t>LIFEBUOY ST BV VUOT TROI 8(1+KHAN21)850G</t>
  </si>
  <si>
    <t>LIFEBUOY ST CHAM SOC DA 8(1+KHAN21)850G</t>
  </si>
  <si>
    <t>LIFEBUOY ST ML S.KHOAI R21 8(1+KHAN)850G</t>
  </si>
  <si>
    <t>SUNSILK DG OM RNGOI/CKNH 12(1+1)320G/70G</t>
  </si>
  <si>
    <t>SUNSILK DG MMUOT DK/CKNH 12(1+1)320G/70G</t>
  </si>
  <si>
    <t>TUONG OT KNORR TRON 5VI CAY DAM 12X450G</t>
  </si>
  <si>
    <t>P/S KDR NSR V.TROI/B.SODA 21(180G+30G)</t>
  </si>
  <si>
    <t>P/S KDR THAN HT/NSM Y21 15(180G+130ML)</t>
  </si>
  <si>
    <t>P/S KDR B.SODA/NSM Y21 15(180G+130ML)</t>
  </si>
  <si>
    <t>CLEAR DGMEN MLBH/3IN1 ML 12(1+1)340G/70G</t>
  </si>
  <si>
    <t>CLEAR DG MLANH BH/T.DUOC 12(1+1)340G/70G</t>
  </si>
  <si>
    <t xml:space="preserve"> CLEAR DG MEN M.LANH B.HA 8(1+KHAN21)630G</t>
  </si>
  <si>
    <t>CLEAR dầu gội mát lạnh bạc hà 630g + khăn/8 bộ</t>
  </si>
  <si>
    <t xml:space="preserve"> CLEAR DG MAT LANH BAC HA 8(1+KHAN21)880G</t>
  </si>
  <si>
    <t>LUX ST BTNCL HG PHONGLAN QUYENRU 1008X6G</t>
  </si>
  <si>
    <t>DOVE kem xả ngăn gãy rụng tóc 320g/12 chai</t>
  </si>
  <si>
    <t>DOVE KX NGAN GAY RUNG TOC AW0121 720X6G</t>
  </si>
  <si>
    <t>DOVE KX PHUC HOI HU TON AW0121 720X6G</t>
  </si>
  <si>
    <t>DOVE kem xả phục hồi hư tổn 170g/24 tuýp</t>
  </si>
  <si>
    <t>DOVE kem xả phục hồi hư tổn 320g/12 chai</t>
  </si>
  <si>
    <t>DOVE kem xả phục hồi hư tổn 610g/8 chai</t>
  </si>
  <si>
    <t>68592204A</t>
  </si>
  <si>
    <t>DOVE kem xả óng mềm tự nhiên 610g/8 chai</t>
  </si>
  <si>
    <t>DOVE kem xả dưỡng tóc bồng bềnh 320g/12 chai</t>
  </si>
  <si>
    <t>DOVE dầu gội phục hồi hư tổn 170g/36 chai</t>
  </si>
  <si>
    <t>DOVE DG PHUC HOI HU TON AW0121 720X6G</t>
  </si>
  <si>
    <t>DOVE dầu gội ngăn gãy rụng tóc 325g/12 chai</t>
  </si>
  <si>
    <t>DOVE dầu gội ngăn gãy rụng tóc 6gx12/60 dây</t>
  </si>
  <si>
    <t>DOVE dầu gội ngăn gãy rụng tóc 640g/8 chai</t>
  </si>
  <si>
    <t>68592228A</t>
  </si>
  <si>
    <t>DOVE dầu gội ngăn gãy rụng tóc 880g/8 chai</t>
  </si>
  <si>
    <t>DOVE dầu gội phục hồi hư tổn 1400g/6 chai</t>
  </si>
  <si>
    <t>DOVE dầu gội phục hồi tóc hư tổn 325g/12 chai</t>
  </si>
  <si>
    <t>DOVE dầu gội phục hồi tóc hư tổn 640g/8 chai</t>
  </si>
  <si>
    <t>68592236A</t>
  </si>
  <si>
    <t>DOVE DG PHUC HOI HU TON AW0121 8X880G</t>
  </si>
  <si>
    <t>DOVE dầu gội óng mềm tự nhiên 640g/8 chai</t>
  </si>
  <si>
    <t>68592244A</t>
  </si>
  <si>
    <t>DOVE dầu gội vào nếp sống động tự nhiên 640g/8 chai</t>
  </si>
  <si>
    <t>DOVE dầu gội dưỡng tóc bồng bềnh 325g/12 chai</t>
  </si>
  <si>
    <t>DOVE DG D.TOC BONG BENH AW0121 720X6G</t>
  </si>
  <si>
    <t>DOVE dầu gội dưỡng tóc bồng bềnh 640g/8 chai</t>
  </si>
  <si>
    <t>LIFEBUOY DG TMM/NRT BVVT 8(1+1)640G/120G</t>
  </si>
  <si>
    <t>LIFEBUOY DG TDOA/NRTBVVT 8(1+1)640G/120G</t>
  </si>
  <si>
    <t>SUNLIGH DW NTR ESSENCE SAMP 24X370G</t>
  </si>
  <si>
    <t>OMO NGMG CF TDTHOM/SUNLIGHT4(2.9KG+370G)</t>
  </si>
  <si>
    <t>OMO NG MG CF TDTHOM/SUNLIGHT 4(2KG+370G)</t>
  </si>
  <si>
    <t>OMO NG MG CF HHHONG/SUNLIGHT 4(2KG+370G)</t>
  </si>
  <si>
    <t>OMO NG MG CTREN/SUNLIGHT 4(2KG+370G)</t>
  </si>
  <si>
    <t>OMO NG MG CTREN/SUNLIGHT 4(3.1KG+370G)</t>
  </si>
  <si>
    <t>SURF NRC hương chanh sả 1500g/9 can</t>
  </si>
  <si>
    <t>PONDS KDD TH RRO WHT BTY BN SPF30 144X7G</t>
  </si>
  <si>
    <t>COMFORT NX1LX DD C.D NHAY CAM 12X800ML</t>
  </si>
  <si>
    <t>COMFORT NX1LX DD C.D NHAY CAM 6X1.8L</t>
  </si>
  <si>
    <t>COMFORT NX1LX DD C.D NHAY CAM 3X3.8L</t>
  </si>
  <si>
    <t>COMFORT đậm đặc cho da nhạy cảm 800ml/12 túi</t>
  </si>
  <si>
    <t>COMFORT đậm đặc cho da nhạy cảm 1.8l/4 túi</t>
  </si>
  <si>
    <t>COMFORT đậm đặc cho da nhạy cảm 2.8l/4 túi</t>
  </si>
  <si>
    <t>COMFORT đậm đặc cho da nhạy cảm 3.2l/4 túi</t>
  </si>
  <si>
    <t>COMFORT đậm đặc cho da nhạy cảm 3.8l/4 túi</t>
  </si>
  <si>
    <t>COMFORT đậm đặc kháng khuẩn diu nhẹ 1.8l/4 túi</t>
  </si>
  <si>
    <t>COMFORT đậm đặc kháng khuẩn diu nhẹ 2.8l/4 túi</t>
  </si>
  <si>
    <t>COMFORT Đậm Đặc 1 Lần Xả Hương Ban Mai 5L/2 chai</t>
  </si>
  <si>
    <t>COMFORT đậm đặc cho da nhạy cảm 5l/2 chai</t>
  </si>
  <si>
    <t>HAZELINE ST SDDA YM DTAM RE0121 12X900G</t>
  </si>
  <si>
    <t>HAZELINE ST SMRN MTCH&amp;LDO RE0121 12X900G</t>
  </si>
  <si>
    <t>HAZELINE ST MXSMSS CAMCHR RE0121 12X900G</t>
  </si>
  <si>
    <t>HAZELINE ST SDDA YM DTAM RE0121 8X670G</t>
  </si>
  <si>
    <t>HAZELINE ST SMRN MTCH&amp;LDO RE0121 8X670G</t>
  </si>
  <si>
    <t>HAZELINE ST MX SMSS CAMCHR RE0121 8X670G</t>
  </si>
  <si>
    <t>HAZELINE ST SMRN MC&amp;LDO RE0121 1008X4.5G</t>
  </si>
  <si>
    <t>HAZELINE ST SDDA YM DT RE0121 1008X4.5G</t>
  </si>
  <si>
    <t>CLOSEUP KDR BAC HA/B.HA Y21 21(180G+30G)</t>
  </si>
  <si>
    <t>CLOSEUP KDR LOC DE/B.HA Y21 21(180G+30G)</t>
  </si>
  <si>
    <t>P/S KDR T.XANH/CHARCOAL Y21 21(190G+30G)</t>
  </si>
  <si>
    <t>SUNLIGHT NLS TDT MOC HHA BAC HA 3X3.8KG</t>
  </si>
  <si>
    <t>SUNLIGHT NLS TDT MOC HDVY BACHDAN 12X1KG</t>
  </si>
  <si>
    <t>NLS SUNLIGHT TDTMOC HDVY BACHDAN 3X3.8KG</t>
  </si>
  <si>
    <t>NLS SUNLIGHT TDT MOC HLILY HTHAO 12X1KG</t>
  </si>
  <si>
    <t>NLS SUNLIGHT TDT MOC HLILY HTHAO 3X3.8KG</t>
  </si>
  <si>
    <t>NLS SUNLIGHT TDTHAO MOC SA CHANH 12X1KG</t>
  </si>
  <si>
    <t>NLS SUNLIGHT TDTHAO MOC SA CHANH 3X3.6KG</t>
  </si>
  <si>
    <t>SUNLIGHT NLS TDT MOC HHA BAC HA 12X1KG</t>
  </si>
  <si>
    <t>DOVE DG P.HOI HUTON/OMTN 12(1+1)325G/70G</t>
  </si>
  <si>
    <t xml:space="preserve"> COMFORT CSCS 1LX BMAI/SAMP 4(1.8L+250ML)</t>
  </si>
  <si>
    <t xml:space="preserve"> COMFORT CSCS1LX GXUAN/SAMP 4(1.8L+250ML)</t>
  </si>
  <si>
    <t xml:space="preserve"> COMFORT CSCS NNMH HTM/SAMP 4(1.8L+250ML)</t>
  </si>
  <si>
    <t>LUX ST BTNCL HG PHONGLAN QUYENRU 12X530G</t>
  </si>
  <si>
    <t>LUX ST BTNCL HG HONGPHAP NONGNAN 12X530G</t>
  </si>
  <si>
    <t>LUX ST BTNCL HG LANTIEN&amp;TRAMTRA 12X530G</t>
  </si>
  <si>
    <t>COMFORT CSCS BLL/SFIA SAMP4(1.8L+250ML)</t>
  </si>
  <si>
    <t>COMFORT CSCS HNHTN SPH/SAMP4(1.8L+250ML)</t>
  </si>
  <si>
    <t>COMFORT DD CDA NHAY CAM RE0121 300X20ml</t>
  </si>
  <si>
    <t>COMFORT DD KK DIU NHE RE0121 300X20ml</t>
  </si>
  <si>
    <t xml:space="preserve"> PONDS SRM SDSS PB/NTT SUA 24(100G+100ML)</t>
  </si>
  <si>
    <t xml:space="preserve"> PONDS SRM LSD WB/N.TONG 24(1+1)50G/40G</t>
  </si>
  <si>
    <t xml:space="preserve"> PONDS SRM SDSS PB/N.TONG 24(1+1)50G/40G</t>
  </si>
  <si>
    <t>SUNLIGHT NLS TDTM HHA BAC HA TUI 4x2KG</t>
  </si>
  <si>
    <t>SUNLIGHT NLS TDTM HLILY HTHAO TUI 4x2KG</t>
  </si>
  <si>
    <t>SUNLIGHT nls tinh dầu thảo mộc hoa hạ bạc hà 3.6kg/4 túi</t>
  </si>
  <si>
    <t>SUNLIGHT NLS TDTM HLLY HTHAO TUI 4X3.6KG</t>
  </si>
  <si>
    <t>SUNLIGHT NLS TDTM SA CHANH TUI 4X3.4KG</t>
  </si>
  <si>
    <t>CLEAR DG MAT LANH BAC HA (12FR1) 780X6G</t>
  </si>
  <si>
    <t>CLEAR DG 9 THAO DUOC QUY (12FR1) 780X6G</t>
  </si>
  <si>
    <t xml:space="preserve"> LIFEBUOY NRT BVVT10/PSTX 12(1+1)500G/80G</t>
  </si>
  <si>
    <t xml:space="preserve"> LIFEBUOY NRT CSDA/PS TX 12(1+1)500G/80G</t>
  </si>
  <si>
    <t>LIFEBUOY NRT MC&amp;ND/PS TX 12(1+1)500G/80G</t>
  </si>
  <si>
    <t>LIFEBUOY NRT THT&amp;BH/PSTX 12(1+1)500G/80G</t>
  </si>
  <si>
    <t>VASELINE SDT PERFECT YOUTH 24X200ML</t>
  </si>
  <si>
    <t>SURF BG HNXV NGAT HXUAN RE0121 3X5.8KG</t>
  </si>
  <si>
    <t>goi</t>
  </si>
  <si>
    <t>SURF BG NH GOLD DUYENDANG RE0121 3X5.5KG</t>
  </si>
  <si>
    <t>SURF BG HNXV NGAT H.XUAN RE0121 18X800G</t>
  </si>
  <si>
    <t>SURF BG HNXV NHXUAN RE0121 36X400G</t>
  </si>
  <si>
    <t>SURF BG HNXV NGAT H.XUAN RE0121 3X6.8KG</t>
  </si>
  <si>
    <t>SURF BG HNXV NGAT H.XUAN RE0121 6X2KG</t>
  </si>
  <si>
    <t>SURF BG NH AQUA QUYEN RU RE0121 3X5.5KG</t>
  </si>
  <si>
    <t>SURF NG HNXV H.C.H DIEU KY TUI 4X3.5KG</t>
  </si>
  <si>
    <t>SURF NG HNXV H.C.H DIEU KY TUI 4X2.2KG</t>
  </si>
  <si>
    <t>SURF NG HNXV H.S.MAI DIU MAT TUI 4X3.5KG</t>
  </si>
  <si>
    <t>SURF NG HNXV H.C.H DIEU KY CHAI 3X3.6KG</t>
  </si>
  <si>
    <t>CAN</t>
  </si>
  <si>
    <t xml:space="preserve"> CLEAR BH/DOVE/SSK OM/MM 5(48+24+48+24)6G</t>
  </si>
  <si>
    <t>OMO Viên Giặt 3 Trong 1 Siêu Đậm Đặc - Bền Màu 442G/3 Túi</t>
  </si>
  <si>
    <t>OMO Viên Giặt 3 Trong 1 Siêu Đậm Đặc - Khử Mùi 442G/3 Túi</t>
  </si>
  <si>
    <t>TRA LIPTON ICE TEA CHANH R0221 30X16X14G</t>
  </si>
  <si>
    <t>TRA LIPTON ICE TEA DAO R0221 30X16X14G</t>
  </si>
  <si>
    <t>SUNLIGHT NLS TNHIEN CHAI P0121 3X3.6KG</t>
  </si>
  <si>
    <t>SUNLIGHT NLS TNHIEN CHAI P0121 12X1KG</t>
  </si>
  <si>
    <t>COMFORT hnh t.nhiên sofia 3.2l//4 túi</t>
  </si>
  <si>
    <t>TRA LIPTON IC CHANH M.O16(2X16X14G+BINH)</t>
  </si>
  <si>
    <t>TRA LIPTON IC VI DAO 16(2X16X14G+BINH)</t>
  </si>
  <si>
    <t>COMFORT NX CD N.CAM/OMO HHH 3(1.8L+412G)</t>
  </si>
  <si>
    <t>COMFORT CSCS 1LX BM/OMO HHH 3(1.8L+412G)</t>
  </si>
  <si>
    <t>COMFORT CSCS 1LX GX/OMO HHH 3(1.8L+412G)</t>
  </si>
  <si>
    <t>COMFORT DD NNMH H.T.MAT/OMO 3(1.8L+412G)</t>
  </si>
  <si>
    <t>COMFORT CSCS HNHTN BLA/OMO 3(1.8L+412G)</t>
  </si>
  <si>
    <t>COMFORT CSCS HNHTN SPH/OMO 3(1.8L+412G)</t>
  </si>
  <si>
    <t>SUNSILK DG ONGMUOT R.NGOI AW0121 720X6G</t>
  </si>
  <si>
    <t>SUNSILK DG ONGMUOT R.NGOI AW0121 36X170G</t>
  </si>
  <si>
    <t>SUNSILK DG ONGMUOT R.NGOI AW0121 24X320G</t>
  </si>
  <si>
    <t>SUNSILK DG ONG MUOT R.NGOI AW0121 8X650G</t>
  </si>
  <si>
    <t>SUNSILK DG ONGMUOT R.NGOI AW0121 6X1.4KG</t>
  </si>
  <si>
    <t>SUNSILK DX ONG MUOT R.NGOI AW0121 720X6G</t>
  </si>
  <si>
    <t>SUNSILK DG MEM MUOT DIEUKI AW0121 720X6G</t>
  </si>
  <si>
    <t>SUNSILK DG M.MUOT DIEU KI AW0121 36X170G</t>
  </si>
  <si>
    <t>SUNSILK DG MEMMUOT DIEUKY AW0121 24X320G</t>
  </si>
  <si>
    <t>SUNSILK DG MEM MUOT DIEUKY AW0121 8X650G</t>
  </si>
  <si>
    <t>SUNSILK dầu gội mềm mượt diệu kỳ 1.4kg/6 chai</t>
  </si>
  <si>
    <t>SUNSILK DX MEM MUOT DIEUKY AW0121 720X6G</t>
  </si>
  <si>
    <t>SUNSILK DG D.NGAN GAY RUNG AW0121 8X650G</t>
  </si>
  <si>
    <t>SUNSILK DG M.MUOT TOAHUONG AW0121 8X650G</t>
  </si>
  <si>
    <t>SUNSILK DG ONG MUOT R.NGOI AW0121 8X900G</t>
  </si>
  <si>
    <t>SUNSILK DX ONGMUOT R.NGOI AW0121 12X320G</t>
  </si>
  <si>
    <t>SUNSILK dầu gội mềm mượt diệu kỳ 900g/8 chai</t>
  </si>
  <si>
    <t>SUNSILK DX MEMMUOT DIEUKY AW0121 24X170G</t>
  </si>
  <si>
    <t>SUNSILK DX MEMMUOT DIEUKY AW0121 12X320G</t>
  </si>
  <si>
    <t>SUNSILK DX D.NGAN GAYRUNG AW0121 12X320G</t>
  </si>
  <si>
    <t>SUNSILK dầu xả mềm mượt tỏa hương 320g/12 chai</t>
  </si>
  <si>
    <t>DOVE kem xả óng mềm tự nhiên 320g/12 chai</t>
  </si>
  <si>
    <t>DOVE kem xả vào nếp sống động tự nhiên 320g/12 chai</t>
  </si>
  <si>
    <t>LIFEBUOY NLS BOTANI 12X1000G</t>
  </si>
  <si>
    <t>SUNLIGHT NLS DIEN VY/NRC TN 8(1KG+370G)</t>
  </si>
  <si>
    <t>SUNLIGHT NLS TN S&amp;C YZ/NRC TN8(1KG+370G)</t>
  </si>
  <si>
    <t>SUNLIGHT NLS LILY/NRC TN8(1KG+370G)</t>
  </si>
  <si>
    <t>SUNLIGHT NLS TN T&amp;L.H/NRC TN 8(1KG+370G)</t>
  </si>
  <si>
    <t>VIM NTBC NT/NRC TN 8(900ML+370G)</t>
  </si>
  <si>
    <t>VIM TRANG T.H.T&amp;O.H/NRC TN 8(880ML+370G)</t>
  </si>
  <si>
    <t>VIM TRANG SANG C.SA/NRC TN 8(880ML+370G)</t>
  </si>
  <si>
    <t>LIFEBUOY ST BVVTTROI10 6(1+HOPBUT21)850G</t>
  </si>
  <si>
    <t>LIFEBUOY ST CHAMSOC DA 6(1+HOPBUT21)850G</t>
  </si>
  <si>
    <t>LIFEBUOY ST MAT LANH 6(1+HOPBUT21)850G</t>
  </si>
  <si>
    <t>LIFEBUOY ST TXANH KHOQUA 6(1+HOPBUT)850G</t>
  </si>
  <si>
    <t>LIFEBUOY ST TH.HT BAC HA 6(1+HOPBUT)850G</t>
  </si>
  <si>
    <t>KNORR TUONG OT M.BAC BO DOI 10X2X220G</t>
  </si>
  <si>
    <t>COMFORT đậm đặc 1 lần xả hương ban mai 3200ml/4 túi</t>
  </si>
  <si>
    <t>COMFORT ngăn ngừa mùi hôi-hương tươi mát 3200ml/4 túi</t>
  </si>
  <si>
    <t>HAZELINE ST MCLD/YMDT R21 12(900G+300G)</t>
  </si>
  <si>
    <t>HAZELINE ST SDDA YM DT R21 12(900G+300G)</t>
  </si>
  <si>
    <t>HAZELINE ST MTCH LUU DO 8(1+KHAN21)670G</t>
  </si>
  <si>
    <t>HAZELINE ST YMACH DTAM 8(1+KHAN21)670G</t>
  </si>
  <si>
    <t>HAZELINE SDT TXANH&amp;LUUDO RE0121 24X230ML</t>
  </si>
  <si>
    <t>HAZELINE sữa dưỡng thể yến mạch &amp; dâu tằm 230ml/24 chai</t>
  </si>
  <si>
    <t>SURF NX KHU MUI PURPLE 240X25ML</t>
  </si>
  <si>
    <t>SURF NX KHU MUI PINK 240X25ML</t>
  </si>
  <si>
    <t>LIFEBUOY NRT MTC/GRTKBVVT 12(500G+100ML)</t>
  </si>
  <si>
    <t>LIFEBUOY NRT THT/GRTKBVVT 12(500G+100ML)</t>
  </si>
  <si>
    <t>LIFEBUOY ST THAN HT BACHA RE0121 12X850G</t>
  </si>
  <si>
    <t>LIFEBUOY ST T.XANH KHOQUA RE0121 12X850G</t>
  </si>
  <si>
    <t>OMO BGCF TDT NNAN/CF NX NNMH3(4KG+400ML)</t>
  </si>
  <si>
    <t>OMO BGCF TDT NNG/CF NX NNMH 3(4KG+400ML)</t>
  </si>
  <si>
    <t>OMO BG DO/CF NX NNMH 3(4.5KG+400ML)</t>
  </si>
  <si>
    <t>SURF BG HNXV NHXUAN/NG HSMDM18(800G+40G)</t>
  </si>
  <si>
    <t>SURF BG HNXV NHX/NG HSMDM 6(2KG+40G+40G)</t>
  </si>
  <si>
    <t>GÓI</t>
  </si>
  <si>
    <t>SURF BG HNXV NHXUAN/NG CHDK 18(800G+40G)</t>
  </si>
  <si>
    <t>TRESEMME DG/DX KRTSM R21 8(1+1)640G/140G</t>
  </si>
  <si>
    <t>LIFEBUOY ST TRAM TRA MUOI HONG 12X850G</t>
  </si>
  <si>
    <t>CLOSE UP KDR L.DE/M.CHANH 21(180G+30G)</t>
  </si>
  <si>
    <t>KNORR T&amp;XO&amp;T/T.OT CAY DAM 16(1+1)350/30G</t>
  </si>
  <si>
    <t>DOVE dầu gội ngăn gãy rụng tóc 640g + dầu xả 140g/8 bộ</t>
  </si>
  <si>
    <t>DOVE dầu gội dưỡng tóc bồng bềnh 640g + dầu xả 140g/ 8 bộ</t>
  </si>
  <si>
    <t>DOVE dầu gội phục hồi hư tổn 640g + dầu xả 140g/8 bộ</t>
  </si>
  <si>
    <t>DOVE dầu xả phục hồi hư tổn 610g + dầu gội 140g/8 bộ</t>
  </si>
  <si>
    <t>P/S KDR NSR VT/THAN TRE Y21 21(180+30G)</t>
  </si>
  <si>
    <t>OMO NGMG BD CTRC/CF NX TUI4(2.9KG+350ML)</t>
  </si>
  <si>
    <t>OMO NGMG BD CTRC/CF NX TUI 4(2KG+350ML)</t>
  </si>
  <si>
    <t>OMO NGMG CF HH/CF NX TUI 4(2KG+350ML)</t>
  </si>
  <si>
    <t>OMO NGMG CF TDT/CF NX TUI 4(2.9KG+350ML)</t>
  </si>
  <si>
    <t>OMO NGMG CF TDT/CF NX TUI 4(2KG+350ML)</t>
  </si>
  <si>
    <t>OMO NGMG CTRN/CF NX TUI 4(2.2KG+350ML)</t>
  </si>
  <si>
    <t>OMO NGMG CTRN/CF NX TUI 4(3.1KG+350ML)</t>
  </si>
  <si>
    <t>OMO NG MG CHO QUAN AO BE YEU TUI 4X2KG</t>
  </si>
  <si>
    <t>OMO NG MG CHO QUAN AO BE YEU TUI 4X2.9KG</t>
  </si>
  <si>
    <t>OMO NG MG CHO QUAN AO BE YEU TUI 4X3.6KG</t>
  </si>
  <si>
    <t>LUX ST BTNCL HONG PHAP NONG NAN 1008X6G</t>
  </si>
  <si>
    <t>SIMPLE gel rửa mặt tlda ksbn&amp; sạch mụn 150ml/ 6 tuýp</t>
  </si>
  <si>
    <t>SIMPLE srm sạch thoáng không chứa xà phòng 150ml/6 tuýp</t>
  </si>
  <si>
    <t>DOVE kem xả matcha &amp; hoa anh đào 610g/8chai</t>
  </si>
  <si>
    <t>PONDS SRM WBTY/MN HONEY 24(1+1)50G/25G</t>
  </si>
  <si>
    <t>PONDS SRM PRE BR/MN HONEY 24(1+1)50G/25G</t>
  </si>
  <si>
    <t>PONDS KDSD B.NG/MN HONEY 24(1+2)30G/25G</t>
  </si>
  <si>
    <t>PONDS KDSD BDEM/MN HONEY 24(1+2)30G/25G</t>
  </si>
  <si>
    <t>VIM T.S LVNDR THAN HTINH RE0121 16X870ML</t>
  </si>
  <si>
    <t>VIM TR.SANG H.CHANH SA RE0121 16X870ML</t>
  </si>
  <si>
    <t>68685711A</t>
  </si>
  <si>
    <t>VIM tẩy rửa trắng sáng hương chanh sả 870ml/16 chai</t>
  </si>
  <si>
    <t>SURF NRC HUONG TAC RE0121 3X3.8KG</t>
  </si>
  <si>
    <t>SURF NRC CHANH SA 3X3.8KG</t>
  </si>
  <si>
    <t>COMFORT CSCS 1LX BANMAI/OMO 3(2.8L+412G)</t>
  </si>
  <si>
    <t>COMFORT CSCS 1LX G.XUAN/OMO 3(2.8L+412G)</t>
  </si>
  <si>
    <t>COMFORT CSCS NNMH HTM/OMO 3(2.8L+412G)</t>
  </si>
  <si>
    <t>COMFORT CSCS HNHTN BLA/OMO 3(2.8L+412G)</t>
  </si>
  <si>
    <t>CLEAR dg bạc hà 630g+dg 3in1 mát lạnh 140g/8 bộ</t>
  </si>
  <si>
    <t>LIFEBUOY XBC CHAMSOC DA 24(3+KHAN MT)90G</t>
  </si>
  <si>
    <t>LIFEBUOY XBC BV VTTROI 24(3+KHAN MT)90G</t>
  </si>
  <si>
    <t>OMO NG MTC CUA TREN  AW0121 4X2.7KG</t>
  </si>
  <si>
    <t>OMO NG MTC CUA TREN  AW0121 4X2.2KG</t>
  </si>
  <si>
    <t>OMO NG MTC CUA TREN TUI  AW0121 4X3.1KG</t>
  </si>
  <si>
    <t>OMO NG MTC CUA TREN  AW0121 4X4.2KG</t>
  </si>
  <si>
    <t>OMO NG MTC TTHAI CTRC TUI AW0121 4X2.9KG</t>
  </si>
  <si>
    <t>OMO NG MTC THUTHAI CTRC TUI AW0121 4X2KG</t>
  </si>
  <si>
    <t>SUNSILK DX MEM MUOT DIEU KY 8X640G</t>
  </si>
  <si>
    <t>LUX sữa tắm phong lan quyến rũ 530g + 2 sữa tắm 100g/10 bộ</t>
  </si>
  <si>
    <t>LUX sữa tắm hồng pháp nồng nàn 530g + 2 sữa tắm 100g/10 bộ</t>
  </si>
  <si>
    <t>LUX sữa tắm lan tiên và tràm trà 530g + 2 sữa tắm 100g/10 bộ</t>
  </si>
  <si>
    <t>OMO BG CF TDT NGAT NGAY RE0121 18X720G</t>
  </si>
  <si>
    <t>OMO BG CF TDT NGAT NGAY RE0121 3X4KG</t>
  </si>
  <si>
    <t>OMO bg cf tdt ngất ngay hồng 5.5kg/3 gói</t>
  </si>
  <si>
    <t>OMO BG CF TDT NGAT NGAY RE0121 4X2.7KG</t>
  </si>
  <si>
    <t>P/S KDR BAKING SODA/B.SODA 21(180G+30G)</t>
  </si>
  <si>
    <t>P/S KDR THAN HT/BAKING SODA 21(180G+30G)</t>
  </si>
  <si>
    <t>LIFEBUOY nước rửa tay chuyên dụng 4kg/3can</t>
  </si>
  <si>
    <t>LIFEBUOY NRT BAC BAO VE 3X4KG</t>
  </si>
  <si>
    <t>VIM TOILET XANH BIEN 16X880ML</t>
  </si>
  <si>
    <t>68701125A</t>
  </si>
  <si>
    <t>KNORR TUONG OT CAY DAM AW0521_20X220G</t>
  </si>
  <si>
    <t>COMFORT NGDV HTTHUONG TUI RE0121 4X3.6KG</t>
  </si>
  <si>
    <t>COMFORT NGDV HTTHUONG TUI RE0121 4X2.2KG</t>
  </si>
  <si>
    <t>COMFORT NG DV HTLICH TUI RE0121 4X2.2KG</t>
  </si>
  <si>
    <t>COMFORT NG DV HTLICH TUI RE0121 4X3.6KG</t>
  </si>
  <si>
    <t>KNORR HN TT&amp;XO&amp;TUY TET22 DT 16X400G</t>
  </si>
  <si>
    <t>KNORR HN TT&amp;XO&amp;TUY TET22 DT 8X900G</t>
  </si>
  <si>
    <t>KNORR HAT NEM TT&amp;XO&amp;T_3 32X170G</t>
  </si>
  <si>
    <t>KNORR HAT NEM TT&amp;XO&amp;T_3 16X400G</t>
  </si>
  <si>
    <t>KNORR HAT NEM TT&amp;XO&amp;T_3 8X900G</t>
  </si>
  <si>
    <t>KNORR HAT NEM TT&amp;XO&amp;T_3 5X1.8KG</t>
  </si>
  <si>
    <t>KNORR HN NH ORG BNDL DT VULAN 8(2X380G)</t>
  </si>
  <si>
    <t>LIFEBUOY NUOC LAU DA NANG 12X500ML</t>
  </si>
  <si>
    <t>LIFEBUOY ST CSDA/TRAMTRA ML12(850G+200G)</t>
  </si>
  <si>
    <t>LIFEBUOY ST BVVT/TRAMTRA ML12(850G+200G)</t>
  </si>
  <si>
    <t>LIFEBUOY ST MLSK/TRAMTRA ML12(850G+200G)</t>
  </si>
  <si>
    <t>CLOSE UP KDR BAC HA 18(2+KHAN)180G</t>
  </si>
  <si>
    <t>CIF KEMTAYRUA HUONGCHANH RE0121 16X690G</t>
  </si>
  <si>
    <t>CIF xịt lau kính 520ml/12 chai</t>
  </si>
  <si>
    <t>PONDS KDD S.HONG RRO WHITE BTY BD 12X50G</t>
  </si>
  <si>
    <t>PONDS KDD SH RRO WHT BTY BN SPF30 12X50G</t>
  </si>
  <si>
    <t>PONDS BRT BTY NHH LAM SANG DA 24X150ML</t>
  </si>
  <si>
    <t>PONDS SRM Sáng Da Cao Cấp FW Radiance Even Tone 100g/12 Tuýp</t>
  </si>
  <si>
    <t>KNORR HAT NEM NAM HUONG PI21 16X380G</t>
  </si>
  <si>
    <t>SUNLIGHT NRC CHANH 100 TUI 18X750G</t>
  </si>
  <si>
    <t>SUNLIGHT NRC CHANH 100 CAN 3X3.6KG</t>
  </si>
  <si>
    <t>SUNLIGHT NRC KMT MATCHA TRA NHAT 3X3.6KG</t>
  </si>
  <si>
    <t>SUNLIGHT NRC Thiên nhiên 3.6kg/3 can</t>
  </si>
  <si>
    <t>SUNLIGHT NRC MEM DIU BTAY&amp;HG HAD 3X3.6KG</t>
  </si>
  <si>
    <t>SUNLIGHT NLS TDTM DV B.DAN RE0121 12X1KG</t>
  </si>
  <si>
    <t>SUNLIGHT NLS TDTM LILY HT RE0121 12X1KG</t>
  </si>
  <si>
    <t>SUNLIGHT NLS TDTM SA CHANH RE0121 12X1KG</t>
  </si>
  <si>
    <t>SUNLIGHT NLS THIEN NHIEN RE0121 12X1KG</t>
  </si>
  <si>
    <t>SUNLIGHT NLS TDTM HH B.HA RE0121 3X3.6KG</t>
  </si>
  <si>
    <t>SUNLIGHT NLS TDTM DVB.DAN RE0121 3X3.6KG</t>
  </si>
  <si>
    <t>SUNLIGHT NLS TDTM LILY HT RE0121 3X3.6KG</t>
  </si>
  <si>
    <t>SUNLIGHT NLS TDTM SACHANH RE0121 3X3.6KG</t>
  </si>
  <si>
    <t>SUNLIGHT NLS Thiên nhiên - trắng 3.6kg/3 can</t>
  </si>
  <si>
    <t>OMO MTC NG CF TDT TUI 4X3.6KG</t>
  </si>
  <si>
    <t>OMO MTC NG CTREN BEN DEP TUI 4X3.6KG</t>
  </si>
  <si>
    <t>OMO MTC NG CUA TREN TUI 4X3.9KG</t>
  </si>
  <si>
    <t>OMO MTC NG CTRC KM THU THAI TUI 4X3.6KG</t>
  </si>
  <si>
    <t>CLEAR DG MATLANH BACHA (3X) 12FR1 780X6G</t>
  </si>
  <si>
    <t>COMFORT CSCS 1LX BM/SL NRC 3(1.8L+550G)</t>
  </si>
  <si>
    <t>COMFORT CSCS 1LX BM/SL NRC 3(2.8L+550G)</t>
  </si>
  <si>
    <t>COMFORT CSCS 1LX GX/SL NRC 3(1.8L+550G)</t>
  </si>
  <si>
    <t>COMFORT CSCS NNMH HTM/SL NRC3(1.8L+550G)</t>
  </si>
  <si>
    <t>COMFORT CSCS HNH BLA/SL NRC 3(1.8L+550G)</t>
  </si>
  <si>
    <t>COMFORT CSCS HNH BLA/SL NRC 3(2.8L+550G)</t>
  </si>
  <si>
    <t>COMFORT CSCS HNH SPH/SL NRC 3(1.8L+550G)</t>
  </si>
  <si>
    <t>COMFORT CSCS HNH SPH/SL NRC 3(2.8L+550G)</t>
  </si>
  <si>
    <t>COMFORT NXV CDNC/SL NRC TN 3(1.8L+550G)</t>
  </si>
  <si>
    <t>PONDS KDD SM RRO BR BTY BN SPF30 24X30G</t>
  </si>
  <si>
    <t>PONDS KDD SANGMIN RRO BRGT BTY BD 24X30G</t>
  </si>
  <si>
    <t>SUNLIGHT NLS TD HTTHAO RE0121 12X1KG</t>
  </si>
  <si>
    <t>P/S KDR BV CS TD/TR.XANH Y21 21(180+30G)</t>
  </si>
  <si>
    <t>KĐR P/S Trà Xanh 180g+P/S B.Soda&amp;H.Thảo30g/21 Bộ</t>
  </si>
  <si>
    <t>P/S KDR 123 TRA XANH Y21 PI 36X180G</t>
  </si>
  <si>
    <t>P/S KDR B.VE CS T.DIEN 123 Y21 36X180G</t>
  </si>
  <si>
    <t>P/S KĐR Bảo Vệ 123 230g/36 ống</t>
  </si>
  <si>
    <t>HAZELINE ST DASD YM DTAM AW0121 12X800G</t>
  </si>
  <si>
    <t>HAZELINE ST DS MATCHA&amp;LDO AW0121 12X800G</t>
  </si>
  <si>
    <t>CLEAR dầu gội nam 3in1 sạch nhanh 630g/8 chai</t>
  </si>
  <si>
    <t>CLEAR dầu gội nam 3in1 mát lạnh 340g/12 chai</t>
  </si>
  <si>
    <t>CLEAR dầu gội nam 3in1 mát lạnh 630g/8 chai</t>
  </si>
  <si>
    <t>PONDS SRM PURE BR/NTT RSE 24(100G+100ML)</t>
  </si>
  <si>
    <t>PONDS SRM BRT BTY/NTT RSE 24(100G+100ML)</t>
  </si>
  <si>
    <t>PONDS SRM BRGHT BTY/PP NT 24(1+1)50G/40G</t>
  </si>
  <si>
    <t>PONDS SRM PURE BRT/PP NT 24(1+1)50G/40G</t>
  </si>
  <si>
    <t>TRESEMME DG VAONEP MT MA 8(1+KHAN21)640G</t>
  </si>
  <si>
    <t>LIFEBUOY Dầu gội dưỡng tóc óng ả 170g/36 chai</t>
  </si>
  <si>
    <t>LIFEBUOY Dầu gội dưỡng tóc óng ả 320g/24 chai</t>
  </si>
  <si>
    <t>LIFEBUOY Dầu gội dưỡng tóc óng ả 640g/8 chai</t>
  </si>
  <si>
    <t>SUNSILK DG/DX OM RNGOI R21 8(650G+140G)</t>
  </si>
  <si>
    <t>SUNSILK DG/DX MM DIEUKY R21 8(650G+140G)</t>
  </si>
  <si>
    <t>SUNSILK DX ONG MUOT R.NGOI 1X(720+24)6G</t>
  </si>
  <si>
    <t>SUNSILK DX MEM MUOT DIEU KY 1X(720+24)6G</t>
  </si>
  <si>
    <t>SUNSILK DG ONGMUOT R.NGOI 1X(720+24)6G</t>
  </si>
  <si>
    <t>SUNSILK DG MEM MUOT DIEU KY 1X(720+24)6G</t>
  </si>
  <si>
    <t>KNORR BOT CANH TRON VI AW 50X190G</t>
  </si>
  <si>
    <t>KNORR tương ớt m.Bắc 220g/20 chai</t>
  </si>
  <si>
    <t>KNORR tương ớt cay đậm 220g/20 chai</t>
  </si>
  <si>
    <t>P/S KDR SST EXP WHITENING 32(1+KHAN)100G</t>
  </si>
  <si>
    <t>PONDS SRM tr.hồng r.rỡ 50g + srm nâng tông tông 40g/24 bộ</t>
  </si>
  <si>
    <t>CLEAR MEN dg sạch sâu 630g+dg 3in1 mát lạnh 140g/8 bộ</t>
  </si>
  <si>
    <t>DOVE DG PHHT/OMTN R21 12(1+1)325G/70G</t>
  </si>
  <si>
    <t>PONDS KDSDBN WB/GL SERUM 24(1+2)30G/7.5G</t>
  </si>
  <si>
    <t>PONDS KDSDBD WB/GL SERUM 24(1+2)30G/7.5G</t>
  </si>
  <si>
    <t>VIM Viên treo bồn cầu hương Trà xanh&amp;chanh 55g/9 viên</t>
  </si>
  <si>
    <t>LIFEBUOY NRT B.BVE/TT MLOC 12(500G+120G)</t>
  </si>
  <si>
    <t>LIFEBUOY NRT SD.AM/TT MLOC 12(500G+120G)</t>
  </si>
  <si>
    <t>LIFEBUOY NRT CH.KM/TT MLOC 12(500G+120G)</t>
  </si>
  <si>
    <t>KNORR HN NAM HUONG ORG BTF TET22 38X170G</t>
  </si>
  <si>
    <t>KNORR HAT NEM TT&amp;XO&amp;T_3 TET22 32X170G</t>
  </si>
  <si>
    <t>TRA LIPTON IC CHANH M.ONG T22 30X16X14G</t>
  </si>
  <si>
    <t>TRA LIPTON IC DAO TET22 30X16X14G</t>
  </si>
  <si>
    <t>OMO NG MTC CTREN CF HHH ECUADOR 4X3.6KG</t>
  </si>
  <si>
    <t>LIPTON TRA NHAN VANG HEXAGON22 18X30X2G</t>
  </si>
  <si>
    <t>TRA LIPTON MINI TB22 LM/PEA 30(2X4S)14G</t>
  </si>
  <si>
    <t>KNORR HN NAM HUONG ORG TET22 DT 16X380G</t>
  </si>
  <si>
    <t>P/S bàn chải lông tơ sạch hiệu quả 72 Cây</t>
  </si>
  <si>
    <t>P/S BCDR BANE-DC SENSITIVE APO 72X1PC</t>
  </si>
  <si>
    <t>P/S bàn chải lông tơ mềm mại 24x(3x1pc) bộ</t>
  </si>
  <si>
    <t>P/S BCDR THAN BAC 48X1PC</t>
  </si>
  <si>
    <t>CLEAR DG thảo dược 630g + DG 3IN1 mát lạnh 140g/8 bộ</t>
  </si>
  <si>
    <t>KNORR HN NAM HUONG ORN AW0121 38X170G</t>
  </si>
  <si>
    <t>KNORR HN NAM HUONG ORN P0121 16X380G</t>
  </si>
  <si>
    <t>KNORR GVHC C.KHORIENG ST AW0121 10X6X28G</t>
  </si>
  <si>
    <t>KNORR GVHC T.KHO TAU STR AW0121 10X6X28G</t>
  </si>
  <si>
    <t>CLEAR DG ML/MEN MLBH 1X(576+252)6G/5G</t>
  </si>
  <si>
    <t>CLOSE UP KDR BAC HA/TSTN 18(2+3)180/30G</t>
  </si>
  <si>
    <t>CLOSE UP KDR LOC DE/TSTN 18(2+3)180/30G</t>
  </si>
  <si>
    <t>PONDS AM KDNN LHOA BNGAY 12(1+VSL DM)50G</t>
  </si>
  <si>
    <t>PONDS AM KDNN LHOA BDEM 12(1+VSL DM)50G</t>
  </si>
  <si>
    <t>OMO BG CF TDT NNAN/TDT NNGAY 3(4KG+360G)</t>
  </si>
  <si>
    <t>OMO BG CF TDT N.NGAY/TDTNNGAY3(4KG+360G)</t>
  </si>
  <si>
    <t>OMO BG TAY/TDT NGAT NGAY 3X(4.5KG+360G)</t>
  </si>
  <si>
    <t>P/S KDR 123 TR.XANH/THAN HT 21(180G+30G)</t>
  </si>
  <si>
    <t>P/S KDR TR.RANG THAN HT Y22 PI 36X180G</t>
  </si>
  <si>
    <t>68827846A</t>
  </si>
  <si>
    <t>P/S KĐR TRẮNG RĂNG THAN HOẠT TÍNH &amp; TRE 180G/36 ống</t>
  </si>
  <si>
    <t>P/S KĐR TRẮNG RĂNG THAN HOẠT TÍNH &amp; TRE 230G/36 ống</t>
  </si>
  <si>
    <t>KĐR P/S Muối Hồng &amp; Hoa Cúc 180g/36 Ống</t>
  </si>
  <si>
    <t>68827850A</t>
  </si>
  <si>
    <t>P/S KĐR Muối Hồng &amp; Hoa Cúc 180g/36 ống</t>
  </si>
  <si>
    <t>KĐR P/S Trà Xanh 180g/36 Ống</t>
  </si>
  <si>
    <t>P/S KĐR Trà Xanh 230g/36 ống</t>
  </si>
  <si>
    <t>68827856A</t>
  </si>
  <si>
    <t>KĐR P/S Trà Xanh 100g/36 Ống</t>
  </si>
  <si>
    <t>P/S KDR B.SODA &amp; HUONG THAO Y22 36X180G</t>
  </si>
  <si>
    <t>SUNLIGHT Nước rửa chén Chanh túi 750g/18 túi</t>
  </si>
  <si>
    <t>SUNLIGHT Nước rửa chén Chanh túi 1.4kg/9 túi</t>
  </si>
  <si>
    <t>SUNLIGHT Nước rửa chén Chanh túi 2.6kg/4 túi</t>
  </si>
  <si>
    <t>SUNLIGHT Nước rửa chén Trà xanh 750g/18 túi</t>
  </si>
  <si>
    <t>SUNLIGHT Nước rửa chén Trà xanh túi 2.1kg/4 túi</t>
  </si>
  <si>
    <t>SUNLIGHT Nước rửa chén Thiên Nhiên 750gr/18 túi</t>
  </si>
  <si>
    <t>COMFORT ĐĐ K.Khuẩn Diu Nhẹ +OMO(Túi 1.8L+ Omo 412g)/3 bộ</t>
  </si>
  <si>
    <t>COMFORT ĐĐ cho da nhạy cảm+Omo (Túi 1.8L+Omo 412g)/3 bộ</t>
  </si>
  <si>
    <t>Comfort CSCS 1LX BMai+OMO (Túi1.8L+ Omo 412g)/3 bộ</t>
  </si>
  <si>
    <t>Comfort CSCS NNMH-TươiMát+OMO (Túi1.8L+ Omo 412g)/3 bộ</t>
  </si>
  <si>
    <t>Comfort HNH T.nhiên Bella+OMO (Túi1.8L+ Omo 412g)/3 bộ</t>
  </si>
  <si>
    <t>Comfort HNH T.nhiên Sophia+OMO (Túi1.8L+ Omo 412g)/3 bộ</t>
  </si>
  <si>
    <t>COMFORT ĐĐ cho da nhạy cảm+Omo (Túi 2.8L+Omo 412g)/3 bộ</t>
  </si>
  <si>
    <t>Comfort CSCS 1LX HBanMai+OMO (Túi2.8L+ Omo 412g)/3 bộ</t>
  </si>
  <si>
    <t>Comfort HNH T.nhiên Bella+OMO (Túi2.8L+ Omo 412g)/3 bộ</t>
  </si>
  <si>
    <t>Comfort HNH T.nhiên Sophia+OMO (Túi2.8L+ Omo 412g)/3 bộ</t>
  </si>
  <si>
    <t>SUNSILK DG OM R.NG/NG.GR 8(1+1)650G/140G</t>
  </si>
  <si>
    <t>SUNSILK DG MM DKY/NG.GR 8(1+1)650G/140G</t>
  </si>
  <si>
    <t>CLEAR dầu gội 48 giờ sạch gàu ngứa 630g/8 chai</t>
  </si>
  <si>
    <t>CLEAR dầu gội 48 giờ sạch gàu ngứa 880g/8 chai</t>
  </si>
  <si>
    <t>COMFORT CSCS phơi trong nhà Hương nắng mới 800ml/12 chai</t>
  </si>
  <si>
    <t>COMFORT CSCS phơi trong nhà Hương nắng mới 10x20ml/30 dây</t>
  </si>
  <si>
    <t>COMFORT CSCS phơi trong nhà Hương nắng mới 1.8L/4 túi</t>
  </si>
  <si>
    <t>COMFORT CSCS phơi trong nhà Hương nắng mới 2.8L/4 túi</t>
  </si>
  <si>
    <t>COMFORT CSCS phơi trong nhà Hương nắng mới 3.8L/4 túi</t>
  </si>
  <si>
    <t>COMFORT CSC.SAU NH TN JENNIE 300X20ML</t>
  </si>
  <si>
    <t>COMFORT CSC.SAU NH TN JENNIE 4X2.8L</t>
  </si>
  <si>
    <t>COMFORT CSC.SAU NH TN JENNIE 4X3.8L</t>
  </si>
  <si>
    <t>COMFORT CSC.SAU NH TN JENNIE 4X1.8L</t>
  </si>
  <si>
    <t>P/S KDR NSR V.TROI/T.XANH 21(1+1)180/30G</t>
  </si>
  <si>
    <t>CLEAR DG MAT LANH BAC HA 2X(360+12)6G</t>
  </si>
  <si>
    <t>DOVE DG PHUC HOI HU TON 2X(360+12)6G</t>
  </si>
  <si>
    <t>DOVE DG NGAN GAY RUNG TOC 2X(360+12)6G</t>
  </si>
  <si>
    <t>DOVE KX PHUC HOI HU TON 2X(360+12)6G</t>
  </si>
  <si>
    <t>OMO BG CF TDT NONG NAN/SAMP3(5.5KG+520G)</t>
  </si>
  <si>
    <t>OMO BG TAY/CFT TDT NONG NAN 3(6KG+520G)</t>
  </si>
  <si>
    <t>P/S BCDR MUOI HONG 48X1PC</t>
  </si>
  <si>
    <t>P/S BCDR MUOI TRE 48X1PC</t>
  </si>
  <si>
    <t>CÂY</t>
  </si>
  <si>
    <t>P/S BCDR BAKING SODA 48X1PC</t>
  </si>
  <si>
    <t>cái</t>
  </si>
  <si>
    <t>LIFEBUOY NRT Chanh Khử Mùi 450g/12 chai</t>
  </si>
  <si>
    <t>LIFEBUOY NRT Sữa Dưỡng Ẩm 450g/12 chai</t>
  </si>
  <si>
    <t>68864825A</t>
  </si>
  <si>
    <t>LIFEBUOY NRT Bạc Bảo Vệ 450g/12 chai</t>
  </si>
  <si>
    <t>68864828A</t>
  </si>
  <si>
    <t>LIFEBUOY NRT Than HT &amp; Bạc Hà 450g/12 chai</t>
  </si>
  <si>
    <t>LIFEBUOY NRT Matcha &amp; Nha Đam 450g/12 chai</t>
  </si>
  <si>
    <t>SUNSILK dx đen óng mượt rạng ngời 6gx10/66 dây</t>
  </si>
  <si>
    <t>SUNSILK dx vàng mềm mượt diệu kỳ 6gx10/66 dây</t>
  </si>
  <si>
    <t>SUNSILK DG ONG MUOT R.NGOI P0122 660X6G</t>
  </si>
  <si>
    <t>SUNSILK dg vàng mềm mượt diệu kỳ 6gx10/66 dây</t>
  </si>
  <si>
    <t>SUNSILK dx đen óng mượt rạng ngời 22+1 dây (6gx10)/3 bộ</t>
  </si>
  <si>
    <t>SUNSILK dx vàng mềm mượt diệu kỳ 22+1 dây (6gx10)/3 bộ</t>
  </si>
  <si>
    <t>SUNSILK dg đen óng mượt rạng ngời 22+1 dây (6gx10)/3 bộ</t>
  </si>
  <si>
    <t>SUNSILK dg vàng mềm mượt diệu kỳ 22+1 dây (6gx10)/3 bộ</t>
  </si>
  <si>
    <t>HAZELINE SG ROYAL JELLY LILY 12X800G</t>
  </si>
  <si>
    <t>HAZELINE GRM MATCHA TRAM TRA 24X100G</t>
  </si>
  <si>
    <t>Hazeline gel rửa mặt matcha tràm trà 50g/24 tuýp</t>
  </si>
  <si>
    <t>Hazeline sữa rửa mặt nghệ hoa cúc 100g/24 tuýp</t>
  </si>
  <si>
    <t>Hazeline sữa rửa mặt nghệ hoa cúc 50g/24 tuýp</t>
  </si>
  <si>
    <t>Hazeline sữa rửa mặt yến mạch &amp; dâu tằm 100g/24 tuýp</t>
  </si>
  <si>
    <t>HAZELINE SRM Y.MACH DAUTAM RE0122 24X50G</t>
  </si>
  <si>
    <t>CLEAR dầu gội 48 giờ sạch gàu ngứa 7gx10/66 dây</t>
  </si>
  <si>
    <t>CLEAR DG MAT LANH BAC HA 660X7G</t>
  </si>
  <si>
    <t>TRESEMME DX KERATIN SMTH (SALON) 8X850G</t>
  </si>
  <si>
    <t>PONDS KD SANGMIN BN/KSNT 12(1+1)50G/23G</t>
  </si>
  <si>
    <t>PONDS KD SANGMIN BD/KSNT 12(1+1)50G/23G</t>
  </si>
  <si>
    <t>KĐR P/S Baking Soda &amp; H.Thảo 180g+P/S Giảm Ê Buốt 30g/21 Bộ</t>
  </si>
  <si>
    <t>KĐR P/S Than Hoạt Tính 180g + P/S Giảm Ê Buốt 30g/21 Bộ</t>
  </si>
  <si>
    <t>SURF NRC HUONG TAC 3X3.6KG</t>
  </si>
  <si>
    <t>SURF NRC CHANH SA 3X3.6KG</t>
  </si>
  <si>
    <t>P/S KDR NSR VUOT TROI L.EDITION 36X230G</t>
  </si>
  <si>
    <t>KĐR P/S Ngừa Sâu Răng Vượt Trội 100g/60 Ống</t>
  </si>
  <si>
    <t>LIFEBUOY ST CHAM SOC DA 12X800G</t>
  </si>
  <si>
    <t>LIFEBUOY Sữa Tắm Trà Xanh Khổ Qua 800G/12 Chai</t>
  </si>
  <si>
    <t>68891325A</t>
  </si>
  <si>
    <t>LIFEBUOY ST THAN HT CAM GAO 12X800G</t>
  </si>
  <si>
    <t>LIFEBUOY ST TRAM TRA MUOI HONG 12X800G</t>
  </si>
  <si>
    <t>LIFEBUOY ST BAO VE VUOT TROI10 12X1KG</t>
  </si>
  <si>
    <t>LIFEBUOY ST BV VUOT TROI10 TUI 12X800G</t>
  </si>
  <si>
    <t>LIFEBUOY HW MILK CARE POU 24X400G</t>
  </si>
  <si>
    <t>LIFEBUOY Nước Rửa Tay Bạc Bảo Vệ 400G/24 Túi</t>
  </si>
  <si>
    <t>SURF BG NGAT H.XUAN RE0122 36 X380G</t>
  </si>
  <si>
    <t>SURF BG ngát hương xuân 5.5kg/3 gói</t>
  </si>
  <si>
    <t>SURF BG H.N.HOA DUYENDANG RE0122 3X5.3KG</t>
  </si>
  <si>
    <t>SURF BG H.N.HOA QUYEN RU RE0122  3X5.3KG</t>
  </si>
  <si>
    <t>PONDS Kem chống lão hóa ngày 50g+Ponds mặt nạ 25g/12 bộ</t>
  </si>
  <si>
    <t>PONDS Kem chống lão hóa đêm 50g+Ponds mặt nạ 25g/12 bộ</t>
  </si>
  <si>
    <t>SUNSILK HC BLACK SHINE AW0122 8X640G</t>
  </si>
  <si>
    <t>SUNSILK DX MEMMUOT DIEU KY AW0122 8X640G</t>
  </si>
  <si>
    <t>SUNSILK DG D.NGAN GAY RUNG AW0122 8X650G</t>
  </si>
  <si>
    <t>SUNSILK DG M.MUOT TOAHUONG AW0122 8X650G</t>
  </si>
  <si>
    <t>SUNSILK DG ONGMUOT R.NGOI AW0122 36X170G</t>
  </si>
  <si>
    <t>SUNSILK DG ONG MUOT R.NGOI AW0122 8X650G</t>
  </si>
  <si>
    <t>SUNSILK DG ONG MUOT R.NGOI AW0122 8X900G</t>
  </si>
  <si>
    <t>SUNSILK DG M.MUOT DIEU KI AW0122 36X170G</t>
  </si>
  <si>
    <t>SUNSILK DG MEM MUOT DIEUKY AW0122 8X650G</t>
  </si>
  <si>
    <t>SUNSILK DG MEM MUOT DIEUKY AW0122 8X900G</t>
  </si>
  <si>
    <t>Hazeline gel rửa mặt matcha tràm trà 170g/12 tuýp</t>
  </si>
  <si>
    <t>Comfort CSCS Phơi t.nhà+OMO (Túi1.8L+ Omo 412g)/3 bộ</t>
  </si>
  <si>
    <t>LIFEBUOY Dầu gội dưỡng tóc óng ả 640g+NRT 120g/8 bộ</t>
  </si>
  <si>
    <t>LIFEBUOY Dầu gội mềm mượt kháng khuẩn 640g+NRT 120g/8 bộ</t>
  </si>
  <si>
    <t>OMO BG cf tdt nồng nàn 700g/18 gói</t>
  </si>
  <si>
    <t>OMO BOT GIAT TDT NONG NAN 3X3.9KG</t>
  </si>
  <si>
    <t>OMO BG đỏ 380g/36 gói</t>
  </si>
  <si>
    <t>OMO BG đỏ 770g/18 gói</t>
  </si>
  <si>
    <t>OMO BG đỏ 1.15kg/12 gói</t>
  </si>
  <si>
    <t>OMO BG đỏ 2.9kg/4 gói</t>
  </si>
  <si>
    <t>OMO BG cf tdt nồng nàn 5.3kg/3 gói</t>
  </si>
  <si>
    <t>OMO BOT GIAT DO 3X4.3KG</t>
  </si>
  <si>
    <t>OMO BG đỏ 5.7kg/3 gói</t>
  </si>
  <si>
    <t>OMO BG cf tdt nồng nàn 2.6kg/4 gói</t>
  </si>
  <si>
    <t>OMO BG cf tdt ngất ngây 700g/18 gói</t>
  </si>
  <si>
    <t>OMO BOT GIAT TDT NGAT NGAY 3X3.9KG</t>
  </si>
  <si>
    <t>OMO BOT GIAT TDT NGAT NGAY 3X5.3KG</t>
  </si>
  <si>
    <t>OMO BG cf tdt ngất ngây 2.6kg/4 gói</t>
  </si>
  <si>
    <t>OMO BG TDT NGAT NGAY (BALE) 36X350G</t>
  </si>
  <si>
    <t>CLOSEUP KĐR Thơm Mát Dầu Quất &amp; Thảo Dược 180g/36 ống</t>
  </si>
  <si>
    <t>CLOSEUP KĐR Thơm Mát Dầu Quất &amp; Thảo Dược 230g/36 ống</t>
  </si>
  <si>
    <t>CLOSEUP KDR DETOX T.RANG THAN HT 36X180G</t>
  </si>
  <si>
    <t>68908118A</t>
  </si>
  <si>
    <t>CLOSEUP KĐR Detox Trắng Răng Than Hoạt Tính 180g/36 ống</t>
  </si>
  <si>
    <t>Closeup KDR Detox Trắng răng than hoạt tính 230g/36 ống</t>
  </si>
  <si>
    <t>CLOSEUP KDR DETOX TR.RANG M.BIEN 36X180G</t>
  </si>
  <si>
    <t>68908122A</t>
  </si>
  <si>
    <t>CLOSEUP KĐR Trắng Răng Muối Biển 180g/36 ống</t>
  </si>
  <si>
    <t>SURF NG hương cỏ hoa diệu kì 3.3kg/4 túi</t>
  </si>
  <si>
    <t>SURF NG hương sương mai dịu mát 3.3kg/4 túi</t>
  </si>
  <si>
    <t>OMO NG MG thư thái cửa trước 2.8kg/4 túi</t>
  </si>
  <si>
    <t>OMO NG MG cho quần áo bé yêu 2.8kg/4 túi</t>
  </si>
  <si>
    <t>OMO NG MG cf tinh dầu thơm 2.8kg/4 túi</t>
  </si>
  <si>
    <t>OMO NG MG bền đẹp cửa trước 2.8kg/4 túi</t>
  </si>
  <si>
    <t>TRESEMME DG VAONEP MUOT MA(SALON) 8X850G</t>
  </si>
  <si>
    <t>HAZELINE SDT TXANH&amp;LUUDO RE0122 24X230ML</t>
  </si>
  <si>
    <t>HAZELINE SDT YMACH DTAM RE0122 24X230ML</t>
  </si>
  <si>
    <t>PONDS SRM SS SMIN BRGT BTY RE0122 24X50G</t>
  </si>
  <si>
    <t>PONDS SRM SS SMIN BRT BTY RE0122 24X100G</t>
  </si>
  <si>
    <t>PONDS SRM SS T.DOC P.BRGHT RE0122 24X50G</t>
  </si>
  <si>
    <t>PONDS SRM SS T.DOC P.BRGT RE0122 24X100G</t>
  </si>
  <si>
    <t>PONDS ACNE CLEAR FF RE0122 24X50G</t>
  </si>
  <si>
    <t xml:space="preserve"> PONDS SRM SS NMUN ACNECLR RE0122 24X100G</t>
  </si>
  <si>
    <t>OMO BG MAY GIAT CUA TREN 3X5.7KG</t>
  </si>
  <si>
    <t>OMO BG MAY GIAT CUA TREN 4X 2.9KG</t>
  </si>
  <si>
    <t>OMO BG MG cửa trước 2.9kg/4 gói</t>
  </si>
  <si>
    <t>TRESEMME Dầu Gội Vào Nếp Mượt Mà 480g/8 Chai</t>
  </si>
  <si>
    <t>TRESEMME Dầu Xả Vào Nếp Mượt Mà 480g/8 Chai</t>
  </si>
  <si>
    <t>SURF NG hương cỏ hoa diệu kì 3.6kg/3 chai</t>
  </si>
  <si>
    <t>SURF NG hương cỏ hoa diệu kì 2.2kg/4 túi</t>
  </si>
  <si>
    <t>VASELINE HBSPF24 S+P LTN RE0122 24X200ML</t>
  </si>
  <si>
    <t>VASELINE Sữa Dưỡng Thể Sun+Pollution Pro 350ml/12 Chai</t>
  </si>
  <si>
    <t>OMO Bột Giặt Đỏ 4.5kgx2/1 hộp</t>
  </si>
  <si>
    <t>KNORR Hạt nêm Nấm 380g PD22/16 gói</t>
  </si>
  <si>
    <t>CLEAR dầu gội 48 giờ sạch gàu ngứa 33+1 dây (7gx10)/2 bộ</t>
  </si>
  <si>
    <t>CLEAR DG MAT LANH BAC HA 2X(330+10)7G</t>
  </si>
  <si>
    <t>SUNSILK dx đen óng mượt rạng ngời 33+1 dây (6gx10)/2 bộ</t>
  </si>
  <si>
    <t>SUNSILK dx vàng mềm mượt diệu ky 33+1 dây (6gx10)/2 bộ</t>
  </si>
  <si>
    <t>SUNSILK dg đen óng mượt rạng ngời 33+1 dây (6gx10)/2 bộ</t>
  </si>
  <si>
    <t>SUNSILK dg vàng mềm mượt diệu kỳ 33+1 dây (6gx10)/2 bộ</t>
  </si>
  <si>
    <t>P/S BCDR TRIPLE PRTCTN P0122 25X12X1PC</t>
  </si>
  <si>
    <t>P/S BCDR TRIPLE PRO-SOFT P0122 25X12X1PC</t>
  </si>
  <si>
    <t>SUNSILK dầu gội óng mượt rạng ngời 900g+dx SUNSILK 140g/8 bộ</t>
  </si>
  <si>
    <t>SUNSILK dầu gội mềm mượt diệu kỳ 900g+dx SUNSILK 140g/8 bộ</t>
  </si>
  <si>
    <t>LIFEBUOY ST BV VUOTTROI10 8(1+KHAN)800G</t>
  </si>
  <si>
    <t>LIFEBUOY ST CHAM SOC DA 8(1+KHAN)800G</t>
  </si>
  <si>
    <t>LIFEBUOY ST MLANH S.KHOAI 8(1+KHAN)800G</t>
  </si>
  <si>
    <t>LIFEBUOY SG MTCH BTTR GRD 8(1+TOWEL)800G</t>
  </si>
  <si>
    <t>LIFEBUOY ST TRAMTRA MHONG 8(1+KHAN)800G</t>
  </si>
  <si>
    <t>LIFEBUOY Sữa Tắm Than HTính Cám gạo 800g+tràm trà 200g/12 bộ</t>
  </si>
  <si>
    <t>LIFEBUOY Sữa Tắm Trà Xanh Khổ Qua 800g+tràm trà 200g/12 bộ</t>
  </si>
  <si>
    <t>DOVE ST DUONG AM CHUYEN SAU 12X500G</t>
  </si>
  <si>
    <t>DOVE ST CHAM SOC DA NHAY CAM 12X500G</t>
  </si>
  <si>
    <t>DOVE ST HUONG HOA NGOT NGAO 12X500G</t>
  </si>
  <si>
    <t>DOVE ST PHUC HOI DA KHO 12X500G</t>
  </si>
  <si>
    <t>OMO BG cf tdt nồng nàn3.9kg+OMO BG cf tdt ngất ngây360g/3bộ</t>
  </si>
  <si>
    <t>OMO BG cf tdt ngất ngây3.9kg+OMO BG cf tdt ngất ngây360g/3bộ</t>
  </si>
  <si>
    <t>OMO BG đỏ 4.3kg + OMO BG cf tdt ngất ngây 360g/3bộ</t>
  </si>
  <si>
    <t>P/S KĐR Than HTính &amp; Tre 180G + Sstv Expert Whtg 30g/21 Bộ</t>
  </si>
  <si>
    <t>P/S KĐR Trà Xanh 180g + Than Hoạt Tính &amp; Tre 30g/21 Bộ</t>
  </si>
  <si>
    <t>OMO NG MG CF TD THOM CHAI RE0122 4X2.3KG</t>
  </si>
  <si>
    <t>OMO NG MG CF TD THOM CHAI RE0122 4X3.7KG</t>
  </si>
  <si>
    <t>OMO NG MG CF TD THOM TUI RE0122 4X2.8KG</t>
  </si>
  <si>
    <t>OMO NG MG CF TD THOM TUI RE0122 4X2KG</t>
  </si>
  <si>
    <t>OMO NG MG CF TD THOM TUI RE0122 4X3.6KG</t>
  </si>
  <si>
    <t>OMO NG MG CF HH ECUADOR TUI RE0122 4X2KG</t>
  </si>
  <si>
    <t>OMO NGMGCF HH ECUADOR TUI RE0122 4X3.6KG</t>
  </si>
  <si>
    <t>OMO NG MG CUA TREN CHAI RE0122 4X2.7KG</t>
  </si>
  <si>
    <t>OMO NG MG CUA TREN TUI RE0122 4X2.2KG</t>
  </si>
  <si>
    <t>OMO NG MG CUA TREN TUI RE0122 4X3.1KG</t>
  </si>
  <si>
    <t>OMO NG MG CUA TREN TUI RE0122 4X3.9KG</t>
  </si>
  <si>
    <t>CLEAR DG MEN ML B.HA(12FR2)AW0222 840X5G</t>
  </si>
  <si>
    <t>CLEAR DG MEN MLANH BAC HA AW0222 36X170G</t>
  </si>
  <si>
    <t>CLEAR DG MEN MLANH BAC HA AW0222 12X340G</t>
  </si>
  <si>
    <t>CLEAR DG MEN MLANH BAC HA AW0222 8X630G</t>
  </si>
  <si>
    <t>68942958A</t>
  </si>
  <si>
    <t>CLEAR MEN Dầu Gội Mát Lạnh Bạc Hà 630g/8 Chai</t>
  </si>
  <si>
    <t>CLEAR MEN Dầu Gội Mát Lạnh Bạc Hà 900g/8 Chai</t>
  </si>
  <si>
    <t>PONDS SRM tr.hồng r.rỡ 50g + tinh chất 3D 7.5g/24 bộ</t>
  </si>
  <si>
    <t>PONDS SRM tr.da t.khiết 50g +  tinh chất 3D 7.5g/24 bộ</t>
  </si>
  <si>
    <t>DOVE KX PHHT/DG OMTN 8(1+1)610G/140G</t>
  </si>
  <si>
    <t>DOVE DG NGAN GRTOC/OMTN 8(1+1)640G/140G</t>
  </si>
  <si>
    <t>DOVE DG P.HOI HUTON/OMTN 8(1+1)640G/140G</t>
  </si>
  <si>
    <t>DOVE DG DTOC B.BENH/OMTN 8(1+1)640G/140G</t>
  </si>
  <si>
    <t>KNORR T.OT C.DAM/CAY TE TE 12(450G+200G)</t>
  </si>
  <si>
    <t>DOVE KX NGAN GAY RUNG TOC 660X6G</t>
  </si>
  <si>
    <t>DOVE KX PHUC HOI HU TON 660X6G</t>
  </si>
  <si>
    <t>DOVE DG NGAN GAY RUNG TOC 660X6G</t>
  </si>
  <si>
    <t>DOVE DG PHUC HOI HU TON 660X6G</t>
  </si>
  <si>
    <t>P/S KDR BE NGOAN RE0122 120X35G</t>
  </si>
  <si>
    <t>P/S TP KIDS 2-6YR STRWBR RE0122 120X45G</t>
  </si>
  <si>
    <t>P/S  KDR TRE EM 2-6T HUONG CAM 120X45G</t>
  </si>
  <si>
    <t>OMO NG MG CHOBE/SL NRC TN  4(2.9KG+370G)</t>
  </si>
  <si>
    <t>OMO NG MG CHO BE/SL NRC TN  4(2KG+370G)</t>
  </si>
  <si>
    <t>OMO NG MG CF H.H/SL NRC TN 4(2KG+370G)</t>
  </si>
  <si>
    <t>OMO NG MG CF TDT/SL NRC TN 4(2.8KG+370G)</t>
  </si>
  <si>
    <t>OMO NG MG CF TDT/SL NRC TN  4(2KG+370G)</t>
  </si>
  <si>
    <t>OMO MTC MG CTREN/SL NRC TN 4(2.2KG+370G)</t>
  </si>
  <si>
    <t>OMO MTC MG CTREN/SL NRC TN 4(3.1KG+370G)</t>
  </si>
  <si>
    <t>P/S KDR NSRVT/M.HONG 21(1+1)180G/30G</t>
  </si>
  <si>
    <t>HAZELINE ST SUA ONG CHUA HOA LY 12X1KG</t>
  </si>
  <si>
    <t>HAZELINE ST MATCHA LUU DO 12X1KG</t>
  </si>
  <si>
    <t>HAZELINE ST YEN MACH DAU TAM 12X1KG</t>
  </si>
  <si>
    <t>HAZELINE ST SUA ONGCHUA HOA LY 1008X4.5G</t>
  </si>
  <si>
    <t>Knor (hàng KM)</t>
  </si>
  <si>
    <t>Cái</t>
  </si>
  <si>
    <t>LIFEBUOY XBC BVVT/CLOSEUP 24(3+1)90G/30G</t>
  </si>
  <si>
    <t>LIFEBUOY XBC CSDA/CLOSEUP 24(3+1)90G/30G</t>
  </si>
  <si>
    <t>DOVE KX PHUC HOI HU TON 2X(330+10)6G</t>
  </si>
  <si>
    <t>DOVE DG PHUC HOI HU TON 2X(330+10)6G</t>
  </si>
  <si>
    <t>PONDS SRM SSSM BB/TC GL 24(1+2)100G/7.5G</t>
  </si>
  <si>
    <t>PONDS SRM SSDN PB/TC GL 24(1+2)100G/7.5G</t>
  </si>
  <si>
    <t>LIFEBUOY Xà Bông Cục Bảo Vệ Vượt Trội 90gx2/36Bộ</t>
  </si>
  <si>
    <t>P/S KDR M.HONG/THAN H.TINH 21(180G+30G)</t>
  </si>
  <si>
    <t>CLOSE UP KDR B.HA/DTX MUOI 21(180G+30G)</t>
  </si>
  <si>
    <t>CLOSEUP KDR B.TUYET/DT MUOI 21(180G+30G)</t>
  </si>
  <si>
    <t>KNORR HAT NEM TT&amp;XO&amp;T 12(1+1)400G/150G</t>
  </si>
  <si>
    <t>CLEAR DG 48G SACH G.NGUA 8(1+1)630G/140G</t>
  </si>
  <si>
    <t>CLEAR DG ML BAC HA/SGN 8(1+1)630G/140G</t>
  </si>
  <si>
    <t>Chưa có tên</t>
  </si>
  <si>
    <t>CLOSE UP KDR B.HA/BC SSHQ 24(230G+1PC)</t>
  </si>
  <si>
    <t>CLOSEUP KDR TTBTUYET/BC SSHQ24(230G+1PC)</t>
  </si>
  <si>
    <t>HAZELINE ST SDDA YM DT AW0122 1008X4.5G</t>
  </si>
  <si>
    <t>HAZELINE ST SMRN MC&amp;LDO AW0122 1008X4.5G</t>
  </si>
  <si>
    <t>HAZELINE ST SMRN MTCH&amp;LDO AW0122 8X670G</t>
  </si>
  <si>
    <t>HAZELINE ST SDDA YM DTAM AW0122 8X670G</t>
  </si>
  <si>
    <t>HAZELINE ST SUA ONG CHUA HOA LY 24X300g</t>
  </si>
  <si>
    <t>SURF Nước Giặt Chuyên Dụng Hương Nước Xả 5kg/2 can</t>
  </si>
  <si>
    <t>KNORR HN NAM HUONG ORGANIC 12(380G+150G)</t>
  </si>
  <si>
    <t>KNORR HN TT&amp;XO&amp;T_3 6(1+TO)900G</t>
  </si>
  <si>
    <t>OMO BG CF H.H.HONG DMBL RE0122 18X700G</t>
  </si>
  <si>
    <t>OMO BG CF H.H.HONG DMBL RE0122 3X3.9KG</t>
  </si>
  <si>
    <t>OMO BG CF H.H.HONG DMBL RE0122 3X5.3KG</t>
  </si>
  <si>
    <t>OMO BG CF H.H.HONG DMBL RE0122 4X2.6KG</t>
  </si>
  <si>
    <t>OMO BG CF TDT S.TRONG BL RE0122 18X700G</t>
  </si>
  <si>
    <t>OMO Bột Giặt CF Tinh Dầu Thơm Sang Trọng Bền Lâu 350g/36 gói</t>
  </si>
  <si>
    <t>OMO BG CF TDT S.TRONG BL RE0122 3X3.9KG</t>
  </si>
  <si>
    <t>OMO BG CF TDT S.TRONG BL RE0122 3X5.3KG</t>
  </si>
  <si>
    <t>OMO BG CF TDT S.TRONG BL RE0122 4X2.6KG</t>
  </si>
  <si>
    <t>OMO BG DO RE0122 12X1.15KG</t>
  </si>
  <si>
    <t>OMO BG DO RE0122 140X100G</t>
  </si>
  <si>
    <t>OMO BG DO RE0122 18X770G</t>
  </si>
  <si>
    <t>OMO BG DO RE0122 36X380G</t>
  </si>
  <si>
    <t>OMO BG DO RE0122 3X4.3KG</t>
  </si>
  <si>
    <t>OMO BG DO RE0122 3X5.7KG</t>
  </si>
  <si>
    <t>OMO BG DO RE0122 4X2.9KG</t>
  </si>
  <si>
    <t>LIFEBUOY DG MMKK/ST BVVT 8(1+1)640G/200G</t>
  </si>
  <si>
    <t>LIFEBUOY DG DTOA/ST BVVT 8(1+1)640G/200G</t>
  </si>
  <si>
    <t>SUNLIGHT NRC KMT MATCHA TUI NZL 4X3.4KG</t>
  </si>
  <si>
    <t>SUNLIGHT NRC T.N MK&amp;LHOI TUI NZL 4X3.4KG</t>
  </si>
  <si>
    <t>SUNLIGHT NRC CHANH100 TUI NZL 4X3.5KG</t>
  </si>
  <si>
    <t>HAZELINE ST MTCH LD/HOALY 8(1+1)1KG/300G</t>
  </si>
  <si>
    <t>HAZELINE ST YMCH DT/HOALY 8(1+1)1KG/300G</t>
  </si>
  <si>
    <t>HAZELINE ST S.ONGCHUA HLY 8(1+1)1KG/300G</t>
  </si>
  <si>
    <t>LIFEBUOY ST BVVTTROI10 8(1+BODUNGCU)800G</t>
  </si>
  <si>
    <t>LIFEBUOY ST CHAMSOC DA 8(1+BODUNGCU)800G</t>
  </si>
  <si>
    <t>LIFEBUOY ST ML SKHOAI 8(1+BODUNGCU)800G</t>
  </si>
  <si>
    <t>LIFEBUOY ST TXANH KQUA 8(1+BODUNGCU)800G</t>
  </si>
  <si>
    <t>LIFEBUOY ST TRAMTRA MH 8(1+BODUNGCU)800G</t>
  </si>
  <si>
    <t>COMFORT 1LX DD CDNC/OMO NG 3(1.8L+412G)</t>
  </si>
  <si>
    <t>COMFORT 1LX DD CDNC/OMO NG 3(2.8L+412G)</t>
  </si>
  <si>
    <t>COMFORT CSCS PTN H.NM/SAMP 3(1.8L+250ML)</t>
  </si>
  <si>
    <t>COMFORT CSCS PTN H.NM/SAMP 3(2.8L+250ML)</t>
  </si>
  <si>
    <t>COMFORT CSCS 1LX H.BM/SAMP 3(1.8L+250ML)</t>
  </si>
  <si>
    <t>COMFORT CSCS 1LX H.BM/SAMP 3(2.8L+250ML)</t>
  </si>
  <si>
    <t>COMFORT DD NNMH H.TM/SAMP 3(1.8L+250ML)</t>
  </si>
  <si>
    <t>COMFORT DD NNMH H.TM/SAMP 3(2.8L+250ML)</t>
  </si>
  <si>
    <t>COMFORT CSCS NH TN BLA/SAMP3(1.8L+250ML)</t>
  </si>
  <si>
    <t>COMFORT CSCS NH TN BLA/SAMP3(2.8L+250ML)</t>
  </si>
  <si>
    <t>COMFORT CSCS HNTN JNIE/SAMP3(1.8L+250ML)</t>
  </si>
  <si>
    <t>COMFORT CSCS NH TN SPH/SAMP3(1.8L+250ML)</t>
  </si>
  <si>
    <t>COMFORT CSCS NH TN SPH/SAMP3(2.8L+250ML)</t>
  </si>
  <si>
    <t>PONDS SRM SANG DA BB/KD WB 24(1+3)50G/7G</t>
  </si>
  <si>
    <t>PONDS SRM SDA SS PB/KD WB 24(1+3)50G/7G</t>
  </si>
  <si>
    <t>VASELINE HB 5D SPF50+ SERUM VN 12X300ML</t>
  </si>
  <si>
    <t>OMO BG CF TDT N.NAN(BALE) RE0122 36X350G</t>
  </si>
  <si>
    <t>LIFEBUOY ST THT BACHA 8(1+ BODUNGCU)850G</t>
  </si>
  <si>
    <t>LUX ST BOT PHONG LAN Q.RU 12X540G</t>
  </si>
  <si>
    <t>LUX ST BOT HONGPHAP NONGNAN 12X540G</t>
  </si>
  <si>
    <t>P/S KDR BV 123/TRA XANH 21X(1+1)180G/30G</t>
  </si>
  <si>
    <t>KNORR HAT NEM NAM HUONG ORGANIC 8X800G</t>
  </si>
  <si>
    <t>KNORR HN NAM HUONG ORG TET23 DT 8X800G</t>
  </si>
  <si>
    <t>KNORR HAT NEM TT&amp;XO&amp;T TET23 DT 16X400G</t>
  </si>
  <si>
    <t>KNORR HAT NEM TT&amp;XO&amp;T TET23 DT 8X900G</t>
  </si>
  <si>
    <t>KNORR HN NAM HUONG ORG TET23 DT 16X380G</t>
  </si>
  <si>
    <t>KNORR GVHC CK RIENG AW0122 10X7X28G</t>
  </si>
  <si>
    <t>KNORR GVHC T.KHO TAU AW0122 10X7X28G</t>
  </si>
  <si>
    <t>KNORR NUOC MAM NGON TRON VI 12X750ML</t>
  </si>
  <si>
    <t>KNORR NUOC MAM NGON NGUYEN BAN 12X500ML</t>
  </si>
  <si>
    <t>CLEAR DG MAT LANH BAC HA 660X6G</t>
  </si>
  <si>
    <t>CLEAR SP ICY SAKURA 660X6G</t>
  </si>
  <si>
    <t>CIF THIEN NHIEN LAU BEP PA0222 12X500ML</t>
  </si>
  <si>
    <t>CIF THNHIEN LAU DA NANG PA0222 12X500ML</t>
  </si>
  <si>
    <t>SUNLIGHT LAU SAN HUONG QUE 3x3.6KG</t>
  </si>
  <si>
    <t>SUNLIGHT LAU SAN HUONG QUE 12x1KG</t>
  </si>
  <si>
    <t>CLEAR MEN DG MLBH/SSAU 8(1+1)630G/140G</t>
  </si>
  <si>
    <t>CLEAR MEN DG SSAU/MLBH 8(1+1)630G/140G</t>
  </si>
  <si>
    <t>CLEAR DG ML BHA/MEN MLBH 8(1+1)630G/140G</t>
  </si>
  <si>
    <t>SURF BG NH GOLD DUYENDANG RE0222 3X5.3KG</t>
  </si>
  <si>
    <t>SURF BG NH AQUA QUYEN RU RE0222 3X5.3KG</t>
  </si>
  <si>
    <t>SURF BG HNXV NGAT H.XUAN RE0222 3X5.5KG</t>
  </si>
  <si>
    <t>SURF BG HNXV NGAT H.XUAN RE0222 36X380G</t>
  </si>
  <si>
    <t>SURF BG HNXV NGAT H.XUAN RE0222 6X2KG</t>
  </si>
  <si>
    <t>SURF BG HNXV NGAT H.XUAN RE0222 18X800G</t>
  </si>
  <si>
    <t>OMO MTC CF TDT/CF T.XUAN 3(3.6KG+412G)</t>
  </si>
  <si>
    <t>OMO MTC CTRC B.DEP/CF T.X 3(3.6KG+412G)</t>
  </si>
  <si>
    <t>OMO MTC CTRC O.H/CF T.XUAN 3(3.6KG+412G)</t>
  </si>
  <si>
    <t>LIFEBUOY NRT BAC BVE 12(1+B2S KHAN)450G</t>
  </si>
  <si>
    <t>LIFEBUOY NRT SUA D.AM 12(1+B2S KHAN)450G</t>
  </si>
  <si>
    <t>OMO BG CF TDT VANG/NG TDT 2(3.9KG+412G)</t>
  </si>
  <si>
    <t>OMO BG CF TDT HONG/NG TDT 2(3.9+412G)</t>
  </si>
  <si>
    <t>OMO BG DO/OMO NG TDT 2(4.3KG+412G)</t>
  </si>
  <si>
    <t>LIFEBUOY HW VTMIN TOTAL10 3X4KG</t>
  </si>
  <si>
    <t>LIFEBUOY Nước Rửa Tay Vitamin Bảo Vệ Vượt Trội 1kg/12 túi</t>
  </si>
  <si>
    <t>LIFEBUOY HW VTMIN TOTAL10 POU 24X400G</t>
  </si>
  <si>
    <t>KNORR HAT NEM TT&amp;XO&amp;T 10(1+1)900G/150G</t>
  </si>
  <si>
    <t>P/S KDR NSRVT/TR.XANH 21(1+1)180G/30G</t>
  </si>
  <si>
    <t>LIFEBUOY ST SDA/CLR SGN 10(800G+140G)</t>
  </si>
  <si>
    <t>LIFEBUOY ST TTR MH/CLR SGN 10(800G+140G)</t>
  </si>
  <si>
    <t>LIFEBUOY ST TX KQ/CLR SGN 10(800G+140G)</t>
  </si>
  <si>
    <t>LIFEBUOY ST THT CG/CLR SGN 10(800G+140G)</t>
  </si>
  <si>
    <t>CLEAR DG 9 THAO DUOC SACH GAU 12X340G</t>
  </si>
  <si>
    <t>CLEAR DG 9 THAO DUOC SACH GAU 8X630G</t>
  </si>
  <si>
    <t>69652439A</t>
  </si>
  <si>
    <t>CLEAR Dầu Gội 9 Thảo Dược Cổ Truyền 630g/8 Chai</t>
  </si>
  <si>
    <t>HAZELINE Sữa Tắm Yến Mạch Dâu Tằm 1kg (1+Hộp)/12 bộ</t>
  </si>
  <si>
    <t>DOVE Sữa Tắm Dưỡng Ẩm Chuyên Sâu 500g (1+Hộp)/12 bộ</t>
  </si>
  <si>
    <t>DOVE Sữa Tắm Hương Hoa Ngọt Ngào 500g (1+Hộp)/12 bộ</t>
  </si>
  <si>
    <t>LUX ST P.LAN QRU/HPH NN 12(1+1)540G/330G</t>
  </si>
  <si>
    <t>LUX ST H.PHAP NN/PL QRU 12(1+1)540G/330G</t>
  </si>
  <si>
    <t>LIFEBUOY ST BVVT10/TXCT 12(800G+200G)</t>
  </si>
  <si>
    <t>LIFEBUOY ST SUA D.AM/TXCT 12(800G+200G)</t>
  </si>
  <si>
    <t>LIFEBUOY ST MLSK/TXCT 12(800G+200G)</t>
  </si>
  <si>
    <t>LIFEBUOY ST MTCH KQ/TXCT 12(800G+200G)</t>
  </si>
  <si>
    <t>LIFEBUOY ST TRAMTRA/TXCT 12(800G+200G)</t>
  </si>
  <si>
    <t>LIFEBUOY ST THANCAM/TXCT 12(800G+200G)</t>
  </si>
  <si>
    <t>LIFEBUOY NRT BVVT10/TXCT 12(450G+120G)</t>
  </si>
  <si>
    <t>LIFEBUOY NRT SUA D.AM/TXCT 12(450G+120G)</t>
  </si>
  <si>
    <t>VASELINE SRDT GH WB FLLS BRG UV 12X330ML</t>
  </si>
  <si>
    <t>tuýp</t>
  </si>
  <si>
    <t>VASELINE SRDT GH WB DEWY RDNC 12X330ML</t>
  </si>
  <si>
    <t>SURF NRC TRA XANH &amp; LA DUA TUI 4X3.5KG</t>
  </si>
  <si>
    <t>SURF NRC CHANH SA TUI 4X3.5KG</t>
  </si>
  <si>
    <t>P/S KDR TRA XANH/B.CHAI X30 36(180G+1PC)</t>
  </si>
  <si>
    <t>SUNLIGHT LAU KINH SIEU NHANH 12X520ML</t>
  </si>
  <si>
    <t>SUNLIGHT TH NHIEN LAU BEP 12X500ML</t>
  </si>
  <si>
    <t>SUNLIGHT TH NHIEN LAU DA NANG 12X500ML</t>
  </si>
  <si>
    <t>SUNLIGHT KEM TAY CHUYEN DUNG 16X690G</t>
  </si>
  <si>
    <t>SUNLIGHT LAU DA NANG SIEU NHANH 12X520ML</t>
  </si>
  <si>
    <t>DOVE ST DNG AM CHUYEN SAU 12(1+KHAN)500G</t>
  </si>
  <si>
    <t>DOVE ST C.SOC DA NHAY CAM 12(1+KHAN)500G</t>
  </si>
  <si>
    <t>DOVE ST H.HOA NGOT NGAO 12(1+KHAN)500G</t>
  </si>
  <si>
    <t>OMO BG TDT HH DM BL/NG SAMP2(5.3KG+500G)</t>
  </si>
  <si>
    <t>OMO BG TDT S.TRONG/NG SAMP 2(5.3KG+500G)</t>
  </si>
  <si>
    <t>OMO BG DO/NG SAMP 2(5.7KG+500G)</t>
  </si>
  <si>
    <t>P/S KDR MUOI HONG 10X(1+LY SU)180G</t>
  </si>
  <si>
    <t>P/S KDR THAN HOAT TINH 10X(1+LY SU)180G</t>
  </si>
  <si>
    <t>COMFORT NX1LX DD CDNC/OMO 3(1.8L+ 412G)</t>
  </si>
  <si>
    <t>COMFORT NX1LX DD CDNC/OMO  3(2.8L+ 412G)</t>
  </si>
  <si>
    <t>COMFORT CSCS PTNHN.MOI/OMO 3(2.8L+ 412G)</t>
  </si>
  <si>
    <t>COMFORT CSCS PTNHN.MOI/OMO 3(1.8L+ 412G)</t>
  </si>
  <si>
    <t>COMFORT CSCS 1LX HBMAI/OMO 3(1.8L+ 412G)</t>
  </si>
  <si>
    <t>COMFORT CSCS 1LX HBMAI/OMO 3(2.8L+ 412G)</t>
  </si>
  <si>
    <t>COMFORT CSCS 1LX HGXUAN/OMO3(1.8L+ 412G)</t>
  </si>
  <si>
    <t>COMFORT DD NNMH HT MAT/OMO 3(1.8L+ 412G)</t>
  </si>
  <si>
    <t>COMFORT DD NNMH HT MAT/OMO 3(2.8L+ 412G)</t>
  </si>
  <si>
    <t>COMFORT CSCS NH TN BLLA/OMO3(1.8L+ 412G)</t>
  </si>
  <si>
    <t>COMFORT CSCS NH TN BLLA/OMO3(2.8L+ 412G)</t>
  </si>
  <si>
    <t>COMFORT CSCS HNTN JNNIE/OMO3(1.8L+ 412G)</t>
  </si>
  <si>
    <t>COMFORT CSCS HNTN JNNIE/OMO3(2.8L+ 412G)</t>
  </si>
  <si>
    <t>COMFORT CSCS NH TN SPHA/OMO3(1.8L+ 412G)</t>
  </si>
  <si>
    <t>COMFORT CSCS NH TN SPHA/OMO3(2.8L+ 412G)</t>
  </si>
  <si>
    <t>SUNLIGHT NRC CHANH 100 RE0123 24X400G</t>
  </si>
  <si>
    <t>SUNLIGHT NRC CHANH 100 RE0123 15X750G</t>
  </si>
  <si>
    <t>SUNLIGHT HDW LEMON RE0123 9X1.5KG</t>
  </si>
  <si>
    <t>SUNLIGHT NRC CHANH 100 RE0123 3X3.6KG</t>
  </si>
  <si>
    <t>SUNLIGHT NRC CHANH100 TUI RE0123 18X750G</t>
  </si>
  <si>
    <t>SUNLIGHT HDW LEMON POU RE0123 4X2.6KG</t>
  </si>
  <si>
    <t xml:space="preserve"> SUNLIGHT NRC CHANH100 TUI RE0123 4X3.5KG</t>
  </si>
  <si>
    <t>SUNLIGHT NRC CHANH100 TUI RE0123 9X1.4KG</t>
  </si>
  <si>
    <t>SUNLIGHT Nước Rửa Chén Chanh Mới 9.5kg/1 can</t>
  </si>
  <si>
    <t>KNORR NM NGON TV/HN T.X.T 12(750ML+150G)</t>
  </si>
  <si>
    <t>PONDS AM KDNNLH BN/SERUM 12(1+3)50G/7G</t>
  </si>
  <si>
    <t>PONDS AM KDNNLH BD/SERUM 12(1+3)50G/7G</t>
  </si>
  <si>
    <t>SUNLIGHT FLR BIO LMGRSS RE0123 12X1KG</t>
  </si>
  <si>
    <t>SUNLIGHT FLR BIO LMGRSS RE0123 3X3.6KG</t>
  </si>
  <si>
    <t>SUNLIGHT NLS BIOSHIELD Hương Chanh Yuzu &amp; Sả 3.4kg/4 túi</t>
  </si>
  <si>
    <t>SUNLIGHT FLR BIO CINNAMON RE0123 12X1KG</t>
  </si>
  <si>
    <t>SUNLIGHT NLS BIOSHIELD Hương Quế &amp; Cam Bergamot 3.6kg/3 chai</t>
  </si>
  <si>
    <t>COMFORT PRCR SS JENNIE POU RE0123 4X1.8L</t>
  </si>
  <si>
    <t>COMFORT CSCS HNH Thiên Nhiên Quyến Rũ 2.8L/4 Túi</t>
  </si>
  <si>
    <t>COMFORT PRCR SS JENNIE RE0123 300X20ML</t>
  </si>
  <si>
    <t>COMFORT PRCR SS SOPHIA POU RE0123 4X1.8L</t>
  </si>
  <si>
    <t>COMFORT NX CSCS HNHTN TINH TE TUI 4X3.8L</t>
  </si>
  <si>
    <t>COMFORT PRCR SS SOPHIA RE0123 300X20ML</t>
  </si>
  <si>
    <t>KNORR HN T&amp;X&amp;T_DT(170G TANG 50G) 32X220G</t>
  </si>
  <si>
    <t>KNORR HN NAM_DT(170G TANG 50G) 32X220G</t>
  </si>
  <si>
    <t>LIFEBUOY ST BVVT/SDA RE23 12(800G+240G)</t>
  </si>
  <si>
    <t>LIFEBUOY ST SUA D.AM RE23 12(800G+240G)</t>
  </si>
  <si>
    <t>LIFEBUOY ST MLANH/SDA RE23 12(800G+240G)</t>
  </si>
  <si>
    <t>LIFEBUOY ST TH.HT/SDA 12(1+1)800G/240G</t>
  </si>
  <si>
    <t>LIFEBUOY ST MATCHA/SDA 12(1+1)800G/240G</t>
  </si>
  <si>
    <t>LIFEBUOY ST TRAMTRA/SDA 12(1+1)800G/240G</t>
  </si>
  <si>
    <t>CLEAR DG 9 T.DUOC SACHGAU 12(1+CARD)340G</t>
  </si>
  <si>
    <t>CLEAR DG 9 T.DUOC SACH GAU 8(1+CARD)630G</t>
  </si>
  <si>
    <t>LUX ST BTNCL HG PHONGLAN QUYENRU 12X570G</t>
  </si>
  <si>
    <t>LUX ST BTNCL HG HONGPHAP NONGNAN 12X570G</t>
  </si>
  <si>
    <t>LUX SG BOT FREESIA&amp;TEA TREE 12X570G</t>
  </si>
  <si>
    <t>COMFORT PRCR SS BELLA POU RE0123 4X1.8L</t>
  </si>
  <si>
    <t>COMFORT NX CSCS HNHTN DIEU KY TUI 4X3.8L</t>
  </si>
  <si>
    <t>COMFORT CSCS HNH TN DIEU KY CHAI12X800ML</t>
  </si>
  <si>
    <t>COMFORT NX CSCS HNHTN DIEU KY 300X20ML</t>
  </si>
  <si>
    <t>KNORR HN T.X.T /NM NGON TV 8(900G+245ML)</t>
  </si>
  <si>
    <t>CLEAR MEN DG NUOC HOA DEEP OCEAN 8X600G</t>
  </si>
  <si>
    <t>69719225A</t>
  </si>
  <si>
    <t>CLEAR MEN DG SạchGàu Hương Nước Hoa Biển&amp;Hổ Phách 600g/8Chai</t>
  </si>
  <si>
    <t>CLEAR MEN DG NUOCHOA WARM FOREST 12X340G</t>
  </si>
  <si>
    <t>CLEAR MEN DG NUOC HOA DEEP OCEAN 12X340G</t>
  </si>
  <si>
    <t>CLEAR MEN DG SạchGàu Hương Nước Hoa Biển&amp;Hổ Phách 840g/8Chai</t>
  </si>
  <si>
    <t>CLEAR MEN DG NUOC HOA WARM FOREST 8X600G</t>
  </si>
  <si>
    <t>69719229A</t>
  </si>
  <si>
    <t>CLEAR MEN DG SạchGàu Hương Nước Hoa Gỗ &amp; Phong Lữ 600g/8Chai</t>
  </si>
  <si>
    <t xml:space="preserve"> CLEAR MEN DG NUOC HOA WARM FOREST 8X840G</t>
  </si>
  <si>
    <t>OMO NG MT CF HH ECDOR/KMTT 3(3.6KG+412G)</t>
  </si>
  <si>
    <t>OMO NG MT CF TD THOM/KMTT 3(3.6KG+412G)</t>
  </si>
  <si>
    <t>OMO NG MT KM THU THAI/KMTT 3(3.6KG+412G)</t>
  </si>
  <si>
    <t>OMO NG MT KHU MUI/KMTT 3(3.9KG+412G)</t>
  </si>
  <si>
    <t>OMO NG MG CTRC BENDEP/KMTT 3(3.6KG+412G)</t>
  </si>
  <si>
    <t xml:space="preserve"> COMFORT CSCS H.NUOCHOA QUYEN RU 4X3.2L</t>
  </si>
  <si>
    <t>SUNLIGHT LS HUONG QUE/NRC200 8(1KG+200G)</t>
  </si>
  <si>
    <t>SUNLIGHT LS CHANH XA/NRC200 8X(1KG+200G)</t>
  </si>
  <si>
    <t>SUNLIGHT LS LILY/NRC200 8X(1KG+200G)</t>
  </si>
  <si>
    <t>VIM TOILET XANH BIEN 10X(880ML+200G)</t>
  </si>
  <si>
    <t>KNORR NM NGON NB/HN T.X.T 6(500ML+150G)</t>
  </si>
  <si>
    <t>VASELINE Sữa Dưỡng Thể Trắng Da Tức Thì 350ml/12 Chai</t>
  </si>
  <si>
    <t>LUX ST P.LAN QRU/HPH NN 12(1+1)570G/330G</t>
  </si>
  <si>
    <t>LUX ST H.PHAP NN/PL QRU 12(1+1)570G/330G</t>
  </si>
  <si>
    <t>COMFORT HNH C.N H.THANH XUAN 300X20ML</t>
  </si>
  <si>
    <t>COMFORT HNH C.N H.THANH XUAN TUI 4X1.7L</t>
  </si>
  <si>
    <t>OMO BG TDT STBL/BG HH DMBL 2(3.9KG+360G)</t>
  </si>
  <si>
    <t>OMO BG HH DMBL/BG HH DMBL 2(3.9KG+360G)</t>
  </si>
  <si>
    <t>OMO BG DO/BG HHDMBL 2(4.3KG+360G)</t>
  </si>
  <si>
    <t>SUNLIGHT DW GREEN TEA ECOTECH 24X400G</t>
  </si>
  <si>
    <t>SUNLIGHT DW GREEN TEA ECOTECH 15X750G</t>
  </si>
  <si>
    <t>SUNLIGHT DW GREEN TEA ECOTECH 3X3.6KG</t>
  </si>
  <si>
    <t>SUNLIGHT DW GRN TEA ECOTECH POU 18X750G</t>
  </si>
  <si>
    <t>SUNLIGHT DW GTEA ECOTECH POU NZL 4X3.4KG</t>
  </si>
  <si>
    <t>SUNLIGHT NRC Thiên Nhiên Muối Khoáng Lô Hội 400g/24 chai</t>
  </si>
  <si>
    <t>SUNLIGHT DW NATURE ECOTECH 15X750G</t>
  </si>
  <si>
    <t>SUNLIGHT DW NATURE ECOTECH 3X3.6KG</t>
  </si>
  <si>
    <t>SUNLIGHT DW NATURE POU ECOTECH 18X750G</t>
  </si>
  <si>
    <t>SUNLIGHT DW NTR ECOTECH POU NZL 4X3.4KG</t>
  </si>
  <si>
    <t>VIM Viên Treo Bồn cầu Hoa Mộc Lan 55g/9 túi</t>
  </si>
  <si>
    <t>HAZELINE ST MATCHA LUU DO 12(1+KHAN)800G</t>
  </si>
  <si>
    <t>HAZELINE ST YMACH DAUTAM 12(1+KHAN)800G</t>
  </si>
  <si>
    <t>HAZELINE ST SUA OCHUA HLY 12(1+KHAN)800G</t>
  </si>
  <si>
    <t>OMO NG MATIC GIU MAU CTRN RE0123 4X2KG</t>
  </si>
  <si>
    <t>OMO NG MATIC GIU MAU CTRN RE0123 4X3.6KG</t>
  </si>
  <si>
    <t>DOVE SG DEEP MOIST/SAKURA 12(500G+200G)</t>
  </si>
  <si>
    <t>DOVE SG SAKURA BLOSSOM 12(1+1)500G/200G</t>
  </si>
  <si>
    <t>DOVE ST CSDa Nhạy Cảm 500g (1+ST Hương Hoa N.Ngào200g)/12 Bộ</t>
  </si>
  <si>
    <t>SUNLIGHT NRC T.N MK&amp;LHOI (TR.V) 3X3.6KG</t>
  </si>
  <si>
    <t>SUNLIGHT NRC CHANH100 CAN (TR.V) 3X3.6KG</t>
  </si>
  <si>
    <t>SUNLIGHT NRC KMT MATCHA T.N(TR.V)3X3.6KG</t>
  </si>
  <si>
    <t>LUX Sữa Tắm Botanicals Phong Lan Quyến Rũ 570g (1+Hộp)/12 bộ</t>
  </si>
  <si>
    <t>PONDS KDA BN BB/NTT HH 12(1+1)50G/100ML</t>
  </si>
  <si>
    <t>PONDS KDA BD BB/NTT HH 12(1+1)50G/100ML</t>
  </si>
  <si>
    <t>PONDS SRM BRT BTY/KDD BN 24(1+3)50G/6.5G</t>
  </si>
  <si>
    <t>PONDS SRM PURE BR/KDD BN 24(1+3)50G/6.5G</t>
  </si>
  <si>
    <t>PONDS SRM PURE BR/NTT HH 24(100G+100ML)</t>
  </si>
  <si>
    <t>PONDS SRM BRT BTY/NTT HH 24(100G+100ML)</t>
  </si>
  <si>
    <t>SUNLIGHT NRC QUE BO HON 15X750G</t>
  </si>
  <si>
    <t>SUNLIGHT NRC Hương Quế 750G/15 chai</t>
  </si>
  <si>
    <t>DOVE DG ONG MEM TU NHIEN 8(1+KHAN23)640G</t>
  </si>
  <si>
    <t>DOVE DG NGAN GAYRUNG TOC 8(1+KHAN23)640G</t>
  </si>
  <si>
    <t>SUNSILK DG D.NG GAYRUNG 8(1+KHAN23)650G</t>
  </si>
  <si>
    <t>TRESEMME DG V.NEP MUOTMA 8(1+KHAN23)640G</t>
  </si>
  <si>
    <t>COMFORT NX CSCS 100H LHS HVXUAN 300X20ML</t>
  </si>
  <si>
    <t>COMFORT NX CSCS 100H LHS HVXUAN 4X1.8L</t>
  </si>
  <si>
    <t>COMFORT NX CSCS 100H LHS HVXUAN 4X2.8L</t>
  </si>
  <si>
    <t>COMFORT NX CSCS 100H LHS HVXUAN 4X3.2L</t>
  </si>
  <si>
    <t>CLEAR DG MLANH BH/MEN CS 12(1+1)340G/70G</t>
  </si>
  <si>
    <t>SUNLIGHT FLR PINK POU RE0123 12X1KG</t>
  </si>
  <si>
    <t>SUNLIGHT FLR LAVENDER 12X1KG</t>
  </si>
  <si>
    <t>SUNLIGHT FLR LAVENDER 3X3.6KG</t>
  </si>
  <si>
    <t>SUNLIGHT NLS H.HOA LAVENDER TUI 4X3.6KG</t>
  </si>
  <si>
    <t>PONDS KDNNLH BN AM/VSL DEWY 12(50G+70ML)</t>
  </si>
  <si>
    <t>PONDS KDNNLH BD AM/VSL DEWY 12(50G+70ML)</t>
  </si>
  <si>
    <t>COMFORT 1LX DD CDNC/OMO 3(1.8L+350G)</t>
  </si>
  <si>
    <t>COMFORT 1LX DD CDNC/SL 3(2.8L+600G)</t>
  </si>
  <si>
    <t>COMFORT CSCS PTN HNM/OMO 3(1.8L+350G)</t>
  </si>
  <si>
    <t>COMFORT CSCS PTN HNM/SL 3(2.8L+600G)</t>
  </si>
  <si>
    <t>COMFORT CSCS 1LX HBM/OMO 3(1.8L+350G)</t>
  </si>
  <si>
    <t>COMFORT CSCS 1LX HBM/SL 3(2.8L+600G)</t>
  </si>
  <si>
    <t>COMFORT CSCS 1LX HGX/OMO 3(1.8L+350G)</t>
  </si>
  <si>
    <t>COMFORT DD NNMH HTM/SL NLS 3(2.8L+600G)</t>
  </si>
  <si>
    <t>COMFORT CSCS NHTN BELLA/OMO 3(1.8L+350G)</t>
  </si>
  <si>
    <t>COMFORT CSCS NHTN BELLA/SL 3(2.8L+600G)</t>
  </si>
  <si>
    <t>COMFORT CSCS HNTN JENNIE/OMO3(1.8L+350G)</t>
  </si>
  <si>
    <t>COMFORT CSCS HNTN JENNIE/SL 3(2.8L+600G)</t>
  </si>
  <si>
    <t>COMFORT CSCS NHTN SOPHA/OMO 3(1.8L+350G)</t>
  </si>
  <si>
    <t>OUTER CF PRC A-MLDR/SUNLIGHT3(2.8L+600G)</t>
  </si>
  <si>
    <t>TRESEMME Dầu Gội + Dầu Xả Vào Nếp Mượt Mà 480G (1+1)/4 Bộ</t>
  </si>
  <si>
    <t>LIFEBUOY SG HERBAL &amp; LOTUS 12X800G</t>
  </si>
  <si>
    <t>69758272A</t>
  </si>
  <si>
    <t>LIFEBUOY sữa tắm Thảo dược&amp;Hoa sen 800g/12 chai</t>
  </si>
  <si>
    <t>HAZELINE ST S OCHUA HLY(12FR1) 1092X4.5G</t>
  </si>
  <si>
    <t>DOVE DG PHUC HOI HU TON 12(1+1)325G/70G</t>
  </si>
  <si>
    <t>P/S TP KIDS 2-6YRS ORANGE 60X90G</t>
  </si>
  <si>
    <t>P/S TP KIDS 2-6YRS STRAWBERRY 60X90G</t>
  </si>
  <si>
    <t>P/S KDR SST FRESH MINT+ BCDR 36(1+1)100G</t>
  </si>
  <si>
    <t>P/S KDR SST ORIGINAL + BCDR 36(1+1)100G</t>
  </si>
  <si>
    <t>P/S KDR SST WHITENING + BCDR 36(1+1)100G</t>
  </si>
  <si>
    <t>LIFEBUOY ST TRAM TRA MUOI HONG 12X500G</t>
  </si>
  <si>
    <t>COMFORT DD NNMH HTM/OMO 3(1.8L+350G)</t>
  </si>
  <si>
    <t>CLOSE UP KDR B.HA/BC X30 24(230G+1PC)</t>
  </si>
  <si>
    <t>CLOSE UP KDR B.TUYET/BC X30 24(230G+1PC)</t>
  </si>
  <si>
    <t>LIFEBUOY ST BVVT10/SDA 12(1+1)800G/350G</t>
  </si>
  <si>
    <t>LIFEBUOY ST CHAM SOC DA 12(1+1)800G/350G</t>
  </si>
  <si>
    <t>LIFEBUOY ST ML SKH/SDA 12(1+1)800G/350G</t>
  </si>
  <si>
    <t>OMO NG MG CTRC N.NGUA MUI AM MOC 4X2KG</t>
  </si>
  <si>
    <t>OMO NG MG CTRC N.NGUA MUI AM MOC 4X2.8KG</t>
  </si>
  <si>
    <t>OMO NG MG CTRC N.NGUA MUI AM MOC 4X3.6KG</t>
  </si>
  <si>
    <t>SUNLIGHT DW CINNAMON S.BERRY 3X3.6KG</t>
  </si>
  <si>
    <t>SUNLIGHTNLSHOAHASAMPRE0123 12X900G</t>
  </si>
  <si>
    <t>P/S KDR NGUA SAU RANG V.TROI Y23 36X180G</t>
  </si>
  <si>
    <t>P/S KĐR Ngừa Sâu Răng Vượt Trội 230g/36 ống</t>
  </si>
  <si>
    <t>P/S TP ANTI CAVITY Y23 60X100G</t>
  </si>
  <si>
    <t xml:space="preserve"> CLOSE UP KDR KK B.HA/B.HA 21(180G+50G)</t>
  </si>
  <si>
    <t xml:space="preserve"> CLOSE UP KK B.TUYET/B.TUYET 21(180G+50G)</t>
  </si>
  <si>
    <t>HAZELINE Sữa Tắm yến mạch dâu tằm 6gx12/84Dây</t>
  </si>
  <si>
    <t>HAZELINE Sữa Tắm Sữa Ong Chúa Hoa Ly 6gx12/84Dây</t>
  </si>
  <si>
    <t>LIFEBUOY ST CHAM SOC DA 6(1+CARD)1.1KG</t>
  </si>
  <si>
    <t>LIFEBUOY ST BV VUOTTROI10 6(1+CARD)1.1KG</t>
  </si>
  <si>
    <t>HAZELINE ST YENMACH DAUTAM 12(1+CARD)1KG</t>
  </si>
  <si>
    <t>HAZELINE ST MATCHA LUU DO 12(1+CARD)1KG</t>
  </si>
  <si>
    <t>HAZELINE ST SUA O.CHUA HLY 12(1+CARD)1KG</t>
  </si>
  <si>
    <t>OMO PW HW RED/LQ CF GOLD 3(2.9KG+206G)</t>
  </si>
  <si>
    <t>OMO PW CF SSRL/LQ CF GOLD 3(2.6KG+206G)</t>
  </si>
  <si>
    <t>SURF Nước Giặt Chuyên Dụng Hương Nước Xả 9kg/1 can</t>
  </si>
  <si>
    <t>CLEAR DG MLNH BHA/MEN WF 8(1+1)630G/140G</t>
  </si>
  <si>
    <t>P/S TP GREEN TEA/G.TEA 24(1+1)180G/50G</t>
  </si>
  <si>
    <t>69968494A</t>
  </si>
  <si>
    <t>CLEAR MEN Dầu Gội Mát Lạnh Bạc Hà 630g (1+1DG140g)/8Bộ</t>
  </si>
  <si>
    <t>CLEAR MEN DG WARM FOREST 8(1+KHAN)600G</t>
  </si>
  <si>
    <t>KNORR Hạt Nêm Nấm Hương Organic 380g/16 gói</t>
  </si>
  <si>
    <t>KNORR HN ORG NAM HUONG AW23 38X170G</t>
  </si>
  <si>
    <t>KNORR ORGANIC MUSHROOM SHTK AW23 8X800G</t>
  </si>
  <si>
    <t>Sunlight NLS Tinh Dầu T.Mát Hương.Lily Chuyên Dụng 9kg/1 can</t>
  </si>
  <si>
    <t>DOVE ST DUONG AM CHUYEN SAU 1008X6G</t>
  </si>
  <si>
    <t>DOVE SG SAKURA BLOSSOM 1008X6G</t>
  </si>
  <si>
    <t>SUNLIGHT NRC Thiên Nhiên Muối Khoáng và Lô Hội 2.1kg/4 túi</t>
  </si>
  <si>
    <t>69970459A</t>
  </si>
  <si>
    <t>HAZELINE GRM MCTT/LUX STPL 24(100G+100G)</t>
  </si>
  <si>
    <t>HAZELINE SRM N.HC/LUX STPL 24(100G+100G)</t>
  </si>
  <si>
    <t>LIFEBUOY SG MATCHA/HRBL 12(1+1)800G/200G</t>
  </si>
  <si>
    <t>LIFEBUOY SG CHARCL/HRBL 12(1+1)800G/200G</t>
  </si>
  <si>
    <t>LIFEBUOY SG TEATR/HRBL 12(1+1)800G/200G</t>
  </si>
  <si>
    <t>LIFEBUOY SG HERBAL LTS 12(1+1)800G/200G</t>
  </si>
  <si>
    <t>SURF HDW LEMONGRASS PR-P 3X3.6KG</t>
  </si>
  <si>
    <t>LUX SG MGC ORCHD/FR RSE 12(1+1)570G/350G</t>
  </si>
  <si>
    <t>LUX SG FR RSE/MGC ORCHD 12(1+1)570G/350G</t>
  </si>
  <si>
    <t>PONDS BRIGHT BEAUTY FF RE0123 24X100G</t>
  </si>
  <si>
    <t>PONDS BRIGHT BEAUTY FF RE0123 24X50G</t>
  </si>
  <si>
    <t>PONDS PURE BRIGHT FF RE0123 24X100G</t>
  </si>
  <si>
    <t>PONDS PURE BRIGHT FF RE0123 24X50G</t>
  </si>
  <si>
    <t>P/S Bàn chải đánh răng 4D Kháng khuẩn/48 cây</t>
  </si>
  <si>
    <t>P/S Bàn chải đánh răng 4D Chăm sóc nướu khỏe/48 cây</t>
  </si>
  <si>
    <t>P/S BCĐR Lông Tơ Sạch Hiệu Quả 6cây/12 vỉ</t>
  </si>
  <si>
    <t>P/S BCĐR Lông Tơ Mềm Mại 6cây/12 vỉ</t>
  </si>
  <si>
    <t>COMFORT 1R PRCR PINK/OMO LQ 3(2.8L+350G)</t>
  </si>
  <si>
    <t>COMFORT NX1LX DD CDNC/OMO 3(2.8L+350G)</t>
  </si>
  <si>
    <t>COMFORT CSCS PTN H.N.M/OMO 3(2.8L+350G)</t>
  </si>
  <si>
    <t>COMFORT NX CSCS HNHTN DK/OMO3(2.8L+350G)</t>
  </si>
  <si>
    <t>COMFORT NX CSCS HNHTN QR/OMO3(2.8L+350G)</t>
  </si>
  <si>
    <t>COMFORT NX CSCS HNHTN TT/OMO3(2.8L+350G)</t>
  </si>
  <si>
    <t>COMFORT CSCS 1LX HBM/OMO 3(2.8L+350G)</t>
  </si>
  <si>
    <t>COMFORT PRCR A-MLDR/OMO LQ 3(2.8L+350G)</t>
  </si>
  <si>
    <t>SUNLIGHT NRC Chanh 750gr ( 1chai + 1 miếng rửa chén )/10 bộ</t>
  </si>
  <si>
    <t>OMO LQ MTC TL B.CARE/SAMP 3(3.6KG+350G)</t>
  </si>
  <si>
    <t>COMFORT Chuyên Dụng Hương Thơm Mát 4.6L/2 Can</t>
  </si>
  <si>
    <t>COMFORT Chuyên Dụng Hương Ngọt Ngào 4.6L/2 Can</t>
  </si>
  <si>
    <t>CLEAR MEN SP COOL SPORT 8(1+W.BTL)630G</t>
  </si>
  <si>
    <t>69996244A</t>
  </si>
  <si>
    <t>CLEAR MEN Dầu Gội Mát Lạnh Bạc Hà 630g (1+Bình nước)/8Bộ</t>
  </si>
  <si>
    <t>CLEAR MEN SP PFM WRM FRST 8(1+W.BTL)600G</t>
  </si>
  <si>
    <t>P/S KĐR Muối Hồng&amp;Hoa Cúc 230g + 1 BCĐR Giảm ÊBuốt/24 bộ</t>
  </si>
  <si>
    <t>P/S KĐR Than Hoạt Tính 230g + 1 BCĐR Giảm ÊBuốt/24 bộ</t>
  </si>
  <si>
    <t>DAU AN TUONG AN 0.4L</t>
  </si>
  <si>
    <t>Dầu ăn tường an 1L</t>
  </si>
  <si>
    <t>Thẻ cào Viettel 10K</t>
  </si>
  <si>
    <t>THE CAO VIETTEL 20K</t>
  </si>
  <si>
    <t>CÁI</t>
  </si>
  <si>
    <t>Thẻ cào Viettel 50K</t>
  </si>
  <si>
    <t>THE CAO VIETTEL 100K</t>
  </si>
  <si>
    <t>Thẻ</t>
  </si>
  <si>
    <t>Combo 3 thẻ cào MOBI/VIETTEL 10K</t>
  </si>
  <si>
    <t>COMBO 2 THE CAO DIEN THOAI 20K</t>
  </si>
  <si>
    <t>DAU VAN THO TUONG AN 400ML</t>
  </si>
  <si>
    <t>BO CHEN XUAN 16 MON</t>
  </si>
  <si>
    <t>BO CHEN 9 MON-AW TET</t>
  </si>
  <si>
    <t xml:space="preserve"> DUONG BIEN HOA 0.5KG_CANH MAI</t>
  </si>
  <si>
    <t>BO 3 THO AW HOA HONG</t>
  </si>
  <si>
    <t>CHAI NHUA CO VOI BOM</t>
  </si>
  <si>
    <t>CHAI NHUA PET CO VOI SHAPE 2</t>
  </si>
  <si>
    <t>BINH DA CO VOI 22L_TLT</t>
  </si>
  <si>
    <t>Bình</t>
  </si>
  <si>
    <t>NUOC NGOT COCACOLA 320ML</t>
  </si>
  <si>
    <t>LON</t>
  </si>
  <si>
    <t>KHAN SUNSILK</t>
  </si>
  <si>
    <t>CHIẾC</t>
  </si>
  <si>
    <t>KHAN LIFEBUOY TYPE 1A</t>
  </si>
  <si>
    <t>GIFT BOX FOR RETAILER TET 2021-MT</t>
  </si>
  <si>
    <t>BO THAU DA NANG</t>
  </si>
  <si>
    <t>khăn cotton nhiều mầu 100g-VBL</t>
  </si>
  <si>
    <t>SAMP KNORR F.SAUCE MS 20X245ML-69655942</t>
  </si>
  <si>
    <t xml:space="preserve"> SAMP KNORR BLN MEATYGRA 32X150G-69560559</t>
  </si>
  <si>
    <t>MI HAO HAO CHUA CAY</t>
  </si>
  <si>
    <t>QUAT DIEN SENKO</t>
  </si>
  <si>
    <t>DAU AN TUONG AN 1L- VBL</t>
  </si>
  <si>
    <t>BEP NUONG DIEN GOLDSON</t>
  </si>
  <si>
    <t>CKNPP</t>
  </si>
  <si>
    <t>chiết khấu nhà pp</t>
  </si>
  <si>
    <t>COUPON</t>
  </si>
  <si>
    <t>trả thưởng chương trình coupon</t>
  </si>
  <si>
    <t>CTHH</t>
  </si>
  <si>
    <t>Trả thưởng cửa hàng hoàn hảo</t>
  </si>
  <si>
    <t>CTKM_HANG</t>
  </si>
  <si>
    <t>Chương trình khuyến mại, trả thưởng bằng hàng</t>
  </si>
  <si>
    <t>CTKM1</t>
  </si>
  <si>
    <t>Chương trình khuyến mãi, trả thưởng</t>
  </si>
  <si>
    <t>CTKM2</t>
  </si>
  <si>
    <t>Chương trình khuyến mại, trả thưởng</t>
  </si>
  <si>
    <t>CTKM3</t>
  </si>
  <si>
    <t>CTKM4</t>
  </si>
  <si>
    <t>CTKM5</t>
  </si>
  <si>
    <t>CTKM6</t>
  </si>
  <si>
    <t>CTKMH1</t>
  </si>
  <si>
    <t>Chương trình khuyến mại trả bằng hàng</t>
  </si>
  <si>
    <t>CTKMH2</t>
  </si>
  <si>
    <t>chương trình khuyến mại trả bằng hàng</t>
  </si>
  <si>
    <t>CTKMH3</t>
  </si>
  <si>
    <t>trả khuyến mại bằng hàng</t>
  </si>
  <si>
    <t>CTKMH4</t>
  </si>
  <si>
    <t>tra khuyen mai bang hang</t>
  </si>
  <si>
    <t>CTKMH5</t>
  </si>
  <si>
    <t>Tra khuyen mai hang</t>
  </si>
  <si>
    <t>CTKMH6</t>
  </si>
  <si>
    <t>trả thưởng khuyến mại bằng hàng</t>
  </si>
  <si>
    <t>CTKMH7</t>
  </si>
  <si>
    <t>CTTB1</t>
  </si>
  <si>
    <t>Trả thưởng chương trình trưng bày</t>
  </si>
  <si>
    <t>CTTB2</t>
  </si>
  <si>
    <t>CTTB3</t>
  </si>
  <si>
    <t>CTTB4</t>
  </si>
  <si>
    <t>CTTB5</t>
  </si>
  <si>
    <t>CTTB6</t>
  </si>
  <si>
    <t>Trả thưởng  chương trình trưng bày</t>
  </si>
  <si>
    <t>CTTBH</t>
  </si>
  <si>
    <t>trả thưởng trưng bày trả bằng hàng( dầu dây+ tương ớt+ bột canh)...</t>
  </si>
  <si>
    <t>CTTBH1</t>
  </si>
  <si>
    <t>trả thưởng trưng bày bằng hàng</t>
  </si>
  <si>
    <t>CTTBH2</t>
  </si>
  <si>
    <t>tra thuong tbay bang hang</t>
  </si>
  <si>
    <t>H1</t>
  </si>
  <si>
    <t>H2</t>
  </si>
  <si>
    <t>H3</t>
  </si>
  <si>
    <t>H4</t>
  </si>
  <si>
    <t>HT1</t>
  </si>
  <si>
    <t>TEST</t>
  </si>
  <si>
    <t>TMB200K</t>
  </si>
  <si>
    <t>The MOBILE200K</t>
  </si>
  <si>
    <t>XE NÂNG</t>
  </si>
  <si>
    <t>Xe nâng</t>
  </si>
  <si>
    <t>OMO Nước Giặt Matic Sạch Thơm Vượt Trội 3.7Kg/4 Túi</t>
  </si>
  <si>
    <t>OMO Nước Giặt Matic Sạch Thơm Vượt Trội 2.7Kg/4 Chai</t>
  </si>
  <si>
    <t>OMO NướcGiặt MG Cửa Trên Tinh Dầu N.Hoa Tinh Tế 2.6kg/4 Chai</t>
  </si>
  <si>
    <t>OMO NướcGiặt MG C.Trước H.Hoa OảiHương Thư Thái 2.6kg/4 Chai</t>
  </si>
  <si>
    <t>74508U01</t>
  </si>
  <si>
    <t>Ô OMO</t>
  </si>
  <si>
    <t>chiêc</t>
  </si>
  <si>
    <t>VIM Viên Thả Vệ Sinh Bồn Cầu Hương Bạc Hà 180g/12 vỉ</t>
  </si>
  <si>
    <t>COMFORT HUONG NUOC HOA DIEU KY 4X2.4L</t>
  </si>
  <si>
    <t>OMO Nước Giặt Matic Sạch Thơm Vượt Trội 1.9Kg/4 Túi</t>
  </si>
  <si>
    <t>CLEAR Dầu Gội Mát Lạnh Bạc Hà 6gx(10+2)/84 dây</t>
  </si>
  <si>
    <t>COMFORT NX HNH TINHTE RE0125 300X20ML</t>
  </si>
  <si>
    <t>CLEAR DG GUNG &amp; HOA CUC 12X340G</t>
  </si>
  <si>
    <t>CLEAR DG GUNG &amp; HOA CUC 8X630G</t>
  </si>
  <si>
    <t>SURF Nước Giặt Hương Hoa Cỏ Huyền Bí 2.7Kg/4 chai</t>
  </si>
  <si>
    <t>SURF Nước Giặt Hương Cỏ Hoa Diệu Kì 2.7kg/4 chai</t>
  </si>
  <si>
    <t>SUNSILK Dầu Gội óng Mượt Rạng Ngời 6G (10+2)/84 Dây</t>
  </si>
  <si>
    <t>SUNSILK Dầu Gội Mềm Mượt Diệu Kỳ 6G (10+2)/84 Dây</t>
  </si>
  <si>
    <t>HAZELINE Sữa Tắm Sữa Gạo Hoa Lài 800G/12 Chai</t>
  </si>
  <si>
    <t>DOVE Dầu Gội CERAMIDE Phục Hồi Hư Tổn 6Gx10/84 Dây</t>
  </si>
  <si>
    <t>DOVE Dầu Gội CERAMIDE Phục Hồi Hư Tổn 880G/8 Chai</t>
  </si>
  <si>
    <t>SUNLIGHT NRC Chanh 100 750g chai vòi /15 Chai</t>
  </si>
  <si>
    <t>SUNLIGHT NRC MATCHA Trà Nhật 750g chai vòi /15 Chai</t>
  </si>
  <si>
    <t>DOVE Dầu Gội CERAMIDE Phục Hồi Hư Tổn 640G/8 Chai</t>
  </si>
  <si>
    <t>DOVE Kem Xả Serum BIOTIN Ngăn Gãy Rụng Tóc 300G/12 Tuýp</t>
  </si>
  <si>
    <t>CLEAR DG GUNG &amp; HOA CUC 660X6G</t>
  </si>
  <si>
    <t>SUNLIGHT Nước Rửa Chén Chanh Mới túi 3.1kg/4 túi</t>
  </si>
  <si>
    <t>COMFORT Đậm Đặc 1 Lần Xả Hương Ban Mai 1.2L/9 túi</t>
  </si>
  <si>
    <t>KNORR Hạt Nêm Nấm Hương 800g (1+1Đường 500g)/8 bộ</t>
  </si>
  <si>
    <t>DOVE Dầu Gội BIOTIN Ngăn Gãy Rụng Tóc 640G/8 Chai</t>
  </si>
  <si>
    <t>COMFORT NX Mềm Vải Dịu Nhẹ Thơm Hương Phấn 1.1L/9 túi</t>
  </si>
  <si>
    <t>LIFEBUOY nước rửa tay bạc bảo vệ bộ 6 chai 180g*6/6 bộ</t>
  </si>
  <si>
    <t>DOVE Kem Xả CERAMIDE Phục Hồi Hư Tổn 300G/12 Tuýp</t>
  </si>
  <si>
    <t>VASELINE SDT Gluta-Hya Bảo Vệ Và Dưỡng Sáng Da 300ml/12 Tuýp</t>
  </si>
  <si>
    <t>LIFEBUOY sữa tắm bảo vệ vượt trội bộ 4 chai 350g*4/6 bộ</t>
  </si>
  <si>
    <t>DOVE Kem Xả CERAMIDE Phục Hồi Hư Tổn 6Gx10/84 Dây</t>
  </si>
  <si>
    <t>VIM Vệ Sinh Xanh Biển 880ml (1+1 Chổi Cọ Bồn Cầu)/10 bộ</t>
  </si>
  <si>
    <t>DOVE Kem Xả Serum BIOTIN Ngăn Gãy Rụng Tóc 6Gx10/84 Dây</t>
  </si>
  <si>
    <t>LIFEBUOY sữa tắm chăm sóc da bộ 4 chai 350g*4/6 bộ</t>
  </si>
  <si>
    <t>DOVE Dầu Gội BIOTIN Ngăn Gãy Rụng Tóc 6Gx10/84 Dây</t>
  </si>
  <si>
    <t>HAZELINE Sữa Tắm Sữa Gạo Hoa Bưởi bộ 4 chai 350g*4/6 bộ</t>
  </si>
  <si>
    <t>VIM Trắng Sáng Oải Hương 870ml(1+1Chổi Cọ Bồn Cầu)/10 bộ</t>
  </si>
  <si>
    <t>VIM Trắng Sáng Hương Chanh Sả 870ml(1+1Chổi Cọ Bồn Cầu)/10bộ</t>
  </si>
  <si>
    <t>P/S BCĐR 4D Kháng khuẩn/4D Chăm Sóc Nướu (4+4)/3 bộ</t>
  </si>
  <si>
    <t>SURF NRC Hương Trà Xanh &amp; Lá Dứa 3.2kg/4 túi</t>
  </si>
  <si>
    <t>LIFEBUOY nước rửa tay khử mùi bộ 6 chai 180g*6/6 bộ</t>
  </si>
  <si>
    <t>DOVE Kem Xả Serum Hoa Sen óng Mềm 610G/8 Chai</t>
  </si>
  <si>
    <t>KNORR Nước Mắm Ngon Tròn Vị 750ml(1+Đường 500g)/12 bộ</t>
  </si>
  <si>
    <t>DOVE Kem Xả CERAMIDE Phục Hồi Hư Tổn 610G/8 Chai</t>
  </si>
  <si>
    <t>P/S KĐR Trắng Răng Than Hoạt Tính &amp; Tre 180g (bộ 6)/6 bộ</t>
  </si>
  <si>
    <t>SURF NRC Hương Chanh Sả 3.2kg/4 túi</t>
  </si>
  <si>
    <t>DOVE Dầu Gội CERAMIDE Phục Hồi Hư Tổn 300G/12 Chai</t>
  </si>
  <si>
    <t>VASELINE SDT Gluta-Hya Dưỡng Da Sáng Rạng Rỡ 300ML/12 Tuýp</t>
  </si>
  <si>
    <t>CLEAR Dầu Gội Mát Lạnh Bạc Hà 350G/24Chai</t>
  </si>
  <si>
    <t>COMFORT CSCS HNH Thiên Nhiên Quyến Rũ (10+2)x20ml/30 dây</t>
  </si>
  <si>
    <t>COMFORT Đậm Đặc 1 Lần xả Hương Gió Xuân (10+2)x20ml/30 dây</t>
  </si>
  <si>
    <t>CLEAR Dầu Gội Gừng &amp; Hoa Cúc 350G/24 Chai</t>
  </si>
  <si>
    <t>DOVE Dầu Gội COLLAGEN Bồng Bềnh 640G/8 Chai</t>
  </si>
  <si>
    <t>SUNLIGHT NRC T.N LO HOI PUMP25 15X750G</t>
  </si>
  <si>
    <t>CLEAR MEN Dầu Gội Mát Lạnh Bạc Hà 350G/24Chai</t>
  </si>
  <si>
    <t>CLOSEUP KĐR Trắng Răng Than Hoạt Tính &amp; Bạc Hà 180g/36 ống</t>
  </si>
  <si>
    <t>OMO Nước Giặt MG Cửa Trước Ngăn Ngừa Mùi ẩm Mốc 1.8kg/4 túi</t>
  </si>
  <si>
    <t>SUNLIGHT NRC Hương Quế 750g chai vòi/15 Chai</t>
  </si>
  <si>
    <t>DOVE Dầu Gội Serum Hoa Sen óng Mềm 640G/8 Chai</t>
  </si>
  <si>
    <t>KNORR Hạt Nêm Từ Thịt 400g (1+1Knorr TTX ống 65g)/16 bộ</t>
  </si>
  <si>
    <t>KNORR Hạt Nêm Từ Thịt 900g (1+1Knorr TTX ống 136g)/8 bộ</t>
  </si>
  <si>
    <t>COMFORT NXV Hương Nước Hoa Kiêu Sa 1.8L/4 Túi</t>
  </si>
  <si>
    <t>COMFORT NXV Hương Nước Hoa Kiêu Sa (10+2)x20ml/30 dây</t>
  </si>
  <si>
    <t>DOVE Dầu Gội Serum Oải Hương Vào Nếp 640G/8 Chai</t>
  </si>
  <si>
    <t>OMO Viên Giặt Hương Tinh Tế 210g/12 Hộp</t>
  </si>
  <si>
    <t>COMFORT NX HNH DIEU KY Y25 360X20ML</t>
  </si>
  <si>
    <t>OMO NG CTrước OảiHươngTThái 3.6kg (1+1CFT NXV 400ml)/4 Bộ</t>
  </si>
  <si>
    <t>OMO NG CTrước Ngăn Mùi ẩm Mốc 3.6kg (1+1CFT NXV 400ml)/4 Bộ</t>
  </si>
  <si>
    <t>OMO NG Sạch Thơm Vượt Trội 3.7kg (1+1CFT NXV 400ml)/4 Bộ</t>
  </si>
  <si>
    <t>OMO NG CTrên TDNH TinhTế 3.6kg (1+1CFT NXV 400ml)/4 Bộ</t>
  </si>
  <si>
    <t>OMO NG CTrên HHồngEcuador 3.6kg (1+1CFT NXV 400ml)/4 Bộ</t>
  </si>
  <si>
    <t>OMO NG Cửa Trên Giữ Màu 3.6kg (1+1CFT NXV 400ml)/4 Bộ</t>
  </si>
  <si>
    <t>DOVE Kem Xả Phục Hồi Hư Tổn 6G (10+2)/84 Dây</t>
  </si>
  <si>
    <t>OMO NG Cửa Trước Giữ Màu 3.6kg (1+1CFT NXV 400ml)/4 Bộ</t>
  </si>
  <si>
    <t>OMO Viên Giặt Hương Tươi Mát 210g/12 Hộp</t>
  </si>
  <si>
    <t>CLOSEUP KĐR Trắng Răng Chanh Muối Biển 180g/36 ống</t>
  </si>
  <si>
    <t>VIM Bọt Tuyết Đa Năng 500ml/12 chai</t>
  </si>
  <si>
    <t>SUNLIGHT NRC Lô Hội 3.1kg+NLS C Sả 1kg (+1 Cây Cọ Ly)/3 bộ</t>
  </si>
  <si>
    <t>SUNLIGHT NRC Chanh 3.1kg+NLS C Sả 1kg (+1 Bộ Dọn Dẹp)/3 bộ</t>
  </si>
  <si>
    <t>CLOSEUP KĐR Trắng Răng Than Hoạt Tính &amp; Bạc Hà 230g/36 ống</t>
  </si>
  <si>
    <t>COMFORT NXV 1 Lần Xả Hương Ban Mai Túi2.4L (1+1Bé Điệu)/4 Bộ</t>
  </si>
  <si>
    <t>COMFORT NXV Dịu Nhẹ T.Hương Phấn Túi 2.3L (1+1Bé Điệu)/4 Bộ</t>
  </si>
  <si>
    <t>P/S KĐR Than Hoạt Tính &amp; Tre 180g (+ống 30g)/24 bộ</t>
  </si>
  <si>
    <t>HAZELINE Sữa Tắm Sữa Gạo Hoa Bưởi 800g(1+thẻcàoTết)/12 bộ</t>
  </si>
  <si>
    <t>COMFORT NXV Hương Nước Hoa Kiêu Sa Túi2.4L (1+1Bé Điệu)/4 Bộ</t>
  </si>
  <si>
    <t>P/S KĐR Muối Hồng &amp; Hoa Cúc 180g (+Than H.Tính 30g)/24 bộ</t>
  </si>
  <si>
    <t>HAZELINE Sữa Tắm Sữa OngChúa HoaLy 1kg(1+thẻcàoTết)/12bộ</t>
  </si>
  <si>
    <t>COMFORT NXV HNH T.Nhiên Quyến Rũ Túi 2.4L (1+1Bé Điệu)/4 Bộ</t>
  </si>
  <si>
    <t>P/S KĐR Baking Soda &amp; H.Thảo 180g (+Than H.Tính 30g)/24 bộ</t>
  </si>
  <si>
    <t>CLEAR MEN Dầu Gội Nước Hoa Deep Ocean 350G/24Chai</t>
  </si>
  <si>
    <t>DOVE Dầu Gội BIOTIN Ngăn Gãy Rụng Tóc 300G/12 Chai</t>
  </si>
  <si>
    <t>LIFEBUOY Sữa Tắm Bảo Vệ Vượt Trội 10 Tết 899G/12 Chai</t>
  </si>
  <si>
    <t>LIFEBUOY NRT Bảo Vệ Vượt Trội 10 Tết 499g/12 chai</t>
  </si>
  <si>
    <t>LIFEBUOY Sữa Tắm Sữa Dưỡng ẩm Tết 899/12 Chai</t>
  </si>
  <si>
    <t>HAZELINE Sữa Tắm Sữa Gạo Hoa Lài 800G(1+thẻcàoTết)/12 bộ</t>
  </si>
  <si>
    <t>HAZELINE Sữa Tắm Yến Mạch Dâu Tằm 1kg(1+thẻcàoTết)/12 bộ</t>
  </si>
  <si>
    <t>LIFEBUOY NRT Sữa Dưỡng ẩm Tết 499g/12 chai</t>
  </si>
  <si>
    <t>HAZELINE Sữa Tắm Matcha Lựu Đỏ 1kg(1+thẻcàoTết)/12 bộ</t>
  </si>
  <si>
    <t>BBTAM</t>
  </si>
  <si>
    <t>Mã Khách Hàng</t>
  </si>
  <si>
    <t>Tên HKD</t>
  </si>
  <si>
    <t>Địa Chỉ Mới</t>
  </si>
  <si>
    <t>chú minh 034065001063</t>
  </si>
  <si>
    <t>034065001063</t>
  </si>
  <si>
    <t>NGUYỄN VĂN TIẾN</t>
  </si>
  <si>
    <t>Phường Trần Lãm, Tỉnh  Hưng Yên, Việt Nam</t>
  </si>
  <si>
    <t>Nhung Lê 034157012979</t>
  </si>
  <si>
    <t>Nhung Lê</t>
  </si>
  <si>
    <t>Bình Định, Kiến Xương</t>
  </si>
  <si>
    <t>034157012979</t>
  </si>
  <si>
    <t>Lê Thị Nhung</t>
  </si>
  <si>
    <t>Thôn Hòa Bình, Xã Bình Định, Tỉnh Hưng Yên, Việt Nam</t>
  </si>
  <si>
    <t>Cô Sản Sử _ 034164023815</t>
  </si>
  <si>
    <t>Cô Sản Sử</t>
  </si>
  <si>
    <t>Nam Hải, Tiền Hải</t>
  </si>
  <si>
    <t>034164023815</t>
  </si>
  <si>
    <t>Cô Sử</t>
  </si>
  <si>
    <t>Xã Nam Tiền Hải, Tỉnh Hưng Yên, Việt Nam</t>
  </si>
  <si>
    <t>Thanh Hương Mart 034197014656</t>
  </si>
  <si>
    <t>Thanh Hương Mart</t>
  </si>
  <si>
    <t>Vũ Quý, Kiến Xương</t>
  </si>
  <si>
    <t>034197014656</t>
  </si>
  <si>
    <t>Vũ Thị Thanh Hương</t>
  </si>
  <si>
    <t>TDP Đồng Tiến, Xã Kiến Xương, Tỉnh Hưng Yên, Việt Nam</t>
  </si>
  <si>
    <t>Tự chọn Phương Khang 034178008502</t>
  </si>
  <si>
    <t>Tự chọn Phương Khang</t>
  </si>
  <si>
    <t>đ.Chu Văn An, xã Vũ Phúc, Tp. Thái Bình</t>
  </si>
  <si>
    <t>034178008502</t>
  </si>
  <si>
    <t>HỘ KINH DOANH BÙI THỊ PHƯỢNG</t>
  </si>
  <si>
    <t>Lô 06-D1, Khu QHDC đường Chu Văn An, Phường Trần Hưng Đạo, Tỉnh Hưng Yên, Việt Nam</t>
  </si>
  <si>
    <t>Chuyển Thản 034054011768</t>
  </si>
  <si>
    <t>Chuyển Thản</t>
  </si>
  <si>
    <t>xã Nam Cao, huyện Kiến Xương</t>
  </si>
  <si>
    <t>034054011768</t>
  </si>
  <si>
    <t>Nguyễn Văn Chuyền</t>
  </si>
  <si>
    <t>Xã Lê Lợi, Tỉnh Hưng Yên, Việt Nam</t>
  </si>
  <si>
    <t>tiến dung 034187003043</t>
  </si>
  <si>
    <t>Tiến Dung</t>
  </si>
  <si>
    <t>Nghĩa Môn, xã Quang Hưng, huyện Kiến Xương</t>
  </si>
  <si>
    <t>034187003043</t>
  </si>
  <si>
    <t>Lê Thị Dung</t>
  </si>
  <si>
    <t>Xã Kiến Xương, Tỉnh Hưng Yên, Việt Nam</t>
  </si>
  <si>
    <t>diep thuong 034184002376</t>
  </si>
  <si>
    <t>Diệp Thương</t>
  </si>
  <si>
    <t>chợ Lụ,xã Nam Cao, huyện Kiến Xương</t>
  </si>
  <si>
    <t>034184002376</t>
  </si>
  <si>
    <t>HỘ KINH DOANH NGUYỄN ĐÌNH THỊ DIỆP 1984</t>
  </si>
  <si>
    <t>Chị Nga Hân 034180001807</t>
  </si>
  <si>
    <t>Chị Nga Hân</t>
  </si>
  <si>
    <t>xã Quang Trung, huyện Kiến Xương</t>
  </si>
  <si>
    <t>034180001807</t>
  </si>
  <si>
    <t>Trịnh Thị Nga</t>
  </si>
  <si>
    <t>Cô Vui 034176017127</t>
  </si>
  <si>
    <t>Cô Vui</t>
  </si>
  <si>
    <t>Vũ Tây, Kiến Xương</t>
  </si>
  <si>
    <t>034176017127</t>
  </si>
  <si>
    <t>Đệ Nga cccd 034172006957</t>
  </si>
  <si>
    <t>Đệ Nga</t>
  </si>
  <si>
    <t>xã Vũ An, huyện Kiến Xương</t>
  </si>
  <si>
    <t>034172006957</t>
  </si>
  <si>
    <t>Bùi Thị Nga</t>
  </si>
  <si>
    <t>Xã Vũ Quý, Tỉnh Hưng Yên, Việt Nam</t>
  </si>
  <si>
    <t>Nhung Thành 034183004078</t>
  </si>
  <si>
    <t>Nhung Thành</t>
  </si>
  <si>
    <t>Xã Vũ Tây, Huyện Kiến Xương</t>
  </si>
  <si>
    <t>034183004078</t>
  </si>
  <si>
    <t>HỘ KINH DOANH PHẠM THỊ NHUNG 1983</t>
  </si>
  <si>
    <t>Nhà bà Phạm Thị Nhung, Thôn Bình Sơn, Phường Trần Lãm, Tỉnh Hưng Yên, Việt Nam</t>
  </si>
  <si>
    <t>Bác Vịnh Bình Nguyên ( MST : 034185019357</t>
  </si>
  <si>
    <t>Bác Vịnh</t>
  </si>
  <si>
    <t>xã Bình Nguyên, huyện Kiến Xương</t>
  </si>
  <si>
    <t>034185019357</t>
  </si>
  <si>
    <t>Mai Thị Hằng</t>
  </si>
  <si>
    <t>Xã Quang Lịch, Tỉnh Hưng Yên, Việt Nam</t>
  </si>
  <si>
    <t>Chị Phong Linh Bình Nguyên ( MST : 034185019357</t>
  </si>
  <si>
    <t>Chị Linh Phong</t>
  </si>
  <si>
    <t>Bác Hét Thượng Hiền ( MST : 034165003429</t>
  </si>
  <si>
    <t>Bác Hét</t>
  </si>
  <si>
    <t>xã Thượng Hiền, huyện Kiến Xương</t>
  </si>
  <si>
    <t>034165003429</t>
  </si>
  <si>
    <t>xã Thanh Tân, huyện Kiến Xương</t>
  </si>
  <si>
    <t>027185012555</t>
  </si>
  <si>
    <t>Nguyễn Thị Cúc</t>
  </si>
  <si>
    <t>Chị Vân Hiền Vũ Trung ( MST : 034187008371</t>
  </si>
  <si>
    <t>Vân Hiền</t>
  </si>
  <si>
    <t>xã Vũ Trung, huyện Kiến Xương</t>
  </si>
  <si>
    <t>034187008371</t>
  </si>
  <si>
    <t>Đỗ thị Mến</t>
  </si>
  <si>
    <t>Nhàn Tý 034179011304</t>
  </si>
  <si>
    <t>Nhàn Tý</t>
  </si>
  <si>
    <t>Hồng Tiên, Kiến Xương</t>
  </si>
  <si>
    <t>034179011304</t>
  </si>
  <si>
    <t>HỘ KINH DOANH LƯƠNG THỊ SEN 1979</t>
  </si>
  <si>
    <t>Thôn Cao Bạt Lụ, Xã Lê Lợi, Tỉnh Hưng Yên, Việt Nam</t>
  </si>
  <si>
    <t>Bà Trấn 034159006579</t>
  </si>
  <si>
    <t>Bà Trấn</t>
  </si>
  <si>
    <t>Chị Hường 034172019362</t>
  </si>
  <si>
    <t>Chị Hường</t>
  </si>
  <si>
    <t>034172019362</t>
  </si>
  <si>
    <t>Đỗ Thị Hường</t>
  </si>
  <si>
    <t>Toản Dung Thanh Tân ( MST : 034080009134</t>
  </si>
  <si>
    <t>Bác Toản Dung</t>
  </si>
  <si>
    <t>034080009134</t>
  </si>
  <si>
    <t>HỘ KINH DOANH NGUYỄN THỊ DUNG</t>
  </si>
  <si>
    <t>thôn Tử Tế,Xã Bình Nguyên, Tỉnh Hưng Yên, Việt Nam</t>
  </si>
  <si>
    <t>Hiền Phú Thanh Tân ( MST : 034174019887</t>
  </si>
  <si>
    <t>Chị Hiền Phú</t>
  </si>
  <si>
    <t>034174019887</t>
  </si>
  <si>
    <t>HỘ KINH DOANH VŨ THỊ QUÝ BN</t>
  </si>
  <si>
    <t>Thôn Nam Lâu, Xã Bình Nguyên, Tỉnh Hưng Yên, Việt Nam</t>
  </si>
  <si>
    <t>034086001246</t>
  </si>
  <si>
    <t>Đoàn Văn Đức</t>
  </si>
  <si>
    <t>TDP Trung Tiến, Xã Tiền Hải, Tỉnh Hưng Yên, Việt Nam</t>
  </si>
  <si>
    <t>Liên việt(034175006973</t>
  </si>
  <si>
    <t>Liên Việt</t>
  </si>
  <si>
    <t>xã Nam Hải, huyện Tiền Hải</t>
  </si>
  <si>
    <t>034175006973</t>
  </si>
  <si>
    <t>siêu thị hương hiếu(034199002079)</t>
  </si>
  <si>
    <t>ST 24h Hương Hiếu</t>
  </si>
  <si>
    <t>TT. Tiền Hải, huyện Tiền Hải</t>
  </si>
  <si>
    <t>034199002079</t>
  </si>
  <si>
    <t>Trần Thị Hương</t>
  </si>
  <si>
    <t>Xã Tiền Hải, Tỉnh Hưng Yên, Việt Nam</t>
  </si>
  <si>
    <t>Vinh thơm(034056004932)</t>
  </si>
  <si>
    <t>Vinh Thơm</t>
  </si>
  <si>
    <t>034056004932</t>
  </si>
  <si>
    <t>Vũ Quang Vinh</t>
  </si>
  <si>
    <t>Phố Tiểu hoàng, Xã Tiền Hải, Tỉnh Hưng Yên, Việt Nam</t>
  </si>
  <si>
    <t>Tạp hóa Tuấn Phương 034185009550</t>
  </si>
  <si>
    <t>Tạp hóa Tuấn Phương</t>
  </si>
  <si>
    <t>xã Đông Trà, huyện Tiền Hải</t>
  </si>
  <si>
    <t>034185009550</t>
  </si>
  <si>
    <t>Trần Thị Phương</t>
  </si>
  <si>
    <t>Thôn Đồng Chẩm, Xã Đông Tiền Hải, Tỉnh Hưng Yên, Việt Nam</t>
  </si>
  <si>
    <t>Quang Hòa 034192003755</t>
  </si>
  <si>
    <t>Quang Hòa</t>
  </si>
  <si>
    <t>Thái Thượng, Thái Thụy</t>
  </si>
  <si>
    <t>034192003755</t>
  </si>
  <si>
    <t>HỘ KINH DOANH CƠ SỞ SẢN XUẤT KINH DOANH QUANG HÒA</t>
  </si>
  <si>
    <t>Thôn Sơn Cao, Xã Thái Ninh, Tỉnh Hưng Yên, Việt Nam</t>
  </si>
  <si>
    <t>ánh Sang Cầu Báng 020188003724</t>
  </si>
  <si>
    <t>CH ánh Sang</t>
  </si>
  <si>
    <t>Tân Bình, Tp.Thái Bình</t>
  </si>
  <si>
    <t>020188003724</t>
  </si>
  <si>
    <t>HỘ KINH DOANH ÁNH  SANG</t>
  </si>
  <si>
    <t>Tổ dân phố Đồng Thanh,Phường Thái Bình, Tỉnh Hưng Yên, Việt Nam</t>
  </si>
  <si>
    <t>ASunkids - 034193020571</t>
  </si>
  <si>
    <t>ASun Kids</t>
  </si>
  <si>
    <t>xã Nam Trung, huyện Tiền Hải</t>
  </si>
  <si>
    <t>034193020571</t>
  </si>
  <si>
    <t>Vũ Thị Tố Loan</t>
  </si>
  <si>
    <t>Xã Hưng Phú, Tỉnh Hưng Yên, Việt Nam</t>
  </si>
  <si>
    <t>Bà Yến 034150002905</t>
  </si>
  <si>
    <t>Bà Yến</t>
  </si>
  <si>
    <t>Sn46, tổ 6, đường Trần Lãm, p.Trần Lãm</t>
  </si>
  <si>
    <t>034150002905</t>
  </si>
  <si>
    <t>CHTC Nguyên Linh  034085022319</t>
  </si>
  <si>
    <t>CHTC Nguyên Linh</t>
  </si>
  <si>
    <t>Tiền Phong, Tp.Thái Bình</t>
  </si>
  <si>
    <t>034085022319</t>
  </si>
  <si>
    <t>HỘ KINH DOANH NGUYÊN LINH</t>
  </si>
  <si>
    <t>Số nhà 68 - Đường Trần Thủ Độ - Tổ 7 Tiền Phong, Phường Thái Bình, Tỉnh Hưng Yên, Việt Nam</t>
  </si>
  <si>
    <t>Thúy Hằng Chợ Vĩnh trà LTK 034090018367</t>
  </si>
  <si>
    <t>Thúy Hằng</t>
  </si>
  <si>
    <t>Chợ Vĩnh Trà, Lý Thường Kiệt, Thái Bình</t>
  </si>
  <si>
    <t>034090018367</t>
  </si>
  <si>
    <t>Đỗ Hữu Xuân</t>
  </si>
  <si>
    <t>Phường Trần Lãm, Tỉnh Hưng Yên, Việt Nam</t>
  </si>
  <si>
    <t>Doanh Lý  034070024562</t>
  </si>
  <si>
    <t>Doanh Lý</t>
  </si>
  <si>
    <t>thôn Vĩnh Gia, Phú Xuân, Thái Bình</t>
  </si>
  <si>
    <t>034070024562</t>
  </si>
  <si>
    <t>HỘ KINH DOANH BÙI VĂN DOANH</t>
  </si>
  <si>
    <t>Nhà ông Bùi Văn Doanh, Thôn Vĩnh Gia, Phường Thái Bình, Tỉnh Hưng Yên, Việt Nam</t>
  </si>
  <si>
    <t>Phong Lan 034190005925</t>
  </si>
  <si>
    <t>Chị Hương</t>
  </si>
  <si>
    <t>xã Thái Nguyên, huyện Thái Thụy</t>
  </si>
  <si>
    <t>034190005925</t>
  </si>
  <si>
    <t>HỘ KINH DOANH TẠP HÓA PHONG LAN</t>
  </si>
  <si>
    <t>Xóm 10, Thôn Bích Đoài, Xã Thái Ninh, Tỉnh Hưng Yên, Việt Nam</t>
  </si>
  <si>
    <t>Thiêm Hồi 034182020458</t>
  </si>
  <si>
    <t>Thiêm Hồi</t>
  </si>
  <si>
    <t>xã Mỹ Lộc, huyện Thái Thụy</t>
  </si>
  <si>
    <t>034182020458</t>
  </si>
  <si>
    <t>Lê Thị Hồi</t>
  </si>
  <si>
    <t>Xã Đông Thái Ninh, Tỉnh Hưng Yên, Việt Nam</t>
  </si>
  <si>
    <t>Hiển Năm 034073030683</t>
  </si>
  <si>
    <t>Hiển Năm</t>
  </si>
  <si>
    <t>Xã Thái Đô, huyện Thái Thụy</t>
  </si>
  <si>
    <t>034073030683</t>
  </si>
  <si>
    <t>HỘ KINH DOANH GIANG VĂN HIỂN</t>
  </si>
  <si>
    <t>Thôn Tân Lập, Xã Đông Thái Ninh, Tỉnh Hưng Yên, Việt Nam</t>
  </si>
  <si>
    <t>Ngọc Trâm 034195011635</t>
  </si>
  <si>
    <t>Ngọc Trâm</t>
  </si>
  <si>
    <t>xã Thụy Văn, huyện Thái Thụy</t>
  </si>
  <si>
    <t>034195011635</t>
  </si>
  <si>
    <t>Trịnh Thị Ngọc Trâm</t>
  </si>
  <si>
    <t>Xã Bắc Thụy Anh, Tỉnh Hưng Yên, Việt Nam</t>
  </si>
  <si>
    <t>Siêu thị Hòa An 034073024568 Trần Trung Kiên</t>
  </si>
  <si>
    <t>Siêu thị Hòa An</t>
  </si>
  <si>
    <t>xã Thái An, huyện Thái Thụy</t>
  </si>
  <si>
    <t>034073024568</t>
  </si>
  <si>
    <t>Liêm Chi 034062000943</t>
  </si>
  <si>
    <t>Liêm Chi</t>
  </si>
  <si>
    <t>xã Thái Hưng, huyện Thái Thụy</t>
  </si>
  <si>
    <t>034062000943</t>
  </si>
  <si>
    <t>Nguyễn Trung Hiếu</t>
  </si>
  <si>
    <t>Xã Thái Ninh, Tỉnh Hưng Yên, Việt Nam</t>
  </si>
  <si>
    <t>Tâm Lê 034172020104</t>
  </si>
  <si>
    <t>Tâm Lê</t>
  </si>
  <si>
    <t>Xã Thụy Phong, huyện Thái Thụy</t>
  </si>
  <si>
    <t>034172020104</t>
  </si>
  <si>
    <t>Lê Thị Tám</t>
  </si>
  <si>
    <t>Xã Nam Thụy Anh, Tỉnh Hưng Yên, Việt Nam</t>
  </si>
  <si>
    <t>CH Quang Độ 034196008070</t>
  </si>
  <si>
    <t>CH Quang Độ</t>
  </si>
  <si>
    <t>thị trấn Diêm Điền, huyện Thái Thụy</t>
  </si>
  <si>
    <t>034196008070</t>
  </si>
  <si>
    <t>Vũ Thị Nhung</t>
  </si>
  <si>
    <t>TDP Bao Trình, Xã Thái Thụy, Tỉnh Hưng Yên, Việt Nam</t>
  </si>
  <si>
    <t>Chị Phương 034086002273- lê tất hoàn</t>
  </si>
  <si>
    <t>Chị Phương</t>
  </si>
  <si>
    <t>xã Thụy An, huyện Thái Thụy</t>
  </si>
  <si>
    <t>034086002273</t>
  </si>
  <si>
    <t>Lê Tất Hoàn</t>
  </si>
  <si>
    <t>Thôn An Cổ Nam, Xã Đông Thuy Anh, Tỉnh Hưng Yên, Việt Nam</t>
  </si>
  <si>
    <t>Chú Nghị cccd 034066004875</t>
  </si>
  <si>
    <t>Chú Nghị</t>
  </si>
  <si>
    <t>xã Thụy Hồng, huyện Thái Thụy</t>
  </si>
  <si>
    <t>034066004875</t>
  </si>
  <si>
    <t>Bùi Xuân Nghị</t>
  </si>
  <si>
    <t>Xã Đông Thuỵ Anh, Tỉnh Hưng Yên, Việt Nam</t>
  </si>
  <si>
    <t>Đàn Thảo cccd 034178008787</t>
  </si>
  <si>
    <t>Đàn Thảo</t>
  </si>
  <si>
    <t>Vân Trường, Tiền Hải</t>
  </si>
  <si>
    <t>034178008787</t>
  </si>
  <si>
    <t>chị hà 034195002404</t>
  </si>
  <si>
    <t>Chị Hà</t>
  </si>
  <si>
    <t>Thụy Hải, Thái Thụy</t>
  </si>
  <si>
    <t>034195002404</t>
  </si>
  <si>
    <t>034090015181</t>
  </si>
  <si>
    <t>Phạm Xuân Tốt</t>
  </si>
  <si>
    <t>goodex mart(027198007080) mst 0111127636</t>
  </si>
  <si>
    <t>Cửa hàng Goodex Mart</t>
  </si>
  <si>
    <t>Xã Tây Giang, huyện Tiền Hải</t>
  </si>
  <si>
    <t>0111127636</t>
  </si>
  <si>
    <t>CÔNG TY TNHH THƯƠNG MẠI VÀ DỊCH VỤ TỔNG HỢP GOODEX VIỆT NAM</t>
  </si>
  <si>
    <t>số 3 ngách 8 ngõ 313 đường Lĩnh Nam, Phường Vĩnh Tuy, Thành phố Hà Nội, Việt Nam</t>
  </si>
  <si>
    <t>Mai Hương 034175003502</t>
  </si>
  <si>
    <t>Siêu Thị Daily Mart</t>
  </si>
  <si>
    <t>Xã Vũ Phúc, Thành Phố Thái Bình</t>
  </si>
  <si>
    <t>034175003502</t>
  </si>
  <si>
    <t>Hoàng Thị Mai</t>
  </si>
  <si>
    <t>Thôn cự phú, xã Vũ Phúc, Phường Vũ Phúc, Tỉnh Hưng Yên, Việt Nam</t>
  </si>
  <si>
    <t>St Dailymart xuất hđ Kim Long</t>
  </si>
  <si>
    <t>Xã Bình Định, Tỉnh Hưng Yên, Việt Nam</t>
  </si>
  <si>
    <t>Cường Thủy 034191002276</t>
  </si>
  <si>
    <t>Cường Thủy</t>
  </si>
  <si>
    <t>xã Thụy Trường, huyện Thái Thụy</t>
  </si>
  <si>
    <t>034191002276</t>
  </si>
  <si>
    <t>HỘ KINH DOANH CƯỜNG THỦY</t>
  </si>
  <si>
    <t>Thôn Tri Chỉ Nam, Xã Đông Thụy Anh, Tỉnh Hưng Yên, Việt Nam</t>
  </si>
  <si>
    <t>bình minh- 8629411986-001 cccd 034201003614</t>
  </si>
  <si>
    <t>Bình Minh Mart</t>
  </si>
  <si>
    <t>Xã Thuỵ Hải, Huyện Thái Thuỵ</t>
  </si>
  <si>
    <t>034201003614</t>
  </si>
  <si>
    <t>HỘ KINH DOANH NGUYỄN THANH BÌNH</t>
  </si>
  <si>
    <t>Thôn Quang Lang Đoài, Xã Thái Thụy, Tỉnh Hưng Yên, Việt Nam</t>
  </si>
  <si>
    <t>sỹ lệ(034183018358)</t>
  </si>
  <si>
    <t>Sỹ Lệ</t>
  </si>
  <si>
    <t>Đông Minh, Tiền Hải</t>
  </si>
  <si>
    <t>034183018358</t>
  </si>
  <si>
    <t>HỘ KINH DOANH NGUYỄN THỊ LỆ, ,</t>
  </si>
  <si>
    <t>Thôn Minh Châu, Xã Đồng Châu, Tỉnh Hưng Yên, Việt Nam</t>
  </si>
  <si>
    <t>thúy dũng(034076001125)</t>
  </si>
  <si>
    <t>Thúy Dũng</t>
  </si>
  <si>
    <t>Xã Nam Hà, Huyện Tiền Hải</t>
  </si>
  <si>
    <t>034076001125</t>
  </si>
  <si>
    <t>Trần Văn Hưng</t>
  </si>
  <si>
    <t>THÔN ĐÔNG QUÁCH, Xã Nam Tiền Hải, Tỉnh Hưng Yên, Việt Nam</t>
  </si>
  <si>
    <t>2Teen 8566826022-001 cccd 031194013548</t>
  </si>
  <si>
    <t>CH 2Teen Mart</t>
  </si>
  <si>
    <t>Xã Thụy Lương, Huyện Thái Thụy</t>
  </si>
  <si>
    <t>031194013548</t>
  </si>
  <si>
    <t>HỘ KINH DOANH TEEN TEEN MART</t>
  </si>
  <si>
    <t>Số nhà 175, đường Nguyễn Đức Cảnh, TDP số 6, Xã Thái Thuỵ, Tỉnh Hưng Yên, Việt Nam</t>
  </si>
  <si>
    <t>Bình An 8303742206 ccd 034189001231</t>
  </si>
  <si>
    <t>CH Bình An</t>
  </si>
  <si>
    <t>Xã Thụy Dũng, Huyện Thái Thụy</t>
  </si>
  <si>
    <t>034189001231</t>
  </si>
  <si>
    <t>Đoàn Thị Bình</t>
  </si>
  <si>
    <t>Tuyệt Triệu 034191004302</t>
  </si>
  <si>
    <t>Tuyệt Triệu</t>
  </si>
  <si>
    <t>Xã Thái Thượng, Thái Thụy</t>
  </si>
  <si>
    <t>034191004302</t>
  </si>
  <si>
    <t>Nguyễn Thị Tuyệt</t>
  </si>
  <si>
    <t>mạnh luyến(034301004062)</t>
  </si>
  <si>
    <t>Mạnh Luyến</t>
  </si>
  <si>
    <t>xã Nam Phú, huyện Tiền Hải</t>
  </si>
  <si>
    <t>034301004062</t>
  </si>
  <si>
    <t>PHẠM THỊ LUYẾN</t>
  </si>
  <si>
    <t>Thôn Hợp Thành, Xã Hưng Phú, Tỉnh Hưng Yên, Việt Nam</t>
  </si>
  <si>
    <t>Tự Chọn Tôm Tép mst 8079881512 cccd  034186000591</t>
  </si>
  <si>
    <t>Tự chọn Tôm Tép</t>
  </si>
  <si>
    <t>p.Quang Trung, thành phố Thái Bình</t>
  </si>
  <si>
    <t>034186000591</t>
  </si>
  <si>
    <t>HỘ KINH DOANH CỬA HÀNG TỰ CHỌN TÔM VÀ TÉP</t>
  </si>
  <si>
    <t>Số 619D, Đường Lý Thái Tổ, Tổ 4, Phường Trần Hưng Đạo, Tỉnh Hưng Yên, Việt Nam</t>
  </si>
  <si>
    <t>Bảo Minh Mart -Mst. 8328889698 cccd 034186013831</t>
  </si>
  <si>
    <t>Bảo Minh Mart</t>
  </si>
  <si>
    <t>xã Vũ Phúc, thành phố Thái Bình</t>
  </si>
  <si>
    <t>034186013831</t>
  </si>
  <si>
    <t>HỘ KINH DOANH PHẠM THỊ  HẠNH</t>
  </si>
  <si>
    <t>Lô A7.LK02-11, Khu dân cư, Phường Vũ Phúc, Tỉnh Hưng Yên, Việt Nam</t>
  </si>
  <si>
    <t>Trường Xuyen Thị Trấn ( MST : 034190012861</t>
  </si>
  <si>
    <t>Trường Xuyên</t>
  </si>
  <si>
    <t>TT Thanh Nê, Huyện Kiến Xương</t>
  </si>
  <si>
    <t>034190012861</t>
  </si>
  <si>
    <t>Nguyễn Thị Xuyến</t>
  </si>
  <si>
    <t>Miu Shop 034192004003</t>
  </si>
  <si>
    <t>Miu Shop</t>
  </si>
  <si>
    <t>Xã Bình Định, Huyện Kiến Xương</t>
  </si>
  <si>
    <t>034192004003</t>
  </si>
  <si>
    <t>Phạm Thị Thơm</t>
  </si>
  <si>
    <t>Dũng Tin - 034088012403</t>
  </si>
  <si>
    <t>Dũng Tin</t>
  </si>
  <si>
    <t>xã Nam Trung, Tiền Hải</t>
  </si>
  <si>
    <t>CÔNG TY TNHH TMTH DŨNG TIN</t>
  </si>
  <si>
    <t>Thôn Ái Quốc, Xã Hưng Phú, Tỉnh Hưng Yên, Việt Nam</t>
  </si>
  <si>
    <t>Thu Hiền  xuất lâm hà</t>
  </si>
  <si>
    <t>Thu Hiền</t>
  </si>
  <si>
    <t>xã Vũ Chính, tp Thái Bình</t>
  </si>
  <si>
    <t>Chị Dương Mười Cao Mại ( MST : 034156005016</t>
  </si>
  <si>
    <t>Anh Dương Mười</t>
  </si>
  <si>
    <t>Quang Trung, Kiến Xương</t>
  </si>
  <si>
    <t>034156005016</t>
  </si>
  <si>
    <t>Nguyễn Thị Thơ</t>
  </si>
  <si>
    <t>phượng thu( 034064005059 ) chợ lụ , nam cao ,kx, tb</t>
  </si>
  <si>
    <t>Chị Phượng Thu</t>
  </si>
  <si>
    <t>Nam Cao, Kiến Xương</t>
  </si>
  <si>
    <t>034064005059</t>
  </si>
  <si>
    <t>Nguyễn Thiên Phượng</t>
  </si>
  <si>
    <t>xã Bình Nguyên, Tỉnh Hưng Yên, Việt Nam</t>
  </si>
  <si>
    <t>Thoa In Thượng Hiền ( MST : 034174002581)</t>
  </si>
  <si>
    <t>CHTN_HPCF 3_20240701</t>
  </si>
  <si>
    <t>Xã Quang Bình, Huyện Kiến Xương</t>
  </si>
  <si>
    <t>034174002581</t>
  </si>
  <si>
    <t>ĐỖ THỊ YÊN</t>
  </si>
  <si>
    <t>Văn Lăng, Xã Lê Lợi , Tỉnh Hưng Yên, Việt Nam</t>
  </si>
  <si>
    <t>hoa ngân( 034167001621 ) - nam cao , kiến xương , TB</t>
  </si>
  <si>
    <t>CHTN_HPCF 2_20240701</t>
  </si>
  <si>
    <t>034167001621</t>
  </si>
  <si>
    <t>thu hà mart(8534373718-001) cccd 34178017063</t>
  </si>
  <si>
    <t>Thu Hà Mart</t>
  </si>
  <si>
    <t>Xã Đông Lâm, Huyện Tiền Hải</t>
  </si>
  <si>
    <t>034178017063</t>
  </si>
  <si>
    <t>HỘ KINH DOANH VŨ THỊ HỒNG QUẾ</t>
  </si>
  <si>
    <t>Thôn Thanh Tây, Xã Đồng Châu, Tỉnh Hưng Yên, Việt Nam</t>
  </si>
  <si>
    <t>Vinh thơm(1000161714)</t>
  </si>
  <si>
    <t>Mận Chuyển</t>
  </si>
  <si>
    <t>Thị Trấn Tiền Hải, Huyện Tiền Hải</t>
  </si>
  <si>
    <t>1000161714</t>
  </si>
  <si>
    <t>cô sử(034164023815)</t>
  </si>
  <si>
    <t>Xã Nam Hải - Huyện Tiền Hải</t>
  </si>
  <si>
    <t>Chị Duyên 034155002032</t>
  </si>
  <si>
    <t>034155002032</t>
  </si>
  <si>
    <t>Cty Tnhh Thái An</t>
  </si>
  <si>
    <t>P. Bồ Xyên, Thái Bình</t>
  </si>
  <si>
    <t>Quốc Bảo 034063008420</t>
  </si>
  <si>
    <t>Chị Quốc Bảo</t>
  </si>
  <si>
    <t>Vũ Phú, Thái Bình</t>
  </si>
  <si>
    <t>034063008420</t>
  </si>
  <si>
    <t>Hoàng Quốc Bảo</t>
  </si>
  <si>
    <t>Phường Vũ Phúc, Tỉnh Hưng Yên, Việt Nam</t>
  </si>
  <si>
    <t>Chị Diễm Gấm 034070000846</t>
  </si>
  <si>
    <t>Chị Diễm Gấm</t>
  </si>
  <si>
    <t>P. Quan Trung, Thái Bình</t>
  </si>
  <si>
    <t>034070000846</t>
  </si>
  <si>
    <t>Trần Văn Điển</t>
  </si>
  <si>
    <t>Chi Hải Long 034178001515</t>
  </si>
  <si>
    <t>Chị Hải Long</t>
  </si>
  <si>
    <t>034178001515</t>
  </si>
  <si>
    <t>HỘ KINH DOANH HOÀNG THỊ LOAN.</t>
  </si>
  <si>
    <t>Nhà bà Hoàng Thị Loan, Thôn Phúc Thượng, Phường Vũ Phúc, Tỉnh Hưng Yên, Việt Nam</t>
  </si>
  <si>
    <t>Chị Mai 034175003502</t>
  </si>
  <si>
    <t>Chị Mai</t>
  </si>
  <si>
    <t>Kiều Thoa - Mst 1000192688 cccd</t>
  </si>
  <si>
    <t>Chị Kiều Thoa</t>
  </si>
  <si>
    <t>1000192688</t>
  </si>
  <si>
    <t>Chị Duyên</t>
  </si>
  <si>
    <t>Chị Thủy cccd 034073002534</t>
  </si>
  <si>
    <t>Chị Thủy</t>
  </si>
  <si>
    <t>P. Đề Thám, Thái Bình</t>
  </si>
  <si>
    <t>034073002534</t>
  </si>
  <si>
    <t>Lê Hồng Thanh</t>
  </si>
  <si>
    <t>06 ngõ 150 đường Lý Thường Kiệt,Phường Trần Hưng Đạo, Tỉnh Hưng Yên, Việt Nam</t>
  </si>
  <si>
    <t>Thanh Tỉnh - 034050004080</t>
  </si>
  <si>
    <t>Chị Thanh Tỉnh</t>
  </si>
  <si>
    <t>Trần Lâm, Thái Bình</t>
  </si>
  <si>
    <t>034050004080</t>
  </si>
  <si>
    <t>Trần Công Tỉnh</t>
  </si>
  <si>
    <t>chị hoa 034167003886</t>
  </si>
  <si>
    <t>Chi Hoa</t>
  </si>
  <si>
    <t>034167003886</t>
  </si>
  <si>
    <t>Chị Hoa Mười</t>
  </si>
  <si>
    <t>hưng hương(034171017259)</t>
  </si>
  <si>
    <t>Hưng Hương</t>
  </si>
  <si>
    <t>Bắc Hải, Tiền Hải</t>
  </si>
  <si>
    <t>034171017259</t>
  </si>
  <si>
    <t>Chị Nguyền 034177004313</t>
  </si>
  <si>
    <t>Chị Nguyền</t>
  </si>
  <si>
    <t>Thái Hồng, Thái Thụy</t>
  </si>
  <si>
    <t>034177004313</t>
  </si>
  <si>
    <t>Phạm Thị Nguyền</t>
  </si>
  <si>
    <t>Vị Dương Đoài, Xã Tây Thuỵ Anh, Tỉnh Hưng Yên, Việt Nam</t>
  </si>
  <si>
    <t>Siêu Thị Minh Thư 034184009149</t>
  </si>
  <si>
    <t>Siêu Thị Minh Thư</t>
  </si>
  <si>
    <t>Nam Trung, Tiền Hải</t>
  </si>
  <si>
    <t>034184009149</t>
  </si>
  <si>
    <t>Đặng Thị Thủy</t>
  </si>
  <si>
    <t>Thôn Vĩnh Trà, Xã Hưng Phú, Tỉnh Hưng Yên, Việt Nam</t>
  </si>
  <si>
    <t>thúy dục 034090015181)</t>
  </si>
  <si>
    <t>Chị Thúy Dục</t>
  </si>
  <si>
    <t>Tây Lương, Tiền Hải</t>
  </si>
  <si>
    <t>Anh Thành 034063021464</t>
  </si>
  <si>
    <t>Anh Thành</t>
  </si>
  <si>
    <t>Thái Nguyên, Thái Thụy</t>
  </si>
  <si>
    <t>034063021464</t>
  </si>
  <si>
    <t>PHẠM HỮU THÀNH</t>
  </si>
  <si>
    <t>Chị Nga. mst 1000234722</t>
  </si>
  <si>
    <t>Chị Nga</t>
  </si>
  <si>
    <t>1000234722</t>
  </si>
  <si>
    <t>Chị Núi 034180018287</t>
  </si>
  <si>
    <t>Chị Núi</t>
  </si>
  <si>
    <t>Vũ Lạc, Thái Bình</t>
  </si>
  <si>
    <t>034180018287</t>
  </si>
  <si>
    <t>Phạm Thị Núi</t>
  </si>
  <si>
    <t>Phường Trần LÃm, Tỉnh Hưng Yên, Việt Nam</t>
  </si>
  <si>
    <t>Chị Hưng Loan- 1001230657</t>
  </si>
  <si>
    <t>Chị Hưng Loan</t>
  </si>
  <si>
    <t>1001230657</t>
  </si>
  <si>
    <t>Công Ty TNHH SX - TM KIM LOAN</t>
  </si>
  <si>
    <t>Số 216, phố Nguyễn Thị Minh Khai, tổ 14, Phường Thái Bình, Tỉnh Hưng Yên, Việt Nam</t>
  </si>
  <si>
    <t>Chị Nhữ 034164012681</t>
  </si>
  <si>
    <t>Chị Nhữ</t>
  </si>
  <si>
    <t>Tiền Phong, Thái Bình</t>
  </si>
  <si>
    <t>034164012681</t>
  </si>
  <si>
    <t>HỘ KINH DOANH ĐÀO THỊ NHỮ</t>
  </si>
  <si>
    <t>Số 47, Ngõ Đoan Túc, Tổ 17, Phường Thái Bình, Tỉnh Hưng Yên, Việt Nam</t>
  </si>
  <si>
    <t>Chị Liễu 034165004556</t>
  </si>
  <si>
    <t>Chị Liễu</t>
  </si>
  <si>
    <t>034165004556</t>
  </si>
  <si>
    <t>Nguyễn Thị Liễu</t>
  </si>
  <si>
    <t>Phường Thái Bình, Tỉnh Hưng Yên, Việt Nam</t>
  </si>
  <si>
    <t>Chị Kiên Thành 034073010575</t>
  </si>
  <si>
    <t>Chị Kiên Thành</t>
  </si>
  <si>
    <t>034073010575</t>
  </si>
  <si>
    <t>Lê Trung Kiên</t>
  </si>
  <si>
    <t>Lô 46, ngõ 96, tổ 22, Phường Thái Bình, tỉnh Hưng Yên, Việt Nam</t>
  </si>
  <si>
    <t>Chị Dung cccd 034162006372</t>
  </si>
  <si>
    <t>Chị Dung</t>
  </si>
  <si>
    <t>034162006372</t>
  </si>
  <si>
    <t>Phạm Thị Dung</t>
  </si>
  <si>
    <t>Ki ốt 120 chợ Bo, Phường Thái Bình, Tỉnh Hưng Yên, Việt Nam</t>
  </si>
  <si>
    <t>Chị Thuý 034166002474</t>
  </si>
  <si>
    <t>Chị Thuý</t>
  </si>
  <si>
    <t>034166002474</t>
  </si>
  <si>
    <t>Nguyễn Thị Thúy</t>
  </si>
  <si>
    <t>Kiốt 123, Phường Thái Bình, Tỉnh Hưng Yên, Việt Nam</t>
  </si>
  <si>
    <t>Phượng Phòng -1000207285 cccd 034174007788</t>
  </si>
  <si>
    <t>Chị Phượng Phòng</t>
  </si>
  <si>
    <t>034174007788</t>
  </si>
  <si>
    <t>Nguyễn Thị Phượng</t>
  </si>
  <si>
    <t>Kiốt 60, Phường Thái Bình, Tỉnh Hưng Yên, Việt Nam</t>
  </si>
  <si>
    <t>Chị Thủy Sản ccccd 034171006301</t>
  </si>
  <si>
    <t>Chị Thủy Sản</t>
  </si>
  <si>
    <t>034171006301</t>
  </si>
  <si>
    <t>HỘ KINH DOANH PHẠM THỊ  LÝ</t>
  </si>
  <si>
    <t>Ki ốt số 59, Chợ Bo, Phường Bồ Xuyên, Phường Thái Bình, Tỉnh Hưng Yên, Việt Nam</t>
  </si>
  <si>
    <t>ích Hậu -1001304330 cccd  034075010204</t>
  </si>
  <si>
    <t>Chị Hậu</t>
  </si>
  <si>
    <t>Chị Huyền -1000207101 cccd 001163033134</t>
  </si>
  <si>
    <t>Chị Huyền</t>
  </si>
  <si>
    <t>001163033134</t>
  </si>
  <si>
    <t>Hoa Thị Huyền</t>
  </si>
  <si>
    <t>Kiốt 63, chợ Bo, Phường Thái Bình, Tỉnh Hưng Yên, Việt Nam</t>
  </si>
  <si>
    <t>Chị Luyến 034158022263</t>
  </si>
  <si>
    <t>Chị Luyến</t>
  </si>
  <si>
    <t>034158022263</t>
  </si>
  <si>
    <t>Man chi 034151002124</t>
  </si>
  <si>
    <t>Chị Mẫn Chi</t>
  </si>
  <si>
    <t>034151002124</t>
  </si>
  <si>
    <t>NGUYỄN THỊ MẪN</t>
  </si>
  <si>
    <t>Chị Nga - 034179001743</t>
  </si>
  <si>
    <t>034179001743</t>
  </si>
  <si>
    <t>Nguyễn Thị Hải Yến</t>
  </si>
  <si>
    <t>Thành Vinh -1000207863- cccd 034171007308</t>
  </si>
  <si>
    <t>Chị Thành Vinh</t>
  </si>
  <si>
    <t>034171007308</t>
  </si>
  <si>
    <t>Nguyễn Thị Thành</t>
  </si>
  <si>
    <t>Kiốt 105, Phường Thái Bình, Hưng Yên</t>
  </si>
  <si>
    <t>Thành Vinh - 1000207863</t>
  </si>
  <si>
    <t>Cô Vinh Thành</t>
  </si>
  <si>
    <t>Oanh Dũng - 1000201364 cccd  034069000824</t>
  </si>
  <si>
    <t>Chị Hảo</t>
  </si>
  <si>
    <t>034069000824</t>
  </si>
  <si>
    <t>Nguyễn Văn Dũng</t>
  </si>
  <si>
    <t>Thái Hoà - 8070777468-001 cccd 034083013909</t>
  </si>
  <si>
    <t>Chị Thái Hòa</t>
  </si>
  <si>
    <t>034083013909</t>
  </si>
  <si>
    <t>Nguyễn Duy Hóa</t>
  </si>
  <si>
    <t>Số 7, Ngõ 227, Phố Lê Quý Đôn, Tổ 4, Phường Thái Bình, Tỉnh Hưng Yên, Việt Nam</t>
  </si>
  <si>
    <t>Chị Thu Hiền 034174006242</t>
  </si>
  <si>
    <t>Chị Thu Hiền</t>
  </si>
  <si>
    <t>034174006242</t>
  </si>
  <si>
    <t>Mai Thị Túy</t>
  </si>
  <si>
    <t>Thôn Trung Hòa, Phường Thái Bình, Tỉnh Hưng Yên, Việt Nam</t>
  </si>
  <si>
    <t>Lan Phương - 8939778751001 cccd  034165002353</t>
  </si>
  <si>
    <t>Chị Lan Phương</t>
  </si>
  <si>
    <t>034165002353</t>
  </si>
  <si>
    <t>Hộ kinh doanh Nguyễn Thị Phương</t>
  </si>
  <si>
    <t>Số 05, ngõ 227, phố Lê Quý Đôn, tổ 23, Phường Thái Bình, Tỉnh Hưng Yên, Việt Nam</t>
  </si>
  <si>
    <t>Thủy Chi -1000251319 cccd 034162004377</t>
  </si>
  <si>
    <t>Chị Thủy Chi</t>
  </si>
  <si>
    <t>034162004377</t>
  </si>
  <si>
    <t>Nguyễn Thị Thủy</t>
  </si>
  <si>
    <t>Số 179 Tổ 23 Đặng Nghiễm, Phường Thái Bình, Tỉnh Hưng Yên, Việt Nam</t>
  </si>
  <si>
    <t>Chị Thu Đào cccd 034163005050</t>
  </si>
  <si>
    <t>Chị Thu Đào</t>
  </si>
  <si>
    <t>034163005050</t>
  </si>
  <si>
    <t>BÙI THỊ ĐÀO</t>
  </si>
  <si>
    <t>Cô Lan Thái cccd 034158001288</t>
  </si>
  <si>
    <t>Chị Lan Thái</t>
  </si>
  <si>
    <t>034158001288</t>
  </si>
  <si>
    <t>NGUYỄN THỊ THÁI</t>
  </si>
  <si>
    <t>Tổ 5, Phường Trần Hưng Đạo, Tỉnh Hưng Yên, Việt Nam</t>
  </si>
  <si>
    <t>Tươi Quân - 8671823422 cccd 034182017202</t>
  </si>
  <si>
    <t>Tươi Quân</t>
  </si>
  <si>
    <t>Thụy Phong, Thái Thụy</t>
  </si>
  <si>
    <t>034182017202</t>
  </si>
  <si>
    <t>Bùi Thị Tươi</t>
  </si>
  <si>
    <t>Hưng Loan mst 1001230657</t>
  </si>
  <si>
    <t>Chị Lan</t>
  </si>
  <si>
    <t>P. Phú Khánh, Thái Bình</t>
  </si>
  <si>
    <t>Cô Sửu cccd 034075009549</t>
  </si>
  <si>
    <t>Cô Sửu</t>
  </si>
  <si>
    <t>034075009549</t>
  </si>
  <si>
    <t>Bảo Minh mart 8328889698-001</t>
  </si>
  <si>
    <t>Chị Hằng Chiều</t>
  </si>
  <si>
    <t>Trần Hưng, Thái Bình</t>
  </si>
  <si>
    <t>8328889698001</t>
  </si>
  <si>
    <t>CH Cô Then 034180016186</t>
  </si>
  <si>
    <t>Anh Toàn</t>
  </si>
  <si>
    <t>Thái Dương, Thái Thụy</t>
  </si>
  <si>
    <t>034180016186</t>
  </si>
  <si>
    <t>Phạm Thị Then</t>
  </si>
  <si>
    <t>Thôn Nam Hưng Đông, xã Tây Thái Ninh, tỉnh Hưng Yên, Việt Nam</t>
  </si>
  <si>
    <t>Cô Họa Bỉnh 034152011997</t>
  </si>
  <si>
    <t>Chị Họa Bỉnh</t>
  </si>
  <si>
    <t>Phú Xuân, Thái Bình</t>
  </si>
  <si>
    <t>034152011997</t>
  </si>
  <si>
    <t>Phùng Thị Hoa</t>
  </si>
  <si>
    <t>Phường Trần Hưng Đạo, Tỉnh Hưng Yên, Việt Nam</t>
  </si>
  <si>
    <t>Cô Thành Nhâm 034171007776</t>
  </si>
  <si>
    <t>034171007776</t>
  </si>
  <si>
    <t>HỘ KINH DOANH CỬA HÀNG TỰ CHỌN THÀNH NHÂM</t>
  </si>
  <si>
    <t>Lô B3, Khu dân cư Thành Công, Phường Trần Hưng Đạo, Tỉnh Hưng Yên, Việt Nam</t>
  </si>
  <si>
    <t>Chị Linh cccd 034173001795</t>
  </si>
  <si>
    <t>Anh Hưng</t>
  </si>
  <si>
    <t>034173001795</t>
  </si>
  <si>
    <t>Bùi Thị Thuý</t>
  </si>
  <si>
    <t>Số 398E, đường Lê Thánh Tông, tổ 15, Phường Thái Bình, Tỉnh Hưng Yên, Việt Nam</t>
  </si>
  <si>
    <t>Cô Tuyết Trang 034071007026</t>
  </si>
  <si>
    <t>Cô Tuyết Trang</t>
  </si>
  <si>
    <t>034071007026</t>
  </si>
  <si>
    <t>HỘ KINH DOANH BÙI VĂN KHANG</t>
  </si>
  <si>
    <t>Nhà ông Bùi Văn Khang, Thôn Vĩnh Gia, Phường Trần Hưng Đạo, Tỉnh Hưng Yên, Việt Nam</t>
  </si>
  <si>
    <t>chị thoa-034173015897 mst 8077877849-001</t>
  </si>
  <si>
    <t>Chị Thoa</t>
  </si>
  <si>
    <t>Thụy An, Thái Thụy</t>
  </si>
  <si>
    <t>034173015897</t>
  </si>
  <si>
    <t>Nguyễn Thị Thoa</t>
  </si>
  <si>
    <t>Chị Hiên 8688335487 cccc 034182009294 tt</t>
  </si>
  <si>
    <t>Chị Hiên</t>
  </si>
  <si>
    <t>Thái Sơn, Thái Thụy</t>
  </si>
  <si>
    <t>034182009294</t>
  </si>
  <si>
    <t>HỘ KINH DOANH PHẠM THỊ HỒNG HIÊN</t>
  </si>
  <si>
    <t>Thôn Thanh Miếu, Xã Bắc Thái Ninh, Tỉnh Hưng Yên, Việt Nam</t>
  </si>
  <si>
    <t>Cô Lan Bàng- 1000203114 cccd  034156009692</t>
  </si>
  <si>
    <t>Chị Lan Bàng</t>
  </si>
  <si>
    <t>Vũ Chính, Thái Bình</t>
  </si>
  <si>
    <t>034156009692</t>
  </si>
  <si>
    <t>Nguyễn Thị Lan</t>
  </si>
  <si>
    <t>Xóm 11, Phường Trần Lãm, Tỉnh Hưng Yên, Việt Nam</t>
  </si>
  <si>
    <t>Chị Huyên 8447672574-001cccd 034171015847</t>
  </si>
  <si>
    <t>TT. Diêm Điền, Thái Thụy</t>
  </si>
  <si>
    <t>034171015847</t>
  </si>
  <si>
    <t>HỘ KINH DOANH TRẦN THỊ HUYÊN</t>
  </si>
  <si>
    <t>Tổ DP Hổ Đội 4, Xã Thái Thụy, Tỉnh Hưng Yên, Việt Nam</t>
  </si>
  <si>
    <t>Bác Xuyến 034058004299</t>
  </si>
  <si>
    <t>Bác Xuyên</t>
  </si>
  <si>
    <t>Thái Phúc, Thái Thụy</t>
  </si>
  <si>
    <t>034058004299</t>
  </si>
  <si>
    <t>Hoàng Văn Xuyến</t>
  </si>
  <si>
    <t>Thôn Phúc Trung, Xã Bắc Thái Ninh, Tỉnh Hưng Yên, Việt Nam</t>
  </si>
  <si>
    <t>Chị Thùy 8739799190 cccd 034176001195</t>
  </si>
  <si>
    <t>Chị Thuỳ</t>
  </si>
  <si>
    <t>034176001195</t>
  </si>
  <si>
    <t>PHẠM THỊ THÙY</t>
  </si>
  <si>
    <t>Xã Thuỵ Anh, Tỉnh Hưng Yên, Việt Nam</t>
  </si>
  <si>
    <t>Thu Châu_034071009037</t>
  </si>
  <si>
    <t>Thu Châu</t>
  </si>
  <si>
    <t>Thụy Việt, Thái Thụy</t>
  </si>
  <si>
    <t>034071009037</t>
  </si>
  <si>
    <t>Phạm Phú Châu</t>
  </si>
  <si>
    <t>Chị Miền Mst 8640511920 cccd 034164004138</t>
  </si>
  <si>
    <t>Chị Miền</t>
  </si>
  <si>
    <t>034164004138</t>
  </si>
  <si>
    <t>Tống Thị Mai</t>
  </si>
  <si>
    <t>Chị Thuận- Mst 8245346909 cccd 034056009041</t>
  </si>
  <si>
    <t>Chị Thuận</t>
  </si>
  <si>
    <t>034056009041</t>
  </si>
  <si>
    <t>VŨ CÔNG TRIỂN</t>
  </si>
  <si>
    <t>Chị Thoa 8077877849-001 cccd 034173015897</t>
  </si>
  <si>
    <t>Chị Sen Năm</t>
  </si>
  <si>
    <t>Thái Tân, Thái Thụy</t>
  </si>
  <si>
    <t>Chị Hồng Thiên - Mst 8557229446 cccd 034069001832</t>
  </si>
  <si>
    <t>Chị Hồng Thiên</t>
  </si>
  <si>
    <t>034069001832</t>
  </si>
  <si>
    <t>Nguyễn Văn Thêm</t>
  </si>
  <si>
    <t>Xã Vũ Phúc , Tỉnh Hưng Yên, Việt Nam</t>
  </si>
  <si>
    <t>Chị Hương Khang 034161002335</t>
  </si>
  <si>
    <t>Chị Hương Khang</t>
  </si>
  <si>
    <t>034161002335</t>
  </si>
  <si>
    <t>Phạm Thị Hương</t>
  </si>
  <si>
    <t>Số 236, đường Hùng Vương,Phường Trần Hưng Đạo, Tỉnh Hưng Yên, Việt Nam</t>
  </si>
  <si>
    <t>Chị Hùng Hà 034064001903</t>
  </si>
  <si>
    <t>Chị Phụng Mơ</t>
  </si>
  <si>
    <t>Vũ Phúc, TP Thái Bình</t>
  </si>
  <si>
    <t>034064001903</t>
  </si>
  <si>
    <t>Hoàng Đình Huỳnh</t>
  </si>
  <si>
    <t>Số nhà 03, tổ 12A, Phường Vũ Phúc, Tỉnh Hưng Yên, Việt Nam</t>
  </si>
  <si>
    <t>Tuyết Lừng - 1000966532 cccd 034064012400</t>
  </si>
  <si>
    <t>Chị Tuyết Lừng</t>
  </si>
  <si>
    <t>034064012400</t>
  </si>
  <si>
    <t>Phạm Xuân Lừng</t>
  </si>
  <si>
    <t>SN 329 Hoàng Văn Thái tổ 02, Phường Trần Lãm, Tỉnh Hưng Yên, Việt Nam</t>
  </si>
  <si>
    <t>Cô Đào - 0200960529 cccd 034064002285</t>
  </si>
  <si>
    <t>Chị Đào</t>
  </si>
  <si>
    <t>034064002285</t>
  </si>
  <si>
    <t>Đặng Đình Hải</t>
  </si>
  <si>
    <t>Cô Thân - 034156011942</t>
  </si>
  <si>
    <t>Chị Thân</t>
  </si>
  <si>
    <t>034156011942</t>
  </si>
  <si>
    <t>Nguyễn Thị Thân</t>
  </si>
  <si>
    <t>Số 84 Hoàng Văn Thái, Tổ 14, Phường Trần Lãm, Tỉnh Hưng Yên, Việt Nam</t>
  </si>
  <si>
    <t>Baby mart _cty quỳnh my_1001298422</t>
  </si>
  <si>
    <t>Chị Dũng Yên</t>
  </si>
  <si>
    <t>1001298422</t>
  </si>
  <si>
    <t>CÔNG TY TNHH BABY QUỲNH MY</t>
  </si>
  <si>
    <t>Số nhà 212, đường Trần Hưng Đạo, Tổ 3, Phường Trần Hưng Đạo, Tỉnh Hưng Yên, Việt Nam</t>
  </si>
  <si>
    <t>chị hồng 34158020695</t>
  </si>
  <si>
    <t>Chị Hồng</t>
  </si>
  <si>
    <t>34158020695</t>
  </si>
  <si>
    <t>Lâm Hà - 034079021671</t>
  </si>
  <si>
    <t>Anh Lâm Hà</t>
  </si>
  <si>
    <t>034079021671</t>
  </si>
  <si>
    <t>Phạm Xuân Hà</t>
  </si>
  <si>
    <t>tổ 2 đường Hoàng Văn Thái, Phường Trần Lãm, Tỉnh Hưng Yên, Việt Nam</t>
  </si>
  <si>
    <t>Chị Hương -034177005490</t>
  </si>
  <si>
    <t>Chị Cơ Thơ</t>
  </si>
  <si>
    <t>034177005490</t>
  </si>
  <si>
    <t>Nguyễn Thị Hường</t>
  </si>
  <si>
    <t>Số nhà 70, Nguyễn Danh Đới, tổ 1, Phường Trần Lãm, Tỉnh Hưng Yên, Việt Nam</t>
  </si>
  <si>
    <t>cô Viễn Thật - 034158007451</t>
  </si>
  <si>
    <t>Chị Viễn Thật</t>
  </si>
  <si>
    <t>034158007451</t>
  </si>
  <si>
    <t>Nguyễn Thị Thẩm</t>
  </si>
  <si>
    <t>Phường Trần Lãm, Thành phố Thái Bình, Tỉnh Thái Bình</t>
  </si>
  <si>
    <t>Chị Yến - 8935022851-001 cccd 034079008614</t>
  </si>
  <si>
    <t>Chị Yến</t>
  </si>
  <si>
    <t>034079008614</t>
  </si>
  <si>
    <t>HỘ KINH DOANH NGUYỄN XUÂN  TUYÊN</t>
  </si>
  <si>
    <t>Số 361, Đường Hoàng Văn Thái, Tổ 2, Phường Trần Lãm , Tỉnh Hưng Yên, Việt Nam</t>
  </si>
  <si>
    <t>Quang Năm Quang Trung ( MST : 034171002175</t>
  </si>
  <si>
    <t>Chị Quang Nam</t>
  </si>
  <si>
    <t>034171002175</t>
  </si>
  <si>
    <t>HỘ KINH DOANH QUANG NĂM</t>
  </si>
  <si>
    <t>Chị Cúc 8598758826 cccd 034054000268</t>
  </si>
  <si>
    <t>Chị Cúc</t>
  </si>
  <si>
    <t>An Bồi, Kiến Xương</t>
  </si>
  <si>
    <t>034054000268</t>
  </si>
  <si>
    <t>Hà Ngọc Trại</t>
  </si>
  <si>
    <t>Hoa điệu1000475453 cccd 034160012238</t>
  </si>
  <si>
    <t>Chị Hoa Điệu</t>
  </si>
  <si>
    <t>034160012238</t>
  </si>
  <si>
    <t>Chu Thị Hoa</t>
  </si>
  <si>
    <t>TDP An Đông, Xã Kiến Xương, Tỉnh Hưng Yên, Việt Nam</t>
  </si>
  <si>
    <t>Thông Loan 034054004507</t>
  </si>
  <si>
    <t>Chị Thông Loan</t>
  </si>
  <si>
    <t>034054004507</t>
  </si>
  <si>
    <t>Phạm Văn Thông</t>
  </si>
  <si>
    <t>TDP An Phú, Xã Kiến Xương, Tỉnh Hưng Yên, Việt Nam</t>
  </si>
  <si>
    <t>An Bình 8042339286 cccd 034184020336</t>
  </si>
  <si>
    <t>An Bình</t>
  </si>
  <si>
    <t>034184020336</t>
  </si>
  <si>
    <t>Trần Thị Thanh Vân</t>
  </si>
  <si>
    <t>Bình Định, Xã Kiến Xương, Tỉnh Hưng Yên, Việt Nam</t>
  </si>
  <si>
    <t>Nhâm tài 8013969678 cccd  034064004270</t>
  </si>
  <si>
    <t>Chị Nhâm Tài</t>
  </si>
  <si>
    <t>034064004270</t>
  </si>
  <si>
    <t>NGUYỄN TRỌNG TÀI</t>
  </si>
  <si>
    <t>Thôn An Đoài, Xã Kiến Xương, Tỉnh Hưng Yên, Việt Nam</t>
  </si>
  <si>
    <t>chị thủy 8722674877 cccd 034177019344</t>
  </si>
  <si>
    <t>034177019344</t>
  </si>
  <si>
    <t>HỘ KINH DOANH HÀ THỊ THÚY</t>
  </si>
  <si>
    <t>034162012796</t>
  </si>
  <si>
    <t>Trần Thị Thơ</t>
  </si>
  <si>
    <t>Xã Hồng Vũ, tỉnh Hưng Yên, Việt Nam</t>
  </si>
  <si>
    <t>Toản Duyên 034173001706</t>
  </si>
  <si>
    <t>Chị Hồng Duyên</t>
  </si>
  <si>
    <t>034173001706</t>
  </si>
  <si>
    <t>lê huế 8469963834 cccd 034196008605</t>
  </si>
  <si>
    <t>LÊ HUế</t>
  </si>
  <si>
    <t>034196008605</t>
  </si>
  <si>
    <t>HỘ KINH DOANH LÊ THỊ HUẾ 1996</t>
  </si>
  <si>
    <t>chú hào 1000380875 cccd 034056009855</t>
  </si>
  <si>
    <t>Chú Hào</t>
  </si>
  <si>
    <t>034056009855</t>
  </si>
  <si>
    <t>Phan Văn Hào</t>
  </si>
  <si>
    <t>Hoa Huynh 034173001706</t>
  </si>
  <si>
    <t>Hoa Huynh</t>
  </si>
  <si>
    <t>Oanh Thơ 034071006900</t>
  </si>
  <si>
    <t>Oanh Thơ</t>
  </si>
  <si>
    <t>034071006900</t>
  </si>
  <si>
    <t>Bùi Văn Oanh</t>
  </si>
  <si>
    <t>Thôn Trần Phú, Xã Bình Định, Tỉnh Hưng Yên, Việt Nam</t>
  </si>
  <si>
    <t>Dũng Miên 034058000656</t>
  </si>
  <si>
    <t>Anh Dũng Miên</t>
  </si>
  <si>
    <t>Bình Minh, Kiến Xương</t>
  </si>
  <si>
    <t>034058000656</t>
  </si>
  <si>
    <t>Nguyễn Tiến Dũng</t>
  </si>
  <si>
    <t>thôn Hương Ngải, Xã Kiến Xương, Tỉnh Hưng Yên, Việt Nam</t>
  </si>
  <si>
    <t>chị thảo 8783144387 cccd 034174010533</t>
  </si>
  <si>
    <t>Chị Thảo</t>
  </si>
  <si>
    <t>034174010533</t>
  </si>
  <si>
    <t>Vũ Thị Phương Thảo</t>
  </si>
  <si>
    <t>thanh tung 8862031403 cccd 034173000998</t>
  </si>
  <si>
    <t>Chị Thanh Tùng</t>
  </si>
  <si>
    <t>034173000998</t>
  </si>
  <si>
    <t>Bùi Thị Ngoan</t>
  </si>
  <si>
    <t>Anh Quynh Thượng Hiền ( MST : 034183023478</t>
  </si>
  <si>
    <t>Anh Quynh</t>
  </si>
  <si>
    <t>Thượng Hiền, Kiến Xương</t>
  </si>
  <si>
    <t>034183023478</t>
  </si>
  <si>
    <t>Trần Thị Vân</t>
  </si>
  <si>
    <t>Chị Trang Bình Nguyên ( MST : 034174019887</t>
  </si>
  <si>
    <t>Chị Hoa</t>
  </si>
  <si>
    <t>Bình Nguyên, Kiến Xương</t>
  </si>
  <si>
    <t>Chú Dũng 034068000122</t>
  </si>
  <si>
    <t>Chú Dũng</t>
  </si>
  <si>
    <t>034068000122</t>
  </si>
  <si>
    <t>Lê Văn Dũng</t>
  </si>
  <si>
    <t>Thôn Đông Lâu, Xã Bình Nguyên, Tỉnh Hưng Yên, Việt Nam</t>
  </si>
  <si>
    <t>034058005359</t>
  </si>
  <si>
    <t>Phạm Duy Ninh</t>
  </si>
  <si>
    <t>Đình Phùng, Xã Lê Lợi, Tỉnh Hưng Yên, Việt Nam</t>
  </si>
  <si>
    <t>034180014215</t>
  </si>
  <si>
    <t>Phạm Thị Thư</t>
  </si>
  <si>
    <t>Cô Huê Bình Nguyên ( MST : 8129466923 cccd 034184013459</t>
  </si>
  <si>
    <t>Chị Huế</t>
  </si>
  <si>
    <t>034184013459</t>
  </si>
  <si>
    <t>HỘ KINH DOANH ĐẶNG THỊ HIỀN 1984</t>
  </si>
  <si>
    <t>139, Võ Nguyên Giáp, TDP Đồng Tiến, Xã Kiến Xương, Tỉnh Hưng Yên, Việt Nam</t>
  </si>
  <si>
    <t>139, Võ Nguyên Giáp, TDP Đồng Tiến, Tỉnh Hưng Yên</t>
  </si>
  <si>
    <t>034066005573</t>
  </si>
  <si>
    <t>Phạm Chính Đức</t>
  </si>
  <si>
    <t>Bình Nguyên, Xã Bình Nguyên, Tỉnh Hưng Yên, Việt Nam</t>
  </si>
  <si>
    <t>Cao Trung, Cao Trung, 11513090, Tỉnh Hưng Yên</t>
  </si>
  <si>
    <t>Chú Tuyển Bình Nguyên ( MST : 8276379904 cccd 034189020875</t>
  </si>
  <si>
    <t>Chú Tuyển</t>
  </si>
  <si>
    <t>034189020875</t>
  </si>
  <si>
    <t>HỘ KINH DOANH TRẦN THỊ VÂN 1989</t>
  </si>
  <si>
    <t>Thôn Trung Quý, Xã Lê Lợi, Tỉnh Hưng Yên, Việt Nam</t>
  </si>
  <si>
    <t>Thạc Nhài Bình Nguyên ( MST : 034170000094</t>
  </si>
  <si>
    <t>Chị Nhài</t>
  </si>
  <si>
    <t>034170000094</t>
  </si>
  <si>
    <t>TRẦN THỊ NHÀI</t>
  </si>
  <si>
    <t>XÓM 1, THÔN AN CHỈ,Xã Bình Nguyên, Tỉnh Hưng Yên, Việt Nam</t>
  </si>
  <si>
    <t>Thạc Nhài Bình Nguyên ( MST : 1000182601) cccd 034066000261</t>
  </si>
  <si>
    <t>034066000261</t>
  </si>
  <si>
    <t>Trần Đình Thạc</t>
  </si>
  <si>
    <t>Chị Hiền-034171017106</t>
  </si>
  <si>
    <t>Chị Hiền</t>
  </si>
  <si>
    <t>Bình Thanh, Kiến Xương</t>
  </si>
  <si>
    <t>034171017106</t>
  </si>
  <si>
    <t>Phan Thị Hương</t>
  </si>
  <si>
    <t>Lập Ấp, Xã Bình Thanh, Tỉnh Hưng Yên, Việt Nam</t>
  </si>
  <si>
    <t>Chị Hoài Mơ- 044183000012</t>
  </si>
  <si>
    <t>Chị Hoài Mơ</t>
  </si>
  <si>
    <t>Minh Tân, Kiến Xương</t>
  </si>
  <si>
    <t>044183000012</t>
  </si>
  <si>
    <t>Nguyễn Thị Hoài</t>
  </si>
  <si>
    <t>Xã Bình Thanh, Tỉnh Hưng Yên, Việt Nam</t>
  </si>
  <si>
    <t>tâm mai 034066012571</t>
  </si>
  <si>
    <t>Chị Tâm Mai</t>
  </si>
  <si>
    <t>034066012571</t>
  </si>
  <si>
    <t>LÊ VĂN MAI</t>
  </si>
  <si>
    <t>Nhu Thúy 034167011579</t>
  </si>
  <si>
    <t>Chị Như Thúy</t>
  </si>
  <si>
    <t>034167011579</t>
  </si>
  <si>
    <t>Hung thêu 8614238344 cccd  034175001472</t>
  </si>
  <si>
    <t>Chị Hùng Thêu</t>
  </si>
  <si>
    <t>034175001472</t>
  </si>
  <si>
    <t>Hoàng Thị Thêu</t>
  </si>
  <si>
    <t>hồng nhâm 034172007740</t>
  </si>
  <si>
    <t>034172007740</t>
  </si>
  <si>
    <t>thoa khanh 8640512297-001 cccd 034165003659</t>
  </si>
  <si>
    <t>Chị Thoa Thánh</t>
  </si>
  <si>
    <t>034165003659</t>
  </si>
  <si>
    <t>Lê Thị Thoa</t>
  </si>
  <si>
    <t>Thôn Điện Biên, Tỉnh Hưng Yên</t>
  </si>
  <si>
    <t>Chị Thu Hằng 1000434739 cccd 034174022030</t>
  </si>
  <si>
    <t>Chị Thu Hằng</t>
  </si>
  <si>
    <t>034174022030</t>
  </si>
  <si>
    <t>Thôn Điên Biên, Xã Bình Thanh, Tỉnh Hưng Yên, Việt Nam</t>
  </si>
  <si>
    <t>Phương Thúy Cao Mại ( MST : 034069003582</t>
  </si>
  <si>
    <t>Anh Phương Thúy</t>
  </si>
  <si>
    <t>034069003582</t>
  </si>
  <si>
    <t>Trần Văn Phương</t>
  </si>
  <si>
    <t>Thắng Tơ Cao Mại ( MST : 034156005016)</t>
  </si>
  <si>
    <t>Vũ Lễ, Tỉnh Hưng Yên</t>
  </si>
  <si>
    <t>Thắng Tơ Cao Mại ( MST : 034185019357)</t>
  </si>
  <si>
    <t>, 1151317, Tỉnh Hưng Yên</t>
  </si>
  <si>
    <t>034186019372</t>
  </si>
  <si>
    <t>ĐOàN THị THU</t>
  </si>
  <si>
    <t>Thắng Tơ Cao Mại ( MST : 034187008371</t>
  </si>
  <si>
    <t>thôn An thọ, 1151345, Tỉnh Hưng Yên</t>
  </si>
  <si>
    <t>Thắng Tơ Cao Mại ( MST : 8752229545) cccd 034184001397</t>
  </si>
  <si>
    <t>Chị Thắng Tố</t>
  </si>
  <si>
    <t>034184001397</t>
  </si>
  <si>
    <t>Trần Thị Tơ</t>
  </si>
  <si>
    <t>cô the 034166002144</t>
  </si>
  <si>
    <t>Chị Thơm</t>
  </si>
  <si>
    <t>Minh Hưng, Kiến Xương</t>
  </si>
  <si>
    <t>034166002144</t>
  </si>
  <si>
    <t>Hoàng Thị The</t>
  </si>
  <si>
    <t>Xóm 1, Xã Bình Thanh, Tỉnh Hưng Yên, Việt Nam</t>
  </si>
  <si>
    <t>Xóm 1, 1151323, Tỉnh Hưng Yên</t>
  </si>
  <si>
    <t>Chú Đức Đình Phùng ( MST : 034066005573)</t>
  </si>
  <si>
    <t>Anh Đức</t>
  </si>
  <si>
    <t>Đình Phùng, Kiến Xương</t>
  </si>
  <si>
    <t>Chú Ninh Đình Phùng ( MST : 034058005359</t>
  </si>
  <si>
    <t>Anh Ninh</t>
  </si>
  <si>
    <t>Quang Huê Đình Phùng ( MST : 034068002453</t>
  </si>
  <si>
    <t>Quang Huê</t>
  </si>
  <si>
    <t>034068002453</t>
  </si>
  <si>
    <t>Vũ Văn Vinh</t>
  </si>
  <si>
    <t>Xã Trà Giang, Tỉnh Hưng Yên, Việt Nam</t>
  </si>
  <si>
    <t>Thôn Nam Huân Nam, Đình Phùng, 11513090, Tỉnh Hưng Yên</t>
  </si>
  <si>
    <t>Chị Thắm Đình Phùng ( MST : 034071009278</t>
  </si>
  <si>
    <t>Chị Thắm</t>
  </si>
  <si>
    <t>034071009278</t>
  </si>
  <si>
    <t>Nguyễn Hữu Huân</t>
  </si>
  <si>
    <t>Cao Bạt Nang, Xã Lê Lợi, Tỉnh Hưng Yên, Việt Nam</t>
  </si>
  <si>
    <t>long bốn 034175004477</t>
  </si>
  <si>
    <t>Chị Bốn</t>
  </si>
  <si>
    <t>Hòa Bình, Kiến Xương</t>
  </si>
  <si>
    <t>034175004477</t>
  </si>
  <si>
    <t>Nguyễn Thị Nhiên</t>
  </si>
  <si>
    <t>Thôn Nam Tiền, Xã Kiến Xương, Tỉnh Hưng Yên, Việt Nam</t>
  </si>
  <si>
    <t>hiền lành 034176008914</t>
  </si>
  <si>
    <t>Chị Hiền Lành</t>
  </si>
  <si>
    <t>034176008914</t>
  </si>
  <si>
    <t>Nguyễn Thị Lành</t>
  </si>
  <si>
    <t>Nam Tiền, Xã Kiến Xương, Tỉnh Hưng Yên, Việt Nam</t>
  </si>
  <si>
    <t>034168003369</t>
  </si>
  <si>
    <t>Phạm Thị Thanh Hải</t>
  </si>
  <si>
    <t>Xã Tây Thuỵ Anh, Tỉnh Hưng Yên, Việt Nam</t>
  </si>
  <si>
    <t>Chị Hợi 034163007075</t>
  </si>
  <si>
    <t>Chị Hợi</t>
  </si>
  <si>
    <t>Trà Giang, Kiến Xương</t>
  </si>
  <si>
    <t>034163007075</t>
  </si>
  <si>
    <t>Nguyễn Thị Hiên</t>
  </si>
  <si>
    <t>Thôn Tả Phụ, Xã Trà Giang, Tỉnh Hưng Yên, Việt Nam</t>
  </si>
  <si>
    <t>Cô Thu 8420719056 cccd 034193009232 kx</t>
  </si>
  <si>
    <t>Chị Thu</t>
  </si>
  <si>
    <t>034193009232</t>
  </si>
  <si>
    <t>HỘ KINH DOANH HIẾU CHIÊN</t>
  </si>
  <si>
    <t>Thôn Hữu Bộc, Xã Trà Giang, Tỉnh Hưng Yên, Việt Nam</t>
  </si>
  <si>
    <t>Duyên Anh 034174000406</t>
  </si>
  <si>
    <t>Chị Duyên Anh</t>
  </si>
  <si>
    <t>Lê Lợi, Kiến Xương</t>
  </si>
  <si>
    <t>034174000406</t>
  </si>
  <si>
    <t>Phạm Thị Duyên</t>
  </si>
  <si>
    <t>Thôn Hữu Bộc, Tỉnh Hưng Yên</t>
  </si>
  <si>
    <t>chị hạnh 034172010328</t>
  </si>
  <si>
    <t>Chị Hạnh</t>
  </si>
  <si>
    <t>034172010328</t>
  </si>
  <si>
    <t>HỘ KINH DOANH PHAN THỊ HẠNH 1972</t>
  </si>
  <si>
    <t>Thôn Đông Thổ, Xã Lê Lợi,Tỉnh Hưng Yên, Việt Nam</t>
  </si>
  <si>
    <t>Hằng Nam Nam Cao ( MST : 8939255328) cccd  034180001306</t>
  </si>
  <si>
    <t>Chị Hằng Nam</t>
  </si>
  <si>
    <t>034180001306</t>
  </si>
  <si>
    <t>HỘ KINH DOANH SHOP HẰNG NAM</t>
  </si>
  <si>
    <t>Thôn An Thái, Xã Lê Lợi, Tỉnh Hưng Yên, Việt Nam</t>
  </si>
  <si>
    <t>Chị Hiên 034172018618</t>
  </si>
  <si>
    <t>034172018618</t>
  </si>
  <si>
    <t>Lê Thị Hiên</t>
  </si>
  <si>
    <t>Thôn Phú Ân, xã Lê Lợi, Tỉnh Hưng Yên, Việt Nam</t>
  </si>
  <si>
    <t>Chị Huyền 8261208504</t>
  </si>
  <si>
    <t>Xã Lê Lợi, Huyện Kiến Xương</t>
  </si>
  <si>
    <t>8261208504</t>
  </si>
  <si>
    <t>chị mừng 8938605523 cccd 034172010323</t>
  </si>
  <si>
    <t>Chị Mừng</t>
  </si>
  <si>
    <t>034172010323</t>
  </si>
  <si>
    <t>Nguyễn Thị Mừng</t>
  </si>
  <si>
    <t>Thôn Phú Ân, Xã Lê Lợi, tỉnh Hưng Yên, Việt Nam</t>
  </si>
  <si>
    <t>phong duyên 034080006771</t>
  </si>
  <si>
    <t>Anh Phòng Duyên</t>
  </si>
  <si>
    <t>034080006771</t>
  </si>
  <si>
    <t>Mai Văn Đông</t>
  </si>
  <si>
    <t>Nam Cao, Tỉnh Hưng Yên</t>
  </si>
  <si>
    <t>tâm điệp 034163006431</t>
  </si>
  <si>
    <t>Chị Điệp Tâm</t>
  </si>
  <si>
    <t>034163006431</t>
  </si>
  <si>
    <t>Bùi Thị Tâm</t>
  </si>
  <si>
    <t>Lê Lợi, Xã Lê Lợi, Tỉnh Hưng Yên, Việt Nam</t>
  </si>
  <si>
    <t>Cô Nhuần 8582473374 cccd 034169004183</t>
  </si>
  <si>
    <t>Anh Thơ Viễn</t>
  </si>
  <si>
    <t>034169004183</t>
  </si>
  <si>
    <t>HỘ KINH DOANH CỬA HÀNG TẠP HOÁ NHUẦN DŨNG</t>
  </si>
  <si>
    <t>Thôn Thái Trung, Xã Lê Lợi, tỉnh Hưng Yên, Việt Nam</t>
  </si>
  <si>
    <t>Hùng Phương Nam Bình ( MST : 034071020579)</t>
  </si>
  <si>
    <t>Chị Hùng Phương</t>
  </si>
  <si>
    <t>Nam Bình, Kiến Xương</t>
  </si>
  <si>
    <t>034071020579</t>
  </si>
  <si>
    <t>PHƯƠNG NHUNG</t>
  </si>
  <si>
    <t>Thôn Đức Chính, Xã Bình Định, Tỉnh Hưng Yên, Việt Nam</t>
  </si>
  <si>
    <t>Thôn Đức Chính, Tỉnh Hưng Yên</t>
  </si>
  <si>
    <t>Chị Sau 034179005417</t>
  </si>
  <si>
    <t>Chị Sáu</t>
  </si>
  <si>
    <t>034179005417</t>
  </si>
  <si>
    <t>HỘ KINH DOANH NGUYỄN THỊ NGA</t>
  </si>
  <si>
    <t>thôn Đông, Xã Kiến Xương, Tỉnh Hưng Yên, Việt Nam</t>
  </si>
  <si>
    <t>hoa mười (034167003886)</t>
  </si>
  <si>
    <t>phương đông ( 034159006385)</t>
  </si>
  <si>
    <t>Chị Phương Đông</t>
  </si>
  <si>
    <t>034159006385</t>
  </si>
  <si>
    <t>Ngô Thị Rần</t>
  </si>
  <si>
    <t>Cao Bạt Đoài, Nam Cao, Kiến Xương, 11513090, Tỉnh Hưng Yên</t>
  </si>
  <si>
    <t>Shop Xinh Nam Cao ( MST : 8364113572)</t>
  </si>
  <si>
    <t>Chị Thế</t>
  </si>
  <si>
    <t>8364113572</t>
  </si>
  <si>
    <t>034181006928</t>
  </si>
  <si>
    <t>HỘ KINH DOANH NGÔ THỊ TƯƠI</t>
  </si>
  <si>
    <t>Thôn Đoàn Kết, Xã Kiến Xương, tỉnh Hưng Yên, Việt Nam</t>
  </si>
  <si>
    <t>CHTC Tim Shop 8896019997-001 cccd 034189001470</t>
  </si>
  <si>
    <t>Tin Shop</t>
  </si>
  <si>
    <t>034189001470</t>
  </si>
  <si>
    <t>Cửa hàng tự chọn Tim Shop</t>
  </si>
  <si>
    <t>Thôn Điện Biên, Xã Bình Thanh, Tỉnh Hưng Yên, Việt Nam</t>
  </si>
  <si>
    <t>Chị Hương Thị Trấn ( MST : 034162000816</t>
  </si>
  <si>
    <t>TT. Thanh Nê, Kiến Xương</t>
  </si>
  <si>
    <t>034162000816</t>
  </si>
  <si>
    <t>Thanh Lân ( MST : 034068002453)</t>
  </si>
  <si>
    <t>Siêu Thị Thanh Lân</t>
  </si>
  <si>
    <t>Thanh Lân Thị Trấn ( MST : 034084021056</t>
  </si>
  <si>
    <t>034084021056</t>
  </si>
  <si>
    <t>Vũ Mạnh Hưng</t>
  </si>
  <si>
    <t>Chị bưởi 034181006928</t>
  </si>
  <si>
    <t>Chị Bưởi</t>
  </si>
  <si>
    <t>Quang Bình, Kiến Xương</t>
  </si>
  <si>
    <t>C loan 8687790194 cccd  034176002148</t>
  </si>
  <si>
    <t>Chị Loan</t>
  </si>
  <si>
    <t>034176002148</t>
  </si>
  <si>
    <t>Cửa hàng Loan Toản</t>
  </si>
  <si>
    <t>Đình Mười - 8668622444 cccd  034060008461</t>
  </si>
  <si>
    <t>Anh Mười</t>
  </si>
  <si>
    <t>Xã Hòa Bình, Huyện Kiến Xương</t>
  </si>
  <si>
    <t>034060008461</t>
  </si>
  <si>
    <t>Nguyễn Văn Hiển</t>
  </si>
  <si>
    <t>Chị Ngân 034066004923</t>
  </si>
  <si>
    <t>Chị Ngân</t>
  </si>
  <si>
    <t>034066004923</t>
  </si>
  <si>
    <t>Nguyễn Trọng Nơi</t>
  </si>
  <si>
    <t>Anh Phong Luyến 034171018240</t>
  </si>
  <si>
    <t>Anh Phong Luyến</t>
  </si>
  <si>
    <t>034171018240</t>
  </si>
  <si>
    <t>NGUYỄN LUYẾN</t>
  </si>
  <si>
    <t>Chị Thoa 034172001521</t>
  </si>
  <si>
    <t>034172001521</t>
  </si>
  <si>
    <t>NGUYỄN THỊ THOA (1972)</t>
  </si>
  <si>
    <t>Thôn Đoàn Kết, Xã Kiến Xương, Tỉnh Hưng Yên, Việt Nam</t>
  </si>
  <si>
    <t>Anh Trường 034070001752</t>
  </si>
  <si>
    <t>Anh Trường</t>
  </si>
  <si>
    <t>034070001752</t>
  </si>
  <si>
    <t>NGUYỄN CÔNG TRƯỜNG</t>
  </si>
  <si>
    <t>THÔN HOA THÁM, XÃ Kiến Xương, Tỉnh Hưng Yên, Việt Nam</t>
  </si>
  <si>
    <t>Hoa Độ ( 034069013289)</t>
  </si>
  <si>
    <t>Chị Hoa Độ</t>
  </si>
  <si>
    <t>Quang Lịch, Kiến Xương</t>
  </si>
  <si>
    <t>034069013289</t>
  </si>
  <si>
    <t>TRẦN THẾ ĐỘ</t>
  </si>
  <si>
    <t>Chuyên Liễu Quang Lịch ( MST : 034156005016</t>
  </si>
  <si>
    <t>Chuyên Liễu</t>
  </si>
  <si>
    <t>Khánh Thu Quang Lịch ( MST : 034084009360</t>
  </si>
  <si>
    <t>Chị Khánh Thu</t>
  </si>
  <si>
    <t>034084009360</t>
  </si>
  <si>
    <t>HỘ KINH DOANH KHÁNH THU</t>
  </si>
  <si>
    <t>Thôn Luật Nội, Xã Quang Lịch, Tỉnh Hưng Yên, Việt Nam</t>
  </si>
  <si>
    <t>thanh chính 034080020128</t>
  </si>
  <si>
    <t>Anh Đảo</t>
  </si>
  <si>
    <t>Quang Minh, Kiến Xương</t>
  </si>
  <si>
    <t>034080020128</t>
  </si>
  <si>
    <t>Đặng Văn Chính</t>
  </si>
  <si>
    <t>Thôn Giang Tiến, Xã Kiến Xương, Tỉnh Hưng Yên, Việt Nam</t>
  </si>
  <si>
    <t>Anh Duẩn mst 1000187790 cccd 034073027803</t>
  </si>
  <si>
    <t>Anh Duẩn</t>
  </si>
  <si>
    <t>034073027803</t>
  </si>
  <si>
    <t>Nguyễn Văn Duẩn</t>
  </si>
  <si>
    <t>Quang Minh, Xã Kiến Xương, Tỉnh Hưng Yên, Việt Nam</t>
  </si>
  <si>
    <t>Thôn Giang Tiến, Tỉnh Hưng Yên</t>
  </si>
  <si>
    <t>thùy dung 034077000216</t>
  </si>
  <si>
    <t>Chị Thùy Dung</t>
  </si>
  <si>
    <t>034077000216</t>
  </si>
  <si>
    <t>Nguyễn Văn Tưởng</t>
  </si>
  <si>
    <t>Thu Liêm 034066001909</t>
  </si>
  <si>
    <t>Chị Thu Liêm</t>
  </si>
  <si>
    <t>034066001909</t>
  </si>
  <si>
    <t>Đặng Thanh Liêm</t>
  </si>
  <si>
    <t>Thôn Chi Lăng, Xã Kiến Xương, Tỉnh Hưng Yên, Việt Nam</t>
  </si>
  <si>
    <t>Chị Nguyệt Quan Minh mst 8034460391 cccd 034084021212</t>
  </si>
  <si>
    <t>Chị Nguyệt</t>
  </si>
  <si>
    <t>034084021212</t>
  </si>
  <si>
    <t>HỘ KINH DOANH ĐẶNG VĂN ĐỘNG</t>
  </si>
  <si>
    <t>Thôn Chi Lăng, Tỉnh Hưng Yên</t>
  </si>
  <si>
    <t>hoà vệ 034160000588</t>
  </si>
  <si>
    <t>Anh Vệ</t>
  </si>
  <si>
    <t>034160000588</t>
  </si>
  <si>
    <t>Hộ kinh doanh Đặng Thị Hòa</t>
  </si>
  <si>
    <t>Thôn Giang Tiến, Xã Kiến Xương, Tình Hưng Yên, Việt Nam</t>
  </si>
  <si>
    <t>Oanh Ba Quốc Tuấn ( MST : 8687964193) cccd 034180009419</t>
  </si>
  <si>
    <t>Chị Oanh Ba</t>
  </si>
  <si>
    <t>Quốc Tuấn, Kiến Xương</t>
  </si>
  <si>
    <t>034180009419</t>
  </si>
  <si>
    <t>Trần Thu Hồng</t>
  </si>
  <si>
    <t>Thôn Bích Kê, Xã Trà Giang, Tỉnh Hưng Yên, Việt Nam</t>
  </si>
  <si>
    <t>Biền Thủy 8326123001 cccd 034078028409</t>
  </si>
  <si>
    <t>Chị Biên Thùy</t>
  </si>
  <si>
    <t>034078028409</t>
  </si>
  <si>
    <t>Đào Văn Biền</t>
  </si>
  <si>
    <t>Hải Hồng Quốc Tuấn ( MST : 8687964193) cccd  034180009419</t>
  </si>
  <si>
    <t>Chị Hải Hồng</t>
  </si>
  <si>
    <t>Thanh Thúy Thượng Hiền ( MST : 034191008289</t>
  </si>
  <si>
    <t>Chị Thanh Thúy</t>
  </si>
  <si>
    <t>034191008289</t>
  </si>
  <si>
    <t>Phùng Thị THủy</t>
  </si>
  <si>
    <t>Thôn Tây Phú,Xã Lê Lợi, Tỉnh Hưng Yên, Việt Nam</t>
  </si>
  <si>
    <t>Thôn Tây Phú, 1151315, Tỉnh Hưng Yên</t>
  </si>
  <si>
    <t>Phong Linh Bình Nguyên ( MST : 025180000909</t>
  </si>
  <si>
    <t>Phong Linh</t>
  </si>
  <si>
    <t>Thanh Tân, Kiến Xương</t>
  </si>
  <si>
    <t>025180000909</t>
  </si>
  <si>
    <t>Trịnh Thùy Linh</t>
  </si>
  <si>
    <t>Xã Bình Nguyên, Tỉnh Hưng Yên, Việt Nam</t>
  </si>
  <si>
    <t>Thôn Quân Hành, Tỉnh Hưng Yên</t>
  </si>
  <si>
    <t>Cô Mừng Thanh Tân ( MST : 034156005016</t>
  </si>
  <si>
    <t>Cô Mừng Thanh Tân ( MST : 034170000094)</t>
  </si>
  <si>
    <t>XÓM 1, THÔN AN CHỈ, 1151337, Tỉnh Hưng Yên</t>
  </si>
  <si>
    <t>Quý Nghị Thanh Tân ( MST : 034174019887)</t>
  </si>
  <si>
    <t>Chị Quý Nghị</t>
  </si>
  <si>
    <t>Chị Nhuần Thanh Tân ( MST : 034175023357)</t>
  </si>
  <si>
    <t>Chị Nhuần</t>
  </si>
  <si>
    <t>034175023357</t>
  </si>
  <si>
    <t>HỘ KINH DOANH TRẦN THỊ HƯỜNG 1975</t>
  </si>
  <si>
    <t>Thôn An Thọ, Xã Bình Nguyên, Tỉnh Hưng Yên, Việt Nam</t>
  </si>
  <si>
    <t>Thư Đán Thanh Tân ( MST : 034180014215)</t>
  </si>
  <si>
    <t>Chị Thư Đán</t>
  </si>
  <si>
    <t>Toản Dung Thanh Tân ( MST : 034080009134)</t>
  </si>
  <si>
    <t>thôn Tử Tế, Tỉnh Hưng Yên</t>
  </si>
  <si>
    <t>Chị Qúy Lan 8075041569 cccd 034063019341</t>
  </si>
  <si>
    <t>Chị Qúy Lan</t>
  </si>
  <si>
    <t>Vũ An, Kiến Xương</t>
  </si>
  <si>
    <t>034063019341</t>
  </si>
  <si>
    <t>Lương Vương Quý</t>
  </si>
  <si>
    <t>toản tâm 8832645445 cccd 019186000464</t>
  </si>
  <si>
    <t>Chị Toản Tâm</t>
  </si>
  <si>
    <t>019186000464</t>
  </si>
  <si>
    <t>HỘ KINH DOANH TẠP HÓA - TOẢN TÂM</t>
  </si>
  <si>
    <t>Thơ bình 034162012796</t>
  </si>
  <si>
    <t>Chị Thơ Bình</t>
  </si>
  <si>
    <t>Vũ Bình, Kiến Xương</t>
  </si>
  <si>
    <t>hoa toán 1001222060 cccd 034070007659</t>
  </si>
  <si>
    <t>Chị Hoa Toán</t>
  </si>
  <si>
    <t>Vũ Công, Kiến Xương</t>
  </si>
  <si>
    <t>034070007659</t>
  </si>
  <si>
    <t>Nguyễn Văn Toán</t>
  </si>
  <si>
    <t>Thôn Trà Vi Đông,Xã Hồng Vũ, Tỉnh Hưng Yên, Việt Nam</t>
  </si>
  <si>
    <t>chị minh 034065001063</t>
  </si>
  <si>
    <t>Chị Xoan Anh</t>
  </si>
  <si>
    <t>Vũ Đô, Thái Bình</t>
  </si>
  <si>
    <t>Anh Bốn 034071005776</t>
  </si>
  <si>
    <t>Anh Bổn</t>
  </si>
  <si>
    <t>034071005776</t>
  </si>
  <si>
    <t>Trần Văn Bốn</t>
  </si>
  <si>
    <t>Chị Thu Hà  034178021050</t>
  </si>
  <si>
    <t>Chị Thu Hà</t>
  </si>
  <si>
    <t>034178021050</t>
  </si>
  <si>
    <t>HỘ KINH DOANH NGUYỄN THỊ MAI THU</t>
  </si>
  <si>
    <t>Nhà ông Nguyễn Minh Hà, Thôn Quang Trung, Phường Trần Lãm, Tỉnh Hưng Yên, Việt Nam</t>
  </si>
  <si>
    <t>chị nhài 036184023255</t>
  </si>
  <si>
    <t>036184023255</t>
  </si>
  <si>
    <t>HỘ KINH DOANH ĐỖ THỊ NHÀI</t>
  </si>
  <si>
    <t>Thôn Quang Trung, Phường Trần Lãm, Tỉnh Hưng Yên, Việt Nam</t>
  </si>
  <si>
    <t>Nhật Thi 034173001969</t>
  </si>
  <si>
    <t>Chị Nhất</t>
  </si>
  <si>
    <t>034173001969</t>
  </si>
  <si>
    <t>HỘ KINH DOANH ĐÀO THỊ THI</t>
  </si>
  <si>
    <t>Phượng Hướng 034182008026</t>
  </si>
  <si>
    <t>Chị Phương Hướng</t>
  </si>
  <si>
    <t>034182008026</t>
  </si>
  <si>
    <t>HỘ KINH DOANH TRẦN THỊ HƯỚNG</t>
  </si>
  <si>
    <t>Chị Thanh Ty</t>
  </si>
  <si>
    <t>034080012250</t>
  </si>
  <si>
    <t>Cửa hàng tự chọn Trang Anh</t>
  </si>
  <si>
    <t>Thôn Thái Trung, Xã Lê Lợi, Tỉnh Hưng Yên, Việt Nam</t>
  </si>
  <si>
    <t>Chị Xuân 034176004417</t>
  </si>
  <si>
    <t>Chị Xuân</t>
  </si>
  <si>
    <t>034176004417</t>
  </si>
  <si>
    <t>Nguyễn Thị Trang</t>
  </si>
  <si>
    <t>Cô Hà Đoán Vũ Hoà ( MST : 1000469731) cccd 034168001696</t>
  </si>
  <si>
    <t>Hà Đoán</t>
  </si>
  <si>
    <t>Vũ Hòa, Kiến Xương</t>
  </si>
  <si>
    <t>034168001696</t>
  </si>
  <si>
    <t>Hoàng Thị Hà</t>
  </si>
  <si>
    <t>Nam Luyến Vũ Hoà ( MST : 1000275542) cccd  034068024999</t>
  </si>
  <si>
    <t>Anh Nam Luyến</t>
  </si>
  <si>
    <t>034068024999</t>
  </si>
  <si>
    <t>Nguyễn Văn Nam</t>
  </si>
  <si>
    <t>Thôn 4  Xã Hồng Vũ, Tỉnh Hưng Yên, Việt Nam</t>
  </si>
  <si>
    <t>chị vui 034160021124</t>
  </si>
  <si>
    <t>Chị Vui</t>
  </si>
  <si>
    <t>034160021124</t>
  </si>
  <si>
    <t>tín cẩn 034179001278</t>
  </si>
  <si>
    <t>Anh Tín Cẩn</t>
  </si>
  <si>
    <t>034179001278</t>
  </si>
  <si>
    <t>Phạm Thị Tín</t>
  </si>
  <si>
    <t>Khánh Dần Vũ Lễ ( MST : 034187008371)</t>
  </si>
  <si>
    <t>Chị Khánh Dẫn</t>
  </si>
  <si>
    <t>Vũ Lê, Kiến Xương</t>
  </si>
  <si>
    <t>Hoài Liên 1001317234</t>
  </si>
  <si>
    <t>Chị Hoài Liên</t>
  </si>
  <si>
    <t>1001317234</t>
  </si>
  <si>
    <t>CÔNG TY TNHH HOÀI TƯƠI</t>
  </si>
  <si>
    <t>Nhà Ông Hoài, Thôn Man Đích, Xã Quang Lịch, Tỉnh Hưng Yên, Việt Nam</t>
  </si>
  <si>
    <t>Nhà Ông Hoài, Thôn Man Đích, Tỉnh Hưng Yên</t>
  </si>
  <si>
    <t>Nguyên Toan Vũ Lễ ( MST : 034156005016</t>
  </si>
  <si>
    <t>Tảo Hiền 034067007873</t>
  </si>
  <si>
    <t>Chị Tảo Hiền</t>
  </si>
  <si>
    <t>034067007873</t>
  </si>
  <si>
    <t>HỘ KINH DOANH ĐOÀN VĂN TẢO</t>
  </si>
  <si>
    <t>Nhà ông Đoàn Văn Tảo, Thôn Thượng Cầm, Phường Trần Lãm , Tỉnh Hưng Yên , Việt Nam</t>
  </si>
  <si>
    <t>chi lan 034173003556</t>
  </si>
  <si>
    <t>Chị Lân</t>
  </si>
  <si>
    <t>034173003556</t>
  </si>
  <si>
    <t>Chị Mai 8286416249 cccd  034076025894</t>
  </si>
  <si>
    <t>Anh Chị Mai</t>
  </si>
  <si>
    <t>034076025894</t>
  </si>
  <si>
    <t>HỘ KINH DOANH TRẦN XUÂN HỮU</t>
  </si>
  <si>
    <t>Nhà ông Trần Xuân Hữu, Thôn Thượng Cầm,Phường Trần Lãm , Tỉnh Hưng Yên, Việt Nam</t>
  </si>
  <si>
    <t>chi nhã 034194008340</t>
  </si>
  <si>
    <t>Chị Nhã</t>
  </si>
  <si>
    <t>Vũ Lạc, TP Thái Bình</t>
  </si>
  <si>
    <t>034194008340</t>
  </si>
  <si>
    <t>HỘ KINH DOANH NGUYỄN. THỊ THU THỦY</t>
  </si>
  <si>
    <t>Nhà ông Phạm Thành Luân, Thôn Nam Hưng, Phường Trần Lãm, Tỉnh Hưng Yên, Việt Nam</t>
  </si>
  <si>
    <t>Chị Tươi 034183018014</t>
  </si>
  <si>
    <t>Chị Tươi</t>
  </si>
  <si>
    <t>034183018014</t>
  </si>
  <si>
    <t>Phạm Thị Tươi</t>
  </si>
  <si>
    <t>Phường Trần lãm, Tỉnh Hưng Yên, Việt Nam</t>
  </si>
  <si>
    <t>a tiến034072002310</t>
  </si>
  <si>
    <t>Anh Tiến</t>
  </si>
  <si>
    <t>034072002310</t>
  </si>
  <si>
    <t>Bùi Đình Tiến</t>
  </si>
  <si>
    <t>Anh Chinh 8941465869 cccd 034175002894</t>
  </si>
  <si>
    <t>Anh Chinh</t>
  </si>
  <si>
    <t>Bác Vân Vũ Lê ( MST : 034168008596)</t>
  </si>
  <si>
    <t>034168008596</t>
  </si>
  <si>
    <t>HỘ KINH DOANH MAI THỊ QUẾ</t>
  </si>
  <si>
    <t>Thôn Tri Lễ, Tỉnh Hưng Yên</t>
  </si>
  <si>
    <t>Đào 8507918289 cccd  034184009636</t>
  </si>
  <si>
    <t>Vũ Ninh, Kiến Xương</t>
  </si>
  <si>
    <t>Chị Hạnh 034181011736 kx</t>
  </si>
  <si>
    <t>034181011736</t>
  </si>
  <si>
    <t>Lại Thị Hạnh</t>
  </si>
  <si>
    <t>Đông Hòa,Xã Vũ Quý, Tỉnh Hưng Yên, Việt Nam</t>
  </si>
  <si>
    <t>Chị Hoa cccd 034065005353</t>
  </si>
  <si>
    <t>034065005353</t>
  </si>
  <si>
    <t>Trần Ngọc Anh</t>
  </si>
  <si>
    <t>Thôn An Vinh,Xã Vũ Quý, Tỉnh Hưng Yên, Việt Nam</t>
  </si>
  <si>
    <t>Chị Lý 8263710477 cccd 034068009405 kx</t>
  </si>
  <si>
    <t>Chị Lý</t>
  </si>
  <si>
    <t>034068009405</t>
  </si>
  <si>
    <t>Nguyễn Văn Lợi</t>
  </si>
  <si>
    <t>phượng thêm 034180000834</t>
  </si>
  <si>
    <t>Phương Thêm</t>
  </si>
  <si>
    <t>034180000834</t>
  </si>
  <si>
    <t>HỘ KINH DOANH LẠI THỊ PHƯỢNG</t>
  </si>
  <si>
    <t>chị thúy đoàn 034173002686</t>
  </si>
  <si>
    <t>Chị Thúy</t>
  </si>
  <si>
    <t>034173002686</t>
  </si>
  <si>
    <t>Lại Thị Thúy</t>
  </si>
  <si>
    <t>Thôn Nam Sơn, Xã Vũ Quý, Tỉnh Hưng Yên, Việt Nam</t>
  </si>
  <si>
    <t>Nhà Nghỉ Việt Hương 034068000483</t>
  </si>
  <si>
    <t>Chị Hải Yến</t>
  </si>
  <si>
    <t>034068000483</t>
  </si>
  <si>
    <t>Nguyễn Ngọc Hướng</t>
  </si>
  <si>
    <t>Thúy Đẩu Vũ Quý ( MST : 034173015997</t>
  </si>
  <si>
    <t>Chị Thúy Đẩu</t>
  </si>
  <si>
    <t>Vũ Quí, Kiến Xương</t>
  </si>
  <si>
    <t>034173015997</t>
  </si>
  <si>
    <t>Tuấn Hùng Vũ Quý ( MST : 022162006168)</t>
  </si>
  <si>
    <t>Anh Tuấn Hùng</t>
  </si>
  <si>
    <t>022162006168</t>
  </si>
  <si>
    <t>Tuấn Hùng Vũ Quý ( MST : 034162000816</t>
  </si>
  <si>
    <t>Tuấn Hùng Vũ Quý ( MST : 034162000816)</t>
  </si>
  <si>
    <t>Chị Huyền Ngã 4 Vũ Quý ( MST : 034185019357)</t>
  </si>
  <si>
    <t>Bình Lạng Vũ Quý ( MST : 034168008596)</t>
  </si>
  <si>
    <t>Chị Lạng</t>
  </si>
  <si>
    <t>Bình Lạng Vũ Quý ( MST : 1001184295)</t>
  </si>
  <si>
    <t>1001184295</t>
  </si>
  <si>
    <t>Liên Thắng Vũ Quý ( MST : 1001211982 )</t>
  </si>
  <si>
    <t>Chị Liên Thắng</t>
  </si>
  <si>
    <t>1001211982</t>
  </si>
  <si>
    <t>Quyết Liên Vũ Quý ( MST : 034162000816)</t>
  </si>
  <si>
    <t>Anh Quyết</t>
  </si>
  <si>
    <t>Anh Huynh</t>
  </si>
  <si>
    <t>Vũ Sơn, Kiến Xương</t>
  </si>
  <si>
    <t>ah huynh 034181016853</t>
  </si>
  <si>
    <t>034181016853</t>
  </si>
  <si>
    <t>Hộ kinh doanh Phạm Thị Thiếu</t>
  </si>
  <si>
    <t>Thôn Quyết Tiến, Phường Trần Lãm , Tỉnh Hưng Yên, Việt Nam</t>
  </si>
  <si>
    <t>khải hương 034176015688</t>
  </si>
  <si>
    <t>Khải Hương</t>
  </si>
  <si>
    <t>Tây Sơn, Kiến Xương</t>
  </si>
  <si>
    <t>034176015688</t>
  </si>
  <si>
    <t>Hà Thị Hương</t>
  </si>
  <si>
    <t>anh tùng 034088014320</t>
  </si>
  <si>
    <t>Anh Tùng</t>
  </si>
  <si>
    <t>Vũ Thắng, Kiến Xương</t>
  </si>
  <si>
    <t>034088014320</t>
  </si>
  <si>
    <t>HỘ KINH DOANH VŨ VĂN TÙNG</t>
  </si>
  <si>
    <t>8640511800</t>
  </si>
  <si>
    <t>Bà Cam 034156016260</t>
  </si>
  <si>
    <t>Chị Cẩm</t>
  </si>
  <si>
    <t>034156016260</t>
  </si>
  <si>
    <t>Chị Hoa 034063010398</t>
  </si>
  <si>
    <t>034063010398</t>
  </si>
  <si>
    <t>HỘ KINH DOANH TRẦN VĂN  HÙNG</t>
  </si>
  <si>
    <t>Chị Thúy Cường</t>
  </si>
  <si>
    <t>Vũ Trung, Kiến Xương</t>
  </si>
  <si>
    <t>Thúy Cường Vũ Trung ( MST : 034167006501)</t>
  </si>
  <si>
    <t>034167006501</t>
  </si>
  <si>
    <t>Nguyễn Thị Kim Nhung</t>
  </si>
  <si>
    <t>Cô Hoa Vũ Trung ( MST : 034171005340</t>
  </si>
  <si>
    <t>034171005340</t>
  </si>
  <si>
    <t>Trần Thị Hoa</t>
  </si>
  <si>
    <t>a dũng 1000322961 cccd 034072009434</t>
  </si>
  <si>
    <t>Anh Dũng</t>
  </si>
  <si>
    <t>anh điện 034174001411</t>
  </si>
  <si>
    <t>Anh Điện</t>
  </si>
  <si>
    <t>034174001411</t>
  </si>
  <si>
    <t>Anh Điện Vũ Thắng ( MST : 1000473791 ) cccd  034079002052</t>
  </si>
  <si>
    <t>chị Hường 8125143054 cccd 034183003210 vũ tây</t>
  </si>
  <si>
    <t>Chị Hồi</t>
  </si>
  <si>
    <t>Nhung Thanh 8609718680</t>
  </si>
  <si>
    <t>8609718680</t>
  </si>
  <si>
    <t>Cô Nhuần Vũ Trung ( MST : 034163004428</t>
  </si>
  <si>
    <t>034163004428</t>
  </si>
  <si>
    <t>Ngô Thị Nhuần</t>
  </si>
  <si>
    <t>Anh Sang</t>
  </si>
  <si>
    <t>Anh Toan</t>
  </si>
  <si>
    <t>anh toan 1000256613 cccd 034063004117</t>
  </si>
  <si>
    <t>Phượng Trình Vũ Trung ( MST : 034079002052</t>
  </si>
  <si>
    <t>Phượng Trình</t>
  </si>
  <si>
    <t>034079002052</t>
  </si>
  <si>
    <t>Nguyễn Trình</t>
  </si>
  <si>
    <t>Chị Hiền Vũ Trung ( MST : 034168008596</t>
  </si>
  <si>
    <t>Cô Duyên c</t>
  </si>
  <si>
    <t>Chị Trang Anh</t>
  </si>
  <si>
    <t>Chú Uyên mst 8536460074 cccd 034175004351</t>
  </si>
  <si>
    <t>Chú Uyên</t>
  </si>
  <si>
    <t>Chị Vân</t>
  </si>
  <si>
    <t>034160017198</t>
  </si>
  <si>
    <t>Đỗ Thị Mai</t>
  </si>
  <si>
    <t>Chi Thoa 034064000449</t>
  </si>
  <si>
    <t>034064000449</t>
  </si>
  <si>
    <t>Đào Anh Hiệu</t>
  </si>
  <si>
    <t>Cô Lan - 034164000037</t>
  </si>
  <si>
    <t>034164000037</t>
  </si>
  <si>
    <t>Trần Thị Lan</t>
  </si>
  <si>
    <t>Số 42 Tổ 40 Trần Khánh Dư, Phường Thái Bình, Tỉnh Hưng Yên, Việt Nam</t>
  </si>
  <si>
    <t>Chị Bình Lơn 034057018973</t>
  </si>
  <si>
    <t>Chị Bình Lơn</t>
  </si>
  <si>
    <t>034057018973</t>
  </si>
  <si>
    <t>HỘ KINH DOANH ĐÀO HUY BÌNH</t>
  </si>
  <si>
    <t>Số 5R, Đường Bùi Sỹ Tiêm, Tổ 14, Phường Thái Bình, Tỉnh Hưng Yên, Việt Nam</t>
  </si>
  <si>
    <t>Hiệp Tộ - 8258139096 cccd034170002954</t>
  </si>
  <si>
    <t>Chị Hiệp Tộ</t>
  </si>
  <si>
    <t>P. Kỳ Bá, Thái Bình</t>
  </si>
  <si>
    <t>Chị Sót</t>
  </si>
  <si>
    <t>Kiên Dụ 034159000408</t>
  </si>
  <si>
    <t>Cô Kiên Du</t>
  </si>
  <si>
    <t>034159000408</t>
  </si>
  <si>
    <t>Cô Đức Giang mst 8617254633 cccd 034173014154</t>
  </si>
  <si>
    <t>Chị Đức Giang</t>
  </si>
  <si>
    <t>Chị Hương cccd 034166003108</t>
  </si>
  <si>
    <t>034166003108</t>
  </si>
  <si>
    <t>212 Nguyễn Thị Minh Khai  tổ 47, Phường Thái Bình, Tỉnh Hưng Yên, Việt Nam</t>
  </si>
  <si>
    <t>Công Ty TNHH Thương Mại P&amp;Q. mst 1000412220</t>
  </si>
  <si>
    <t>Anh Minh Hoa</t>
  </si>
  <si>
    <t>1000412220</t>
  </si>
  <si>
    <t>CÔNG TY TNHHH THƯƠNG MẠI P $ Q</t>
  </si>
  <si>
    <t>số nhà 226 phố Nguyễn Thị Minh Khai, Phường Thái Bình, Tỉnh Hưng Yên, Việt Nam</t>
  </si>
  <si>
    <t>Chị Huyền - 8449476053 cccd  034176018084 mỹ lộc</t>
  </si>
  <si>
    <t>Chi Huyền</t>
  </si>
  <si>
    <t>Mý Lộc, Thái Thụy</t>
  </si>
  <si>
    <t>Chị Mấn 034166012652</t>
  </si>
  <si>
    <t>Chị Mấn</t>
  </si>
  <si>
    <t>034166012652</t>
  </si>
  <si>
    <t>Lê Thị Mấn</t>
  </si>
  <si>
    <t>Sơn Hải - 8092271643 cccd 034190016711</t>
  </si>
  <si>
    <t>Sơn Hải</t>
  </si>
  <si>
    <t>Cô Thu Hiền mst 8407129964 cccd 034174020863</t>
  </si>
  <si>
    <t>Cô Lan 034160002448</t>
  </si>
  <si>
    <t>Cô Lan</t>
  </si>
  <si>
    <t>034160002448</t>
  </si>
  <si>
    <t>HỘ KINH DOANH .PHẠM THỊ LAN</t>
  </si>
  <si>
    <t>Chị Hương - 034177005490</t>
  </si>
  <si>
    <t>Chị Hoa Trinh</t>
  </si>
  <si>
    <t>Chi Hoa Trịnh Cc 034172005089</t>
  </si>
  <si>
    <t>034172005089</t>
  </si>
  <si>
    <t>Nguyễn Thị Hoa</t>
  </si>
  <si>
    <t>số 209, Đường Nguyễn Trãi, tổ 5, Phường Vũ Phúc, Tỉnh Hưng Yên, Việt Nam</t>
  </si>
  <si>
    <t>Chú Nghĩa- mst 1001115206-001</t>
  </si>
  <si>
    <t>Anh Nghĩa</t>
  </si>
  <si>
    <t>1001115206001</t>
  </si>
  <si>
    <t>Chị Vân 034174006436</t>
  </si>
  <si>
    <t>034174006436</t>
  </si>
  <si>
    <t>Lê Thị Vân</t>
  </si>
  <si>
    <t>Chị Diễm Gấm 034070000847</t>
  </si>
  <si>
    <t>034070000847</t>
  </si>
  <si>
    <t>Vũ NGọC THảN</t>
  </si>
  <si>
    <t>Chị Mai mst 034160017198</t>
  </si>
  <si>
    <t>Anh Trường 034174010742</t>
  </si>
  <si>
    <t>034174010742</t>
  </si>
  <si>
    <t>Nguyễn Thị Thuỷ</t>
  </si>
  <si>
    <t>SN 204C tổ 19, Phường Trần Hưng Đạo, Tỉnh Hưng Yên, Việt Nam</t>
  </si>
  <si>
    <t>Anh Hảo Mst 1001074750 cccd  034173017765</t>
  </si>
  <si>
    <t>Anh Hảo</t>
  </si>
  <si>
    <t>A Sỹ Thìn. Mst 1000335921</t>
  </si>
  <si>
    <t>Sỹ Thìn</t>
  </si>
  <si>
    <t>1000335921</t>
  </si>
  <si>
    <t>Chị Thu 034174020863</t>
  </si>
  <si>
    <t>Vũ Phúc, Thái Bình</t>
  </si>
  <si>
    <t>034174020863</t>
  </si>
  <si>
    <t>Lại Thị Thu</t>
  </si>
  <si>
    <t>Số 127, phố Nguyễn Trãi, P Phú Khánh, Phường Vũ Phúc, Tỉnh Hưng Yên, Việt Nam</t>
  </si>
  <si>
    <t>Chị Trang 034191016703</t>
  </si>
  <si>
    <t>Chị Trang</t>
  </si>
  <si>
    <t>034191016703</t>
  </si>
  <si>
    <t>Lê Thị Trang</t>
  </si>
  <si>
    <t>Chi Vui cc 034178007329</t>
  </si>
  <si>
    <t>034178007329</t>
  </si>
  <si>
    <t>Nguyễn Thị Vui</t>
  </si>
  <si>
    <t>Số 229, đường Nguyễn Trãi, Phường Vũ Phúc, Tỉnh Hưng Yên, Việt Nam</t>
  </si>
  <si>
    <t>Chị Thuận mst 8247991735 cccd 034160012018</t>
  </si>
  <si>
    <t>Chị Hương Lương cccd 034173018353</t>
  </si>
  <si>
    <t>Chị Hương Lương</t>
  </si>
  <si>
    <t>034173018353</t>
  </si>
  <si>
    <t>Kim Tuyến xuất Nhật Minh</t>
  </si>
  <si>
    <t>Chị Kim Tuyến</t>
  </si>
  <si>
    <t>Chú Sơn 034059014715</t>
  </si>
  <si>
    <t>Chị Bình</t>
  </si>
  <si>
    <t>034059014715</t>
  </si>
  <si>
    <t>Vũ Minh Sơn</t>
  </si>
  <si>
    <t>Phường Trần Hưng Đạo, tỉnh Hưng Yên, Việt Nam</t>
  </si>
  <si>
    <t>Chi Hảo-Mst 1000764215 cccd 034072009087</t>
  </si>
  <si>
    <t>Chị Thủy 034074022242</t>
  </si>
  <si>
    <t>034074022242</t>
  </si>
  <si>
    <t>Nguyễn Thanh Tùng</t>
  </si>
  <si>
    <t>Ki ốt số 15, đường Kỳ Đồng, chợ Quang Trung, Thành phố Thái, Phường Trần Hưng Đạo, Tỉnh Hưng Yên, Việt Nam</t>
  </si>
  <si>
    <t>Chị Oanh 034094014693</t>
  </si>
  <si>
    <t>Chị Oanh</t>
  </si>
  <si>
    <t>034094014693</t>
  </si>
  <si>
    <t>HỘ KINH DOANH TI DO 94</t>
  </si>
  <si>
    <t>Số 44, Đường Ngô Thì Nhậm, Tổ 14, Phường Trần Hưng Đạo, Tỉnh Hưng Yên, Việt Nam</t>
  </si>
  <si>
    <t>Chị Hiền 4501349</t>
  </si>
  <si>
    <t>4501349</t>
  </si>
  <si>
    <t>Chú Thịnh Duyên 034155002032</t>
  </si>
  <si>
    <t>Chú Thịnh Duyên</t>
  </si>
  <si>
    <t>Chị Linh</t>
  </si>
  <si>
    <t>Chị Nga 1000234722 cccd 034166005047</t>
  </si>
  <si>
    <t>Chị Phúc Tuệ -Mst 1001266981</t>
  </si>
  <si>
    <t>Chị Phúc</t>
  </si>
  <si>
    <t>1001266981</t>
  </si>
  <si>
    <t>CÔNG TY CỔ PHẦN ĐẦU TƯ PHÁT TRIỂN CUNG CẤP THỰC PHẨM SẠCH HÀ TRÂM</t>
  </si>
  <si>
    <t>Số nhà 160, ngõ 3 tổ Hùng Tiến, Xã Vũ Thư, Tỉnh Hưng Yên, Việt Nam</t>
  </si>
  <si>
    <t>chị Thịnh 034075009549</t>
  </si>
  <si>
    <t>Chị Thịnh</t>
  </si>
  <si>
    <t>Chi Toan 034176008789</t>
  </si>
  <si>
    <t>Chị Toan</t>
  </si>
  <si>
    <t>034176008789</t>
  </si>
  <si>
    <t>Duân Thúy 0700587270 cccd 034182008626</t>
  </si>
  <si>
    <t>Anh Duân Thúy</t>
  </si>
  <si>
    <t>Chị Gấm - 8283014936 cccd 034176002147</t>
  </si>
  <si>
    <t>Chị Gấm</t>
  </si>
  <si>
    <t>Thái An, Thái Thụy</t>
  </si>
  <si>
    <t>anh suý _034055005166</t>
  </si>
  <si>
    <t>Anh Súy</t>
  </si>
  <si>
    <t>034055005166</t>
  </si>
  <si>
    <t>MAI CÔNG SÚY</t>
  </si>
  <si>
    <t>CH Nam Thành 031190015134</t>
  </si>
  <si>
    <t>Chị Thanh</t>
  </si>
  <si>
    <t>031190015134</t>
  </si>
  <si>
    <t>Vũ Thị Huyền</t>
  </si>
  <si>
    <t>Tân Bình, Thái Bình</t>
  </si>
  <si>
    <t>027188000154</t>
  </si>
  <si>
    <t>Nguyễn Thuỳ Dung</t>
  </si>
  <si>
    <t>Dung Tân Bình 027188000154</t>
  </si>
  <si>
    <t>Hồng Dương -034067000080</t>
  </si>
  <si>
    <t>Chị Dương</t>
  </si>
  <si>
    <t>034067000080</t>
  </si>
  <si>
    <t>HỘ KINH DOANH CHỬ HỒNG DƯƠNG</t>
  </si>
  <si>
    <t>Nhà ông Chử Hồng Dương, thôn Tú Linh, Phường Thái Bình, Tỉnh Hưng Yên, Việt Nam</t>
  </si>
  <si>
    <t>Chi Thương 8074588408cccd 034170014499</t>
  </si>
  <si>
    <t>Chị Thái Hiền</t>
  </si>
  <si>
    <t>Thụy Bình, Thái Thụy</t>
  </si>
  <si>
    <t>Cô Mây 034157010752</t>
  </si>
  <si>
    <t>Cô Mây</t>
  </si>
  <si>
    <t>034157010752</t>
  </si>
  <si>
    <t>NGUYỄN HỒNG MÂY</t>
  </si>
  <si>
    <t>Xã Thái Thuỵ, Tỉnh Hưng Yên , Việt Nam</t>
  </si>
  <si>
    <t>Chị Thư 034179001521</t>
  </si>
  <si>
    <t>Chị Hồng Anh</t>
  </si>
  <si>
    <t>Thụy Chính, Thái Thụy</t>
  </si>
  <si>
    <t>034179001521</t>
  </si>
  <si>
    <t>Trần Thị Phương Thư</t>
  </si>
  <si>
    <t>Thôn Hòe Nha, Xã Tây Thuỵ Anh, Tỉnh Hưng Yên, Việt Nam</t>
  </si>
  <si>
    <t>Cô Lý 1000242498 cccd 034064014937 tt</t>
  </si>
  <si>
    <t>CH Dương Chiêm 8793718425-001 cccd  034170014499</t>
  </si>
  <si>
    <t>Chị Dương Chiêm</t>
  </si>
  <si>
    <t>Thụy Dân, Thái Thụy</t>
  </si>
  <si>
    <t>Giỏi Phượng - 1000291248 cccd 034154013026</t>
  </si>
  <si>
    <t>Thái Đô, Thái Thụy</t>
  </si>
  <si>
    <t>Anh Quyết - 8669785353 cccd 034196003203</t>
  </si>
  <si>
    <t>Chị Phúc Vân cccd 034073030683</t>
  </si>
  <si>
    <t>Chị Phúc Vân</t>
  </si>
  <si>
    <t>thắm nho- mst 8078971185-001 cccd 034174009181</t>
  </si>
  <si>
    <t>Chị Thắm Nho</t>
  </si>
  <si>
    <t>Thuỵ Dương, Thái Thụy</t>
  </si>
  <si>
    <t>Huyền Oai cccd 025187015167</t>
  </si>
  <si>
    <t>Huyền Oai</t>
  </si>
  <si>
    <t>Thụy Duyên, Thái Thụy</t>
  </si>
  <si>
    <t>025187015167</t>
  </si>
  <si>
    <t>HỘ KINH DOANH HUYỀN OAI</t>
  </si>
  <si>
    <t>Thôn Hóa Tài, Xã Nam Thụy Anh, Tỉnh Hưng Yên, Việt Nam</t>
  </si>
  <si>
    <t>Chú Phuông Thoa - 8339366185 cccd 034063015436</t>
  </si>
  <si>
    <t>Chị Can 034305008995</t>
  </si>
  <si>
    <t>Chị Can</t>
  </si>
  <si>
    <t>Thái Giang, Thái Thụy</t>
  </si>
  <si>
    <t>034305008995</t>
  </si>
  <si>
    <t>Đỗ Ngọc Mai</t>
  </si>
  <si>
    <t>Xã Tây Thái Ninh, Tỉnh Hưng Yên, Việt Nam</t>
  </si>
  <si>
    <t>Chị Mỵ 1001164764-001 cccd 031181003094</t>
  </si>
  <si>
    <t>Chị Mỵ</t>
  </si>
  <si>
    <t>Chị Thường</t>
  </si>
  <si>
    <t>Phương thúy(034172012464)</t>
  </si>
  <si>
    <t>Phương Thúy</t>
  </si>
  <si>
    <t>An Ninh, Tiền Hải</t>
  </si>
  <si>
    <t>034172012464</t>
  </si>
  <si>
    <t>Phan Thị Thủy</t>
  </si>
  <si>
    <t>Xã Ái Quốc , Tỉnh Hưng Yên, Việt Nam</t>
  </si>
  <si>
    <t>Anh hải hằng(034076007514</t>
  </si>
  <si>
    <t>Chị Hằng</t>
  </si>
  <si>
    <t>034076007514</t>
  </si>
  <si>
    <t>Phạm Văn Hải</t>
  </si>
  <si>
    <t>XÃ Tây Tiền Hải , Tỉnh Hưng Yên, Việt Nam</t>
  </si>
  <si>
    <t>chị hằng(034076007541)</t>
  </si>
  <si>
    <t>034076007541</t>
  </si>
  <si>
    <t>Đỗ Ngọc Sáng</t>
  </si>
  <si>
    <t>Ori Mart(034192001266)</t>
  </si>
  <si>
    <t>Anh Hinh</t>
  </si>
  <si>
    <t>034192001266</t>
  </si>
  <si>
    <t>HỘ KINH DOANH PHẠM THỊ NGA,</t>
  </si>
  <si>
    <t>Thôn Quân Trạch, Xã Ái Quốc,Tỉnh Hưng Yên, Việt Nam</t>
  </si>
  <si>
    <t>ngân phú(034149013505)</t>
  </si>
  <si>
    <t>Anh Phú</t>
  </si>
  <si>
    <t>034149013505</t>
  </si>
  <si>
    <t>Đàm Thị Ngân</t>
  </si>
  <si>
    <t>Thôn An Phú, Xã Tây Tiền Hải, Tỉnh Hưng Yên, Việt Nam</t>
  </si>
  <si>
    <t>ngân phú(1001149004)</t>
  </si>
  <si>
    <t>1001149004</t>
  </si>
  <si>
    <t>chị huyền(8562251567)</t>
  </si>
  <si>
    <t>Chị Thoan</t>
  </si>
  <si>
    <t>8562251567</t>
  </si>
  <si>
    <t>Cô Liễu 034165004556</t>
  </si>
  <si>
    <t>Cô Liễu</t>
  </si>
  <si>
    <t>P. Lê Hồng, Thái Bình</t>
  </si>
  <si>
    <t>chinh lượn (034063002460)</t>
  </si>
  <si>
    <t>Chị Trinh Lượn</t>
  </si>
  <si>
    <t>Đông Phong, Tiền Hải</t>
  </si>
  <si>
    <t>034063002460</t>
  </si>
  <si>
    <t>Trần Quang Chinh</t>
  </si>
  <si>
    <t>Xã Đồng Châu, Tỉnh Hưng Yên, Việt Nam</t>
  </si>
  <si>
    <t>chị nam hải(8538100574)</t>
  </si>
  <si>
    <t>Chị Nam Hải</t>
  </si>
  <si>
    <t>Đông Cơ, Tiền Hải</t>
  </si>
  <si>
    <t>8538100574</t>
  </si>
  <si>
    <t>chinh nắng(034169000574)</t>
  </si>
  <si>
    <t>Cô Nắng</t>
  </si>
  <si>
    <t>034169000574</t>
  </si>
  <si>
    <t>Vũ Thị Nắng</t>
  </si>
  <si>
    <t>Thôn Lương Điền, Xã Đồng Châu, Tỉnh Hưng Yên, Việt Nam</t>
  </si>
  <si>
    <t>Anh tốt(034090015181)</t>
  </si>
  <si>
    <t>Chị Chiến</t>
  </si>
  <si>
    <t>TT. Tiền Hải, Tiền Hải</t>
  </si>
  <si>
    <t>chị chiến (034076020018)</t>
  </si>
  <si>
    <t>034076020018</t>
  </si>
  <si>
    <t>Phạm Đình Chiêu</t>
  </si>
  <si>
    <t>Tổ dân phố Hùng Thắng, Xã Tiền Hải, Tỉnh Hưng Yên, Việt Nam</t>
  </si>
  <si>
    <t>Cô Gấm - 1001178541 cccd 034175013715</t>
  </si>
  <si>
    <t>Đông Hải, Tiền Hải</t>
  </si>
  <si>
    <t>thu đảo(034184002390)</t>
  </si>
  <si>
    <t>Thu Kiên</t>
  </si>
  <si>
    <t>Đông Xuyên, Tiền Hải</t>
  </si>
  <si>
    <t>034184002390</t>
  </si>
  <si>
    <t>HỘ KINH DOANH BÙI THỊ THU,,,</t>
  </si>
  <si>
    <t>Thôn Tân Lạc, Xã Đồng Châu, Tỉnh Hưng Yên, Việt Nam</t>
  </si>
  <si>
    <t>nhung mười(034175007749</t>
  </si>
  <si>
    <t>Chị Nhung</t>
  </si>
  <si>
    <t>034175007749</t>
  </si>
  <si>
    <t>Phạm Thị Nhung</t>
  </si>
  <si>
    <t>Thôn Chỉ Trung, Xã Đồng Châu, Tỉnh Hưng Yên,Việt Nam</t>
  </si>
  <si>
    <t>chị thành vinh(024183000450)</t>
  </si>
  <si>
    <t>Chị Sen</t>
  </si>
  <si>
    <t>Đông Hoàng, Tiền Hải</t>
  </si>
  <si>
    <t>024183000450</t>
  </si>
  <si>
    <t>Nguyễn Thị Dũng</t>
  </si>
  <si>
    <t>Thôn Đông Hoàng, Xã Đồng Châu, Tỉnh Hưng Yên, Việt Nam</t>
  </si>
  <si>
    <t>hoàng tân(034170004469)</t>
  </si>
  <si>
    <t>Chị Hoàng Tân</t>
  </si>
  <si>
    <t>034170004469</t>
  </si>
  <si>
    <t>HỘ KINH DOANH BÙI THỊ TÂN</t>
  </si>
  <si>
    <t>Chú Tuần - 8261362383 cccd  034050016476</t>
  </si>
  <si>
    <t>Chú Tuần</t>
  </si>
  <si>
    <t>ĐạT HồNG (034092020874)</t>
  </si>
  <si>
    <t>Đạt Hồng</t>
  </si>
  <si>
    <t>Đông Long, Tiền Hải</t>
  </si>
  <si>
    <t>034092020874</t>
  </si>
  <si>
    <t>HỘ KINH DOANH MAI VĂN ĐẠT</t>
  </si>
  <si>
    <t>Thôn Hưng Long Nam, Xã Đông Tiền Hải, Tỉnh Hưng Yên, Việt Nam</t>
  </si>
  <si>
    <t>hoạt tuyết(034064020519)</t>
  </si>
  <si>
    <t>Cô Hoạt</t>
  </si>
  <si>
    <t>034064020519</t>
  </si>
  <si>
    <t>Ngô Minh Hoạt</t>
  </si>
  <si>
    <t>Huế Toàn -8319438018-001 cccd 034073029224</t>
  </si>
  <si>
    <t>Chị Huế Toan</t>
  </si>
  <si>
    <t>Đông Lâm, Tiền Hải</t>
  </si>
  <si>
    <t>cô mượt 034166002527</t>
  </si>
  <si>
    <t>Chị Liêm</t>
  </si>
  <si>
    <t>034166002527</t>
  </si>
  <si>
    <t>Chị Núng</t>
  </si>
  <si>
    <t>Tây Tiến, Tiền Hải</t>
  </si>
  <si>
    <t>8913031556001</t>
  </si>
  <si>
    <t>TH Núng Hải(034159002285)</t>
  </si>
  <si>
    <t>034159002285</t>
  </si>
  <si>
    <t>Bình Thanh - 1001240782 cccd 034178007746</t>
  </si>
  <si>
    <t>Chị Bình Thanh</t>
  </si>
  <si>
    <t>Chị Vui - 8721686125-001 cccd 034177003435</t>
  </si>
  <si>
    <t>lên dân(89040539211-001)</t>
  </si>
  <si>
    <t>Len Dân</t>
  </si>
  <si>
    <t>89040539211001</t>
  </si>
  <si>
    <t>1000926730</t>
  </si>
  <si>
    <t>chị hường thành(1000926730) cccd 034181007359 th</t>
  </si>
  <si>
    <t>hường thành(1000926730)</t>
  </si>
  <si>
    <t>quận luyến 034185016169</t>
  </si>
  <si>
    <t>Quân Luyến</t>
  </si>
  <si>
    <t>034185016169</t>
  </si>
  <si>
    <t>Chị Nhàn cccd 034056014582</t>
  </si>
  <si>
    <t>Chị Nhàn</t>
  </si>
  <si>
    <t>034056014582</t>
  </si>
  <si>
    <t>Phạm Văn Đức</t>
  </si>
  <si>
    <t>Minh Châu, Xã Đồng Châu, Tỉnh Hưng Yên, Việt Nam</t>
  </si>
  <si>
    <t>034181001262.chị thắm đông minh</t>
  </si>
  <si>
    <t>034181001262</t>
  </si>
  <si>
    <t>Trần Thị Thảm</t>
  </si>
  <si>
    <t>Thôn Đồng Châu Nội , Xã Đồng Châu, Tỉnh Hưng Yên, Việt Nam</t>
  </si>
  <si>
    <t>cô len cám cò(034176004843</t>
  </si>
  <si>
    <t>Chị Len Trực</t>
  </si>
  <si>
    <t>Xã Đông Minh, Huyện Tiền Hải</t>
  </si>
  <si>
    <t>034176004843</t>
  </si>
  <si>
    <t>Trần Thị Huê</t>
  </si>
  <si>
    <t>Chị Tươi 034183014590</t>
  </si>
  <si>
    <t>034183014590</t>
  </si>
  <si>
    <t>Nguyễn Thị Tươi</t>
  </si>
  <si>
    <t>Đồng Châu Nội, Xã Đồng Châu, Tỉnh Hưng Yên, Việt Nam</t>
  </si>
  <si>
    <t>hiền duyên (034182001892)</t>
  </si>
  <si>
    <t>Chị Hiền Duyên</t>
  </si>
  <si>
    <t>034182001892</t>
  </si>
  <si>
    <t>Cao Thị Duyên</t>
  </si>
  <si>
    <t>Thôn Lạc Thiện, Xã Đông Tiền Hải, Tỉnh Hưng Yên, Việt Nam</t>
  </si>
  <si>
    <t>Anh Phát Mst- 1000438719 cccd 034056016306</t>
  </si>
  <si>
    <t>Anh Phát</t>
  </si>
  <si>
    <t>Hiển nhài(8842913407-001) cccd 034179001092</t>
  </si>
  <si>
    <t>Hiểu Nhài</t>
  </si>
  <si>
    <t>hương phú(8788364026-001) cccd  034180007310</t>
  </si>
  <si>
    <t>Xuân Điệp</t>
  </si>
  <si>
    <t>034187008582</t>
  </si>
  <si>
    <t>CHU THỊ MINH HUYỀN</t>
  </si>
  <si>
    <t>THÔN TRÌNH NHẤT ĐÔNG, Xã Nam Cường, Tỉnh Hưng Yên, Việt Nam</t>
  </si>
  <si>
    <t>XUÂN ĐIệP (034193018397)</t>
  </si>
  <si>
    <t>034193018397</t>
  </si>
  <si>
    <t>Vũ Thị Thu</t>
  </si>
  <si>
    <t>Thôn Vũ Xá, Xã Đông Tiền Hải, Tỉnh Hưng Yên, Việt Nam</t>
  </si>
  <si>
    <t>Xã Đông Quý, Huyện Tiền Hải</t>
  </si>
  <si>
    <t>THắNG Hà (034062022625)</t>
  </si>
  <si>
    <t>034062022625</t>
  </si>
  <si>
    <t>Phạm Văn Thắng</t>
  </si>
  <si>
    <t>Xã Đông Tiền Hải, Tỉnh Hưng Yên , Việt Nam</t>
  </si>
  <si>
    <t>Lệ Thương - 034185007127</t>
  </si>
  <si>
    <t>Chị Lệ Thương</t>
  </si>
  <si>
    <t>Đông Quí, Tiền Hải</t>
  </si>
  <si>
    <t>034185007127</t>
  </si>
  <si>
    <t>Trịnh Thị Lệ</t>
  </si>
  <si>
    <t>Chị Thúy Tưởng</t>
  </si>
  <si>
    <t>Thùy Tưởng - 1001194737 cccd  034076005636</t>
  </si>
  <si>
    <t>Bà Đễ - 8884230184 cccd 034054020921</t>
  </si>
  <si>
    <t>Chị Đễ</t>
  </si>
  <si>
    <t>Đông Trung, Tiền Hải</t>
  </si>
  <si>
    <t>HƯƠNG PHấN (034171003276)</t>
  </si>
  <si>
    <t>Chị Hương Phấn</t>
  </si>
  <si>
    <t>034171003276</t>
  </si>
  <si>
    <t>Nguyễn Thị Hương</t>
  </si>
  <si>
    <t>Thôn Lạc Thiện, xã Đông Tiền Hải, Tỉnh Hưng Yên, Việt Nam</t>
  </si>
  <si>
    <t>Cô Len - 8783144348 cccd 034165016967</t>
  </si>
  <si>
    <t>Cô Len</t>
  </si>
  <si>
    <t>Khâm Phin - 8243891793</t>
  </si>
  <si>
    <t>Chị Khâm Phin</t>
  </si>
  <si>
    <t>Đông Trà, Tiền Hải</t>
  </si>
  <si>
    <t>8243891793</t>
  </si>
  <si>
    <t>Chị Hà Trí</t>
  </si>
  <si>
    <t>Cô Hà Trí- Mst 1000449460 cccd 034170005417</t>
  </si>
  <si>
    <t>Cô thiệm tin(034176008900)</t>
  </si>
  <si>
    <t>Anh Tin</t>
  </si>
  <si>
    <t>034176008900</t>
  </si>
  <si>
    <t>Vân Dung 8305858728-001 cccd 034090007496</t>
  </si>
  <si>
    <t>Chị Vân Dung</t>
  </si>
  <si>
    <t>hiệu duyên- 8028653532-001 cccd 031187013376</t>
  </si>
  <si>
    <t>Chị Hiệu Duyên</t>
  </si>
  <si>
    <t>Thái Hưng, Thái Thụy</t>
  </si>
  <si>
    <t>BaBy Mart - 034172005872</t>
  </si>
  <si>
    <t>Anh Bái</t>
  </si>
  <si>
    <t>034172005872</t>
  </si>
  <si>
    <t>Lương Thị Hà</t>
  </si>
  <si>
    <t>Cô Hoài - 1000480238 ccd  034166010946</t>
  </si>
  <si>
    <t>Cô Hoài - 034166010946</t>
  </si>
  <si>
    <t>Chị Hoài</t>
  </si>
  <si>
    <t>034166010946</t>
  </si>
  <si>
    <t>Thôn Quý Đức, Xã Đông Tiền Hải, Tỉnh Hưng Yên, Việt Nam</t>
  </si>
  <si>
    <t>hoài phiên(034061001928)</t>
  </si>
  <si>
    <t>Anh Phiên</t>
  </si>
  <si>
    <t>034061001928</t>
  </si>
  <si>
    <t>Đặng Văn Phiên</t>
  </si>
  <si>
    <t>nam tâm(034093009090)</t>
  </si>
  <si>
    <t>034093009090</t>
  </si>
  <si>
    <t>Đinh Văn Nam</t>
  </si>
  <si>
    <t>Chị Vui - 8721686125-001 cccd  034177003435</t>
  </si>
  <si>
    <t>Hằng Chiều 8938680055-001 cccd  034177009263</t>
  </si>
  <si>
    <t>Thụy Liên, Thái Thụy</t>
  </si>
  <si>
    <t>Chị Huế Diên 034173001420</t>
  </si>
  <si>
    <t>Chị Huế Diên</t>
  </si>
  <si>
    <t>034173001420</t>
  </si>
  <si>
    <t>Vũ Thị Huế</t>
  </si>
  <si>
    <t>thôn Vị Dương Đoài, Xã Bắc Thái Ninh, Tỉnh Hưng Yên, Việt Nam</t>
  </si>
  <si>
    <t>chị lành- 8568250626 cccd  034173005487</t>
  </si>
  <si>
    <t>Chị Lành</t>
  </si>
  <si>
    <t>Duyên Tấn</t>
  </si>
  <si>
    <t>Nam Hưng, Tiền Hải</t>
  </si>
  <si>
    <t>duyên. tấm(034094009775)</t>
  </si>
  <si>
    <t>034094009775</t>
  </si>
  <si>
    <t>HỘ KINH DOANH CỬA HÀNG DUYÊN TẤM</t>
  </si>
  <si>
    <t>Thôn Lộc Trung, Xã Hưng Phú, Tỉnh Hưng Yên, Việt Nam</t>
  </si>
  <si>
    <t>Nam Hồng, Tiền Hải</t>
  </si>
  <si>
    <t>Minh Thuận</t>
  </si>
  <si>
    <t>mình thuận(8780551747) cccd 034184003163</t>
  </si>
  <si>
    <t>cmt(034072002977)</t>
  </si>
  <si>
    <t>Chị Duy Thuận</t>
  </si>
  <si>
    <t>034072002977</t>
  </si>
  <si>
    <t>Phạm Văn Duy</t>
  </si>
  <si>
    <t>thôn Đông Biên Bắc, Xã Nam Tiền Hải, Tỉnh Hưng Yên, Việt Nam</t>
  </si>
  <si>
    <t>tuân sim(8617749361-001) cccd034177008336</t>
  </si>
  <si>
    <t>Tuân Sim</t>
  </si>
  <si>
    <t>Anh Lin 034176011668</t>
  </si>
  <si>
    <t>Anh Lin</t>
  </si>
  <si>
    <t>034176011668</t>
  </si>
  <si>
    <t>Vũ Thị Mỵ</t>
  </si>
  <si>
    <t>chú bảy tân(034172019362)</t>
  </si>
  <si>
    <t>Anh Bẩy</t>
  </si>
  <si>
    <t>ân thúy(034175017582)</t>
  </si>
  <si>
    <t>Chị Vui (Bình THoa)</t>
  </si>
  <si>
    <t>034175017582</t>
  </si>
  <si>
    <t>Thôn Hướng Tân - Nam Hà, Xã Nam Tiền Hải, Tỉnh Hưng Yên, Việt Nam</t>
  </si>
  <si>
    <t>chị hồng(8762674545) cccd 034158018982</t>
  </si>
  <si>
    <t>sen quang(034072018704)</t>
  </si>
  <si>
    <t>Chị sen Quang</t>
  </si>
  <si>
    <t>Nam Hà, Tiền Hải</t>
  </si>
  <si>
    <t>034072018704</t>
  </si>
  <si>
    <t>Trương Văn Quang</t>
  </si>
  <si>
    <t>tấm ruyến(034073011413)</t>
  </si>
  <si>
    <t>Chị Tấm</t>
  </si>
  <si>
    <t>034073011413</t>
  </si>
  <si>
    <t>Phạm Ngọc Ruyến</t>
  </si>
  <si>
    <t>Thôn Nội Lang Bắc, Xã Nam Tiền Hải, Tỉnh Hưng Yên, Việt Nam</t>
  </si>
  <si>
    <t>tạo dung(034175007718)</t>
  </si>
  <si>
    <t>Chị Tạo Dung</t>
  </si>
  <si>
    <t>034175007718</t>
  </si>
  <si>
    <t>Trần Thị Dung</t>
  </si>
  <si>
    <t>chinh tâm(034089020478</t>
  </si>
  <si>
    <t>Tâm Tâm</t>
  </si>
  <si>
    <t>034089020478</t>
  </si>
  <si>
    <t>Vũ Văn Chinh</t>
  </si>
  <si>
    <t>Thùy Dinh (034170006226)</t>
  </si>
  <si>
    <t>Hương Thực</t>
  </si>
  <si>
    <t>034170006226</t>
  </si>
  <si>
    <t>Tuấn Anh</t>
  </si>
  <si>
    <t>chị hồng (034158018982</t>
  </si>
  <si>
    <t>Chị Miên</t>
  </si>
  <si>
    <t>034158018982</t>
  </si>
  <si>
    <t>Trần Thị Hồng</t>
  </si>
  <si>
    <t>Xã Ái Quốc, Tỉnh Hưng Yên, Việt Nam</t>
  </si>
  <si>
    <t>chị miên(034164009989)</t>
  </si>
  <si>
    <t>034164009989</t>
  </si>
  <si>
    <t>Vũ Thị Miên</t>
  </si>
  <si>
    <t>chị yến(036182001284)</t>
  </si>
  <si>
    <t>Chị Minh</t>
  </si>
  <si>
    <t>036182001284</t>
  </si>
  <si>
    <t>Tổ dân phố Hồng Phong, Xã Tiền Hải, Tỉnh Hưng Yên, Việt Nam</t>
  </si>
  <si>
    <t>nhật nhị(034171014149)</t>
  </si>
  <si>
    <t>Chị Nhật</t>
  </si>
  <si>
    <t>034171014149</t>
  </si>
  <si>
    <t>Lâm Thị Nhị</t>
  </si>
  <si>
    <t>chị phương(8490799136)</t>
  </si>
  <si>
    <t>Xã Nam Hưng, Huyện Tiền Hải</t>
  </si>
  <si>
    <t>8490799136</t>
  </si>
  <si>
    <t>chú quân(034170012507)</t>
  </si>
  <si>
    <t>Chú Quân</t>
  </si>
  <si>
    <t>034170012507</t>
  </si>
  <si>
    <t>VŨ THỊ THẢO</t>
  </si>
  <si>
    <t>nhâm quang(034188019964)</t>
  </si>
  <si>
    <t>Chị Nhâm Quang</t>
  </si>
  <si>
    <t>034188019964</t>
  </si>
  <si>
    <t>HỘ KINH DOANH NHÂM</t>
  </si>
  <si>
    <t>bà chấn(034159006579)</t>
  </si>
  <si>
    <t>Chị Sợi</t>
  </si>
  <si>
    <t>Anh Thinh cccd 034151008462</t>
  </si>
  <si>
    <t>Anh Thinh</t>
  </si>
  <si>
    <t>034151008462</t>
  </si>
  <si>
    <t>TRỊNH THỊ NGỌC</t>
  </si>
  <si>
    <t>chị thuận(034180007692)</t>
  </si>
  <si>
    <t>Thuận Minimart</t>
  </si>
  <si>
    <t>034180007692</t>
  </si>
  <si>
    <t>chị thuận(8270423226)</t>
  </si>
  <si>
    <t>8270423226</t>
  </si>
  <si>
    <t>tôn ngần(034176020760)</t>
  </si>
  <si>
    <t>Tôn Ngần</t>
  </si>
  <si>
    <t>034176020760</t>
  </si>
  <si>
    <t>Phạm Thị Ngần</t>
  </si>
  <si>
    <t>thùy dinh(8822705381) cccd 034170006226</t>
  </si>
  <si>
    <t>chị huê(034178014945.),nam hải</t>
  </si>
  <si>
    <t>Xã Nam Hải, Huyện Tiền Hải</t>
  </si>
  <si>
    <t>034178014945</t>
  </si>
  <si>
    <t>Nguyễn Thị Huê</t>
  </si>
  <si>
    <t>chị hường(034172019362)</t>
  </si>
  <si>
    <t>Đức hoa(034090015181)</t>
  </si>
  <si>
    <t>Đức Hoa</t>
  </si>
  <si>
    <t>Anh Kiểm</t>
  </si>
  <si>
    <t>Nam Phú, Tiền Hải</t>
  </si>
  <si>
    <t>Anh kiểm*(034075005532)</t>
  </si>
  <si>
    <t>034075005532</t>
  </si>
  <si>
    <t>Phạm Văn Kiểm</t>
  </si>
  <si>
    <t>Thôn Hợp Phố, Xã Hưng Phú, Tỉnh Hưng Yên, Việt Nam</t>
  </si>
  <si>
    <t>Chị Bích cccd 034158006717</t>
  </si>
  <si>
    <t>Chị Bích</t>
  </si>
  <si>
    <t>Nam Thắng, Tiền Hải</t>
  </si>
  <si>
    <t>034158006717</t>
  </si>
  <si>
    <t>BÙI THỊ MƠ</t>
  </si>
  <si>
    <t>Thôn Nam đồng bắc, Xã Nam Cường, tỉnh Hưng Yên, Việt Nam</t>
  </si>
  <si>
    <t>Chị Duyên Thắng</t>
  </si>
  <si>
    <t>Nam Thanh, Tiền Hải</t>
  </si>
  <si>
    <t>Chị Minh Hoàng</t>
  </si>
  <si>
    <t>034160027951</t>
  </si>
  <si>
    <t>Trần Thị Vịnh</t>
  </si>
  <si>
    <t>Minh Hoàng - 034167002986</t>
  </si>
  <si>
    <t>034167002986</t>
  </si>
  <si>
    <t>Đinh Thị Xuân</t>
  </si>
  <si>
    <t>Thôn Vĩnh Trà - Nam Trung, Xã Hưng Phú, Tỉnh Hưng Yên, Việt Nam</t>
  </si>
  <si>
    <t>CHị DUNG CHợ NAM THANH(034177015348</t>
  </si>
  <si>
    <t>034177015348</t>
  </si>
  <si>
    <t>Nguyễn Thị Dung</t>
  </si>
  <si>
    <t>Phương xứng(034069017390)</t>
  </si>
  <si>
    <t>Phương Xứng</t>
  </si>
  <si>
    <t>Xã Nam Chính, Huyện Tiền Hải</t>
  </si>
  <si>
    <t>034069017390</t>
  </si>
  <si>
    <t>PHAN VĂN XỨNG</t>
  </si>
  <si>
    <t>Xã Nam Cường, Tỉnh Hưng Yên, Việt Nam</t>
  </si>
  <si>
    <t>Huy Dung - 034190009341</t>
  </si>
  <si>
    <t>034190009341</t>
  </si>
  <si>
    <t>Thôn Bạch Long, Xã Đồng Châu, Tỉnh Hưng Yên, Việt Nam</t>
  </si>
  <si>
    <t>Chị Tấn Hằng</t>
  </si>
  <si>
    <t>Tấn Hằng - 1001017512 ccd 034066018815</t>
  </si>
  <si>
    <t>ngân phúc - 8725551880-001 cccd 034173001588</t>
  </si>
  <si>
    <t>Ngân Phúc</t>
  </si>
  <si>
    <t>Nam Thịnh, Tiền Hải</t>
  </si>
  <si>
    <t>034173001588</t>
  </si>
  <si>
    <t>HỘ KINH DOANH NGUYỄN THỊ PHÚC,</t>
  </si>
  <si>
    <t>Thôn Việt Hùng, Xã Nam Cường, Tỉnh Hưng Yên, Việt Nam</t>
  </si>
  <si>
    <t>thúy mạnh(034068006413)</t>
  </si>
  <si>
    <t>Chị Thúy Mạnh</t>
  </si>
  <si>
    <t>034068006413</t>
  </si>
  <si>
    <t>Nguyễn tiến Mạnh</t>
  </si>
  <si>
    <t>Thôn thiện Châu, Xã Nam Cường, Tỉnh Hưng Yên, Việt Nam</t>
  </si>
  <si>
    <t>tú dâu(034180006064)</t>
  </si>
  <si>
    <t>Bà Thủy</t>
  </si>
  <si>
    <t>034180006064</t>
  </si>
  <si>
    <t>Nguyễn Thị Dâu</t>
  </si>
  <si>
    <t>Tây ninh, Xã Tiền Hải, Tỉnh Hưng Yên, Việt Nam</t>
  </si>
  <si>
    <t>Vịnh- 034160027951</t>
  </si>
  <si>
    <t>Nhuân Anh</t>
  </si>
  <si>
    <t>034077010055</t>
  </si>
  <si>
    <t>Trần Văn Sự</t>
  </si>
  <si>
    <t>Nhuân Anh - 8268737747 cccd 034073000612</t>
  </si>
  <si>
    <t>Xã Nam Trung, Huyện Tiền Hải</t>
  </si>
  <si>
    <t>Oanh - 034085017205</t>
  </si>
  <si>
    <t>034085017205</t>
  </si>
  <si>
    <t>Trần Văn Đồng</t>
  </si>
  <si>
    <t>Thôn Độc Lập, Xã Hưng Phú, Tỉnh Hưng Yên, Việt Nam</t>
  </si>
  <si>
    <t>Hoàn Thiện -8913031556-001</t>
  </si>
  <si>
    <t>Shop mẹ và bé</t>
  </si>
  <si>
    <t>Mẹ và bé -8577327000-001 cccd 034182005933</t>
  </si>
  <si>
    <t>Hưng Tấm 034172016188</t>
  </si>
  <si>
    <t>Hưng Tấm</t>
  </si>
  <si>
    <t>034172016188</t>
  </si>
  <si>
    <t>Đinh Thị Hà</t>
  </si>
  <si>
    <t>Cô Vịnh _ 1000164560 cccd 034160027951</t>
  </si>
  <si>
    <t>Chị Vịnh</t>
  </si>
  <si>
    <t>Đức ngát(8780564979-001) cccd  034071009134</t>
  </si>
  <si>
    <t>Anh Đại</t>
  </si>
  <si>
    <t>Chị Hà Vy</t>
  </si>
  <si>
    <t>Hà Vy - 8047764686-001 cccd 034083008342</t>
  </si>
  <si>
    <t>Anh Tác</t>
  </si>
  <si>
    <t>Chú Tác -8505674735-001cccd 034068003066</t>
  </si>
  <si>
    <t>long du(034177008441)</t>
  </si>
  <si>
    <t>Long Du</t>
  </si>
  <si>
    <t>034177008441</t>
  </si>
  <si>
    <t>Hoàng Thị Du</t>
  </si>
  <si>
    <t>Thôn Thiện Châu, Xã Nam Cường, Tỉnh Hưng Yên, Việt Nam</t>
  </si>
  <si>
    <t>Tây Giang, Tiền Hải</t>
  </si>
  <si>
    <t>034160015668</t>
  </si>
  <si>
    <t>Lê Thị Tân</t>
  </si>
  <si>
    <t>HUỳNH THU,NAM THANH(034166019563</t>
  </si>
  <si>
    <t>034166019563</t>
  </si>
  <si>
    <t>HỘ KINH DOANH PHẠM THỊ  THU.</t>
  </si>
  <si>
    <t>Thôn Ái Quốc, Xã Nam Cường, Tỉnh Hưng Yên, Việt Nam</t>
  </si>
  <si>
    <t>Nguyệt Dưỡng</t>
  </si>
  <si>
    <t>Chị Hương Tuyến</t>
  </si>
  <si>
    <t>HƯƠNG TUYếN (034175002981)</t>
  </si>
  <si>
    <t>034175002981</t>
  </si>
  <si>
    <t>HỘ KINH DOANH NGUYỄN THỊ HƯƠNG,.</t>
  </si>
  <si>
    <t>Cô Tuyết - 8644652256 cccd 034069017680</t>
  </si>
  <si>
    <t>Chị Tuyết</t>
  </si>
  <si>
    <t>tiên quyên(034087018621)</t>
  </si>
  <si>
    <t>Tiên Quyên</t>
  </si>
  <si>
    <t>034087018621</t>
  </si>
  <si>
    <t>HỘ KINH DOANH TIÊN QUYÊN</t>
  </si>
  <si>
    <t>Thôn Thuý Lạc, Xã Hưng Phú, Tỉnh Hưng Yên, Việt Nam</t>
  </si>
  <si>
    <t>HạNH ĐằNG (034170000525)</t>
  </si>
  <si>
    <t>Anh Đằng</t>
  </si>
  <si>
    <t>Phương Công, Tiền Hải</t>
  </si>
  <si>
    <t>034170000525</t>
  </si>
  <si>
    <t>Lương Thị Hạnh</t>
  </si>
  <si>
    <t>Thôn Cổ Rồng, xã Tây Tiền Hải, Tỉnh Hưng Yên, Việt Nam</t>
  </si>
  <si>
    <t>Đoá Huệ - 8788839872 cccd 034094015532</t>
  </si>
  <si>
    <t>Chị Đóa Huệ</t>
  </si>
  <si>
    <t>Chị Bộ Tứ 034073009347</t>
  </si>
  <si>
    <t>Chị Bộ Tứ</t>
  </si>
  <si>
    <t>034073009347</t>
  </si>
  <si>
    <t>Phạm Văn Bộ</t>
  </si>
  <si>
    <t>TH HƯƠNG NGA(034070000713)</t>
  </si>
  <si>
    <t>034070000713</t>
  </si>
  <si>
    <t>PHạM QUÔC HƯƠNG</t>
  </si>
  <si>
    <t>Xã Tây Tiền Hải, Tỉnh Hưng Yên, Việt Nam</t>
  </si>
  <si>
    <t>Việt Sương - 034184007456</t>
  </si>
  <si>
    <t>Chị Việt Sương</t>
  </si>
  <si>
    <t>034184007456</t>
  </si>
  <si>
    <t>Đỗ Thị Kim Sương</t>
  </si>
  <si>
    <t>Thôn Phương Trạch Đông,xã Tây Tiền Hải, Tỉnh Hưng Yên, Việt Nam</t>
  </si>
  <si>
    <t>chị xuân(034156007150</t>
  </si>
  <si>
    <t>034156007150</t>
  </si>
  <si>
    <t>Nguyễn Thị Xuân</t>
  </si>
  <si>
    <t>Thôn Nhì, Xã Tây Tiền Hải, Tỉnh Hưng Yên, Việt Nam</t>
  </si>
  <si>
    <t>hiền cường(034175018753)</t>
  </si>
  <si>
    <t>034175018753</t>
  </si>
  <si>
    <t>Tạ Thúy Hiền</t>
  </si>
  <si>
    <t>Thôn Nam, Xã Ái Quốc, Tỉnh Hưng Yên, Việt Nam</t>
  </si>
  <si>
    <t>sáu phi(034162007806)</t>
  </si>
  <si>
    <t>Chị Sáu Phi</t>
  </si>
  <si>
    <t>034162007806</t>
  </si>
  <si>
    <t>Sáu Phi</t>
  </si>
  <si>
    <t>huyền thành(034159002104)</t>
  </si>
  <si>
    <t>Huyền Thành</t>
  </si>
  <si>
    <t>034159002104</t>
  </si>
  <si>
    <t>Lê Thị Huyền</t>
  </si>
  <si>
    <t>chị thân(034169002856)</t>
  </si>
  <si>
    <t>034169002856</t>
  </si>
  <si>
    <t>quân thục(034163018275)</t>
  </si>
  <si>
    <t>Chị Thục</t>
  </si>
  <si>
    <t>034163018275</t>
  </si>
  <si>
    <t>Quân Thục</t>
  </si>
  <si>
    <t>Hồng Gấm</t>
  </si>
  <si>
    <t>TH HồNG GấM(034179005698)</t>
  </si>
  <si>
    <t>034179005698</t>
  </si>
  <si>
    <t>Phạm Thị Gấm</t>
  </si>
  <si>
    <t>Cô Hợi - 8498920867 034160025948</t>
  </si>
  <si>
    <t>Trung Hà - 034162012781</t>
  </si>
  <si>
    <t>Trung Hà</t>
  </si>
  <si>
    <t>034162012781</t>
  </si>
  <si>
    <t>Tạ Thị Thắm</t>
  </si>
  <si>
    <t>huy hoàng(034067000756)</t>
  </si>
  <si>
    <t>Chị Huy Hoàng</t>
  </si>
  <si>
    <t>Tây Ninh, Tiền Hải</t>
  </si>
  <si>
    <t>034067000756</t>
  </si>
  <si>
    <t>Trần Minh Phụng</t>
  </si>
  <si>
    <t>Chị Hà Thọ</t>
  </si>
  <si>
    <t>Hà thọ(034073005553)</t>
  </si>
  <si>
    <t>034073005553</t>
  </si>
  <si>
    <t>HỘ KINH DOANH LẠI ĐỨC THỌ</t>
  </si>
  <si>
    <t>Thôn Đại Hữu, Xã Tiền Hải, Tỉnh Hưng Yên, Việt Nam</t>
  </si>
  <si>
    <t>Đức việt(034071008450)</t>
  </si>
  <si>
    <t>Chị Đức Việt</t>
  </si>
  <si>
    <t>034071008450</t>
  </si>
  <si>
    <t>Lại Đức Việt</t>
  </si>
  <si>
    <t>Thôn Lạc Thành Bắc, Xã Tiền Hải, Tỉnh Hưng Yên, Việt Nam</t>
  </si>
  <si>
    <t>Chị Lụa Cẩn cccd 034172016065</t>
  </si>
  <si>
    <t>Chị Lụa Cẩn</t>
  </si>
  <si>
    <t>Tây Phong, Tiền Hải</t>
  </si>
  <si>
    <t>034172016065</t>
  </si>
  <si>
    <t>Trần Thị Lụa</t>
  </si>
  <si>
    <t>Tỉnh Hưng Yên, Việt Nam</t>
  </si>
  <si>
    <t>Chị Yến 036179020972</t>
  </si>
  <si>
    <t>036179020972</t>
  </si>
  <si>
    <t>chị hạnh(8483570200) ccd 034189005897</t>
  </si>
  <si>
    <t>chị hồng(034158018982)</t>
  </si>
  <si>
    <t>Bác Lợi</t>
  </si>
  <si>
    <t>ori mart 034192001266</t>
  </si>
  <si>
    <t>chuyên nhiên(034166001555</t>
  </si>
  <si>
    <t>Chị Nhiên</t>
  </si>
  <si>
    <t>034166001555</t>
  </si>
  <si>
    <t>nội thuốc tây(034194001300)</t>
  </si>
  <si>
    <t>Cô Hoa</t>
  </si>
  <si>
    <t>034194001300</t>
  </si>
  <si>
    <t>Đào Thị Nội</t>
  </si>
  <si>
    <t>thôn Thủ Chính, Xã Nam Cường, Tỉnh Hưng Yên, Việt Nam</t>
  </si>
  <si>
    <t>thùy ninh(034180008139)</t>
  </si>
  <si>
    <t>Thùy Ninh</t>
  </si>
  <si>
    <t>Tây Sơn, Tiền Hải</t>
  </si>
  <si>
    <t>034180008139</t>
  </si>
  <si>
    <t>Lương Thị Thủy</t>
  </si>
  <si>
    <t>Anh hậu(034072009026.)</t>
  </si>
  <si>
    <t>Anh Hậu</t>
  </si>
  <si>
    <t>034072009026</t>
  </si>
  <si>
    <t>Lê Trung Hậu</t>
  </si>
  <si>
    <t>034155018469</t>
  </si>
  <si>
    <t>Phạm Thị Hảo</t>
  </si>
  <si>
    <t>chị nga(8487279017-001) cccd 034170004824</t>
  </si>
  <si>
    <t>034161000937</t>
  </si>
  <si>
    <t>Hoàng Thị Thấm</t>
  </si>
  <si>
    <t>Tú dâu(034180006064</t>
  </si>
  <si>
    <t>Chị Tú Dâu</t>
  </si>
  <si>
    <t>Chị Bẩy</t>
  </si>
  <si>
    <t>8695688980001</t>
  </si>
  <si>
    <t>Cô Bẩy - 8695688980-001 cccd 034161002589</t>
  </si>
  <si>
    <t>Đức giang(034172012464)</t>
  </si>
  <si>
    <t>Cô Hoài - 8687963746 cccd 034167002046</t>
  </si>
  <si>
    <t>Anh Hoàng Long</t>
  </si>
  <si>
    <t>034060024232</t>
  </si>
  <si>
    <t>Tô Văn Chắn</t>
  </si>
  <si>
    <t>hoàng long(8031714087) 034183007046</t>
  </si>
  <si>
    <t>Đệ lý(8261471230) cccd  034077005952</t>
  </si>
  <si>
    <t>Chị Đề Lý</t>
  </si>
  <si>
    <t>bà mão dứa(1000163447)</t>
  </si>
  <si>
    <t>Chị Dứa</t>
  </si>
  <si>
    <t>1000163447</t>
  </si>
  <si>
    <t>bà mão dứa(1000163447) cccd 034153001498</t>
  </si>
  <si>
    <t>hải hường(034176023332)</t>
  </si>
  <si>
    <t>034176023332</t>
  </si>
  <si>
    <t>Phạm Thị Hường</t>
  </si>
  <si>
    <t>Thôn Đông, Xã Ái Quốc, Tỉnh Hưng Yên, Việt Nam</t>
  </si>
  <si>
    <t>mận chuyển 034073003059</t>
  </si>
  <si>
    <t>034073003059</t>
  </si>
  <si>
    <t>Phạm Đình Chuyển</t>
  </si>
  <si>
    <t>phố Hùng Thắng, Xã Tiền Hải, Tỉnh Hưng Yên, Việt Nam</t>
  </si>
  <si>
    <t>Chị Mơ</t>
  </si>
  <si>
    <t>.vilcomart (034063000977)thị trấn</t>
  </si>
  <si>
    <t>VilCo Mart</t>
  </si>
  <si>
    <t>034063000977</t>
  </si>
  <si>
    <t>HỘ KINH DOANH LÊ DUY NGUYÊN</t>
  </si>
  <si>
    <t>Số 30, Phố Bùi Sính, Thôn số 2, Xã Tiền Hải, Tỉnh Hưng Yên, Việt Nam</t>
  </si>
  <si>
    <t>huy mỳ(1000163239) cccd 034184014637</t>
  </si>
  <si>
    <t>Chị Huy Mỳ</t>
  </si>
  <si>
    <t>quy chít (034181009137)</t>
  </si>
  <si>
    <t>Chị Quy Chít</t>
  </si>
  <si>
    <t>034181009137</t>
  </si>
  <si>
    <t>Lâm Thị Hiền</t>
  </si>
  <si>
    <t>Tổ dân phố Tiểu Hoàng, Xã Tiền Hải, Tỉnh Hưng Yên, Việt Nam</t>
  </si>
  <si>
    <t>chị việt(034155005470)</t>
  </si>
  <si>
    <t>Chị Việt</t>
  </si>
  <si>
    <t>034155005470</t>
  </si>
  <si>
    <t>Trần Thị Việt</t>
  </si>
  <si>
    <t>Phố Hùng Thắng,Xã Tiền Hải, tỉnh Hưng Yên, Việt Nam</t>
  </si>
  <si>
    <t>thuận thắm(8031714087) cccd 34161000937</t>
  </si>
  <si>
    <t>Vũ Minh Thuận</t>
  </si>
  <si>
    <t>CHị THủY</t>
  </si>
  <si>
    <t>TH Hoàn Thiện(034176019151)</t>
  </si>
  <si>
    <t>034176019151</t>
  </si>
  <si>
    <t>HỘ KINH DOANH PHẠM THỊ HOÀN,,</t>
  </si>
  <si>
    <t>Xóm 4, Thôn Đông Cao 1, Xã Ái Quốc, Tỉnh Hưng Yên , Việt Nam</t>
  </si>
  <si>
    <t>Thiện Thảo - 8532187868-001 cccd 034080007131</t>
  </si>
  <si>
    <t>Thiện Thảo</t>
  </si>
  <si>
    <t>Dung Nin - 8310345295</t>
  </si>
  <si>
    <t>Dung Nin</t>
  </si>
  <si>
    <t>8310345295</t>
  </si>
  <si>
    <t>Chị Hạnh - 8270401487 cccd  034076003488</t>
  </si>
  <si>
    <t>Anh Kiên Phượng</t>
  </si>
  <si>
    <t>Kiên Phượng _ 034070025890</t>
  </si>
  <si>
    <t>034070025890</t>
  </si>
  <si>
    <t>Nguyễn Đức Kiên</t>
  </si>
  <si>
    <t>Chị Phương Thu</t>
  </si>
  <si>
    <t>TùNG TùNG (034167015760)</t>
  </si>
  <si>
    <t>034167015760</t>
  </si>
  <si>
    <t>Nguyễn Thị Phương</t>
  </si>
  <si>
    <t>Thôn Quân Bác Đoài, XÃ Tây Tiền Hải, Tỉnh Hưng Yên, Việt Nam</t>
  </si>
  <si>
    <t>034083008342</t>
  </si>
  <si>
    <t>Phạm Văn Minh</t>
  </si>
  <si>
    <t>034185017036</t>
  </si>
  <si>
    <t>Phạm Thị Hoa</t>
  </si>
  <si>
    <t>Xóm 13, Thôn Phương Giang,Xã Tây Tiền Hải, Tỉnh Hưng Yên, Việt Nam</t>
  </si>
  <si>
    <t>Chị Xình 034057014022</t>
  </si>
  <si>
    <t>Chị Xình</t>
  </si>
  <si>
    <t>Thụy Hồng, Thái Thụy</t>
  </si>
  <si>
    <t>034057014022</t>
  </si>
  <si>
    <t>Bùi Ngọc Sình</t>
  </si>
  <si>
    <t>Chị Hải Yến-8794715272-001 cccd 034086001349</t>
  </si>
  <si>
    <t>Mai Lệ -034170010735</t>
  </si>
  <si>
    <t>Chị Lành Lệ</t>
  </si>
  <si>
    <t>034170010735</t>
  </si>
  <si>
    <t>Anh Đạt</t>
  </si>
  <si>
    <t>Thị trấn Diêm Điền, Huyện Thái Thụy</t>
  </si>
  <si>
    <t>Chị Hà 034174001585</t>
  </si>
  <si>
    <t>034174001585</t>
  </si>
  <si>
    <t>HỘ KINH DOANH HOÀNG THỊ THANH HÀ</t>
  </si>
  <si>
    <t>Cô Dương 034166019452</t>
  </si>
  <si>
    <t>Cô Dương</t>
  </si>
  <si>
    <t>034166019452</t>
  </si>
  <si>
    <t>Chị Thà 8941058006-001 cccd 034166000443</t>
  </si>
  <si>
    <t>Chị Thà</t>
  </si>
  <si>
    <t>Chị Nhấn Thuấn</t>
  </si>
  <si>
    <t>Nhấn Thuấn - 8687964958-001 cccd 034180021836</t>
  </si>
  <si>
    <t>Anh Thắng mst 034150012278</t>
  </si>
  <si>
    <t>Anh Thắng</t>
  </si>
  <si>
    <t>034150012278</t>
  </si>
  <si>
    <t>Chị Nguyệt 034181023758</t>
  </si>
  <si>
    <t>034181023758</t>
  </si>
  <si>
    <t>Nguyễn Thị Nguyệt</t>
  </si>
  <si>
    <t>Xã Vũ Chính, Phường Trần Lãm, Tỉnh Hưng Yên, Việt Nam</t>
  </si>
  <si>
    <t>Chú Phi - Mst 1000203072 cccd 034059005963</t>
  </si>
  <si>
    <t>Chú Phi</t>
  </si>
  <si>
    <t>Chị Bé 034074008594</t>
  </si>
  <si>
    <t>Chị Bé</t>
  </si>
  <si>
    <t>034074008594</t>
  </si>
  <si>
    <t>Vũ Xuân Phòng</t>
  </si>
  <si>
    <t>Số 91, đường Trần Phú, Phường Trần Hưng Đạo, Tỉnh Hưng Yên, Việt Nam</t>
  </si>
  <si>
    <t>Minh Anh - 8284299473 cccd 034190008398</t>
  </si>
  <si>
    <t>Siêu thị Minh Anh</t>
  </si>
  <si>
    <t>Cô Nhuấn - 8522041595-001 cccd 034168005347</t>
  </si>
  <si>
    <t>Thụy Phúc, Thái Thụy</t>
  </si>
  <si>
    <t>Dung Quy - 8287916692 cccd 034056001971</t>
  </si>
  <si>
    <t>chị hà 034183024573 tt</t>
  </si>
  <si>
    <t>034183024573</t>
  </si>
  <si>
    <t>HỘ KINH DOANH TRẦN THỊ HÀ</t>
  </si>
  <si>
    <t>Thôn Thuyền Đỗ, Xã Thuỵ Anh, Tỉnh Hưng Yên, Việt Nam</t>
  </si>
  <si>
    <t>Chị Hương 034175007044</t>
  </si>
  <si>
    <t>034175007044</t>
  </si>
  <si>
    <t>PHẠM THỊ HƯƠNG</t>
  </si>
  <si>
    <t>Xã Bắc Thái Ninh, Tỉnh Hưng Yên, Việt Nam</t>
  </si>
  <si>
    <t>Loan Sang - 8794423953 cccd 034175000591</t>
  </si>
  <si>
    <t>Chị Loan Sáng</t>
  </si>
  <si>
    <t>Thư Mão - 8117953231 cccd 034084023494</t>
  </si>
  <si>
    <t>Cô Thư Mão</t>
  </si>
  <si>
    <t>Chi Ngoan - 8939529314 ccccd 034168011780 tt</t>
  </si>
  <si>
    <t>Chị Ngoan</t>
  </si>
  <si>
    <t>Chị Lý 1000242498 ccd 034064014937</t>
  </si>
  <si>
    <t>Chị Nhân Hạnh</t>
  </si>
  <si>
    <t>Trường Thuý 8781719897-001 cccd 034194012471</t>
  </si>
  <si>
    <t>Trường Thuý</t>
  </si>
  <si>
    <t>CH tự chọn Thiên Thư</t>
  </si>
  <si>
    <t>Thụy Thanh, Thái Thụy</t>
  </si>
  <si>
    <t>0303443233</t>
  </si>
  <si>
    <t>CÔNG TY CỔ PHẦN XÂY DỰNG COTECCONS</t>
  </si>
  <si>
    <t>236/6 Điện Biên Phủ, Phường Gia Định, Thành phố Hồ Chí Minh, Việt Nam</t>
  </si>
  <si>
    <t>Thiên Thư - 8354045193-001 cccd 034079026641</t>
  </si>
  <si>
    <t>Tươi Tường - 8821545946 cccd 034071020274</t>
  </si>
  <si>
    <t>Linh Kết - 1001171313 cc 034172006453</t>
  </si>
  <si>
    <t>Chị Linh Kết</t>
  </si>
  <si>
    <t>Thụy Quỳnh, Thái Thụy</t>
  </si>
  <si>
    <t>Chị Tho Mến</t>
  </si>
  <si>
    <t>Thọ Mến - 8615797715 cccd  034178018444</t>
  </si>
  <si>
    <t>Yến Soạn - 1000343263 cccd 034071002720</t>
  </si>
  <si>
    <t>Chị Yến Xoạn</t>
  </si>
  <si>
    <t>cty Nhiệt Điện- 0100100079-012</t>
  </si>
  <si>
    <t>Chị An Thùy</t>
  </si>
  <si>
    <t>Thụy Sơn, Thái Thụy</t>
  </si>
  <si>
    <t>0100100079012</t>
  </si>
  <si>
    <t>Ngọc Bùi 8505864380-001 cccd 034198009759</t>
  </si>
  <si>
    <t>Ngọc Bùi</t>
  </si>
  <si>
    <t>Chị Huế 8657942435-001 cccd  034072007022</t>
  </si>
  <si>
    <t>hồng dương(034197012744)</t>
  </si>
  <si>
    <t>034197012744</t>
  </si>
  <si>
    <t>HỘ KINH DOANH TÔ THỊ  HỒNG,</t>
  </si>
  <si>
    <t>Số nhà 25, đường Bùi Viện, Tổ dân phố số 04,Xã Tiền Hải, Tỉnh Hưng Yên, Việt Nam</t>
  </si>
  <si>
    <t>Anh Quốc 8616914083 cccd 034076022405</t>
  </si>
  <si>
    <t>Anh Quốc</t>
  </si>
  <si>
    <t>Thưởng Thêu - 1000244424 ccccd 034075001720</t>
  </si>
  <si>
    <t>Chị Thưởng Thêu</t>
  </si>
  <si>
    <t>Chị Huế Ân</t>
  </si>
  <si>
    <t>Chị Huế Ân 034174013725</t>
  </si>
  <si>
    <t>034174013725</t>
  </si>
  <si>
    <t>Đào Thị Huế</t>
  </si>
  <si>
    <t>Thôn Trung Thịnh, Xã Nam Thái Ninh, Tỉnh Hưng Yên, Việt Nam</t>
  </si>
  <si>
    <t>chiến hiện-034171003915</t>
  </si>
  <si>
    <t>Chị Chiến Hiện</t>
  </si>
  <si>
    <t>thị trấn Diêm Điền, Thái Thụy</t>
  </si>
  <si>
    <t>034171003915</t>
  </si>
  <si>
    <t>Vũ Thị Hiện</t>
  </si>
  <si>
    <t>Chị Chuyên Thía-1000811225 cccd 034073005528</t>
  </si>
  <si>
    <t>Chị Chuyên Thía</t>
  </si>
  <si>
    <t>Chị Giang Điệp- 8056880738 cccd 034078001986</t>
  </si>
  <si>
    <t>Chị Điệp</t>
  </si>
  <si>
    <t>Anh Duy 034166005230</t>
  </si>
  <si>
    <t>Anh Duy</t>
  </si>
  <si>
    <t>034166005230</t>
  </si>
  <si>
    <t>Nguyễn Thị Duy</t>
  </si>
  <si>
    <t>Đông đô, Xã Nam Thuỵ Anh, Tỉnh Hưng Yên, Việt Nam</t>
  </si>
  <si>
    <t>Hiền Quyền 8831170894 cccd 034157001157</t>
  </si>
  <si>
    <t>Chị Hiền Quyền</t>
  </si>
  <si>
    <t>Chị Kép 034151012548</t>
  </si>
  <si>
    <t>Chị Kép</t>
  </si>
  <si>
    <t>Thụy Trường, Thái Thụy</t>
  </si>
  <si>
    <t>034151012548</t>
  </si>
  <si>
    <t>Nguyễn Thị Trâm</t>
  </si>
  <si>
    <t>Chị Lan 034063001227</t>
  </si>
  <si>
    <t>034063001227</t>
  </si>
  <si>
    <t>lơ phiến+mst 1001238906 cccd 034192018533</t>
  </si>
  <si>
    <t>Chị Lơ Phiến</t>
  </si>
  <si>
    <t>Thụy Lương, Thái Thụy</t>
  </si>
  <si>
    <t>Cô Măng 1000344274 cccd 034156016429</t>
  </si>
  <si>
    <t>Cô Măng</t>
  </si>
  <si>
    <t>Kim Liên 8544356976-001 cccd 034087000657</t>
  </si>
  <si>
    <t>Chị Nga Dung</t>
  </si>
  <si>
    <t>Thái Xuyên, Thái Thụy</t>
  </si>
  <si>
    <t>cô mùi-034155010489</t>
  </si>
  <si>
    <t>Chị Mùi</t>
  </si>
  <si>
    <t>Thụy Trình, Thái Thụy</t>
  </si>
  <si>
    <t>034155010489</t>
  </si>
  <si>
    <t>cô hoài-1000149770</t>
  </si>
  <si>
    <t>Chị Sách</t>
  </si>
  <si>
    <t>1000149770</t>
  </si>
  <si>
    <t>Chị Như 034159019423</t>
  </si>
  <si>
    <t>Chị Như</t>
  </si>
  <si>
    <t>034159019423</t>
  </si>
  <si>
    <t>Số nhà 279, Đ Trần Thái Tông, tổ 28, P Trần Hưng Đạo, Phường Trần Hưng Đạo, Tỉnh Hưng Yên, Việt Nam</t>
  </si>
  <si>
    <t>CH Thanh Thảo   034159012485</t>
  </si>
  <si>
    <t>Chú Trường</t>
  </si>
  <si>
    <t>034159012485</t>
  </si>
  <si>
    <t>Phạm Thị Thậm</t>
  </si>
  <si>
    <t>ái Tuệ 8256450450 cccd 034071007119</t>
  </si>
  <si>
    <t>Chị ái Tuệ</t>
  </si>
  <si>
    <t>Xuyên Chấn- 1000230090 cccd 034149000997</t>
  </si>
  <si>
    <t>Chị Xuyên Chấn</t>
  </si>
  <si>
    <t>Anh Ước 1000147854 cccd 034068004484</t>
  </si>
  <si>
    <t>Anh Ước</t>
  </si>
  <si>
    <t>anh văn- mst 8268504862-001 cccd 034072002642</t>
  </si>
  <si>
    <t>Anh Văn</t>
  </si>
  <si>
    <t>Mai Nguyễn 8333103126 cccd 034190014445</t>
  </si>
  <si>
    <t>Chị Hồng Xiêm</t>
  </si>
  <si>
    <t>Long Hà - 861691451 cccd 034061000992</t>
  </si>
  <si>
    <t>Anh Long Hà</t>
  </si>
  <si>
    <t>Thụy Văn, Thái Thụy</t>
  </si>
  <si>
    <t>Hằng Lập - 8101648835 cccd 034174008779</t>
  </si>
  <si>
    <t>Chị Hằng Lập</t>
  </si>
  <si>
    <t>Chị Ngọc Anh 034176002942</t>
  </si>
  <si>
    <t>Chị Ngọc Anh</t>
  </si>
  <si>
    <t>034176002942</t>
  </si>
  <si>
    <t>Vũ Thị Xuyến</t>
  </si>
  <si>
    <t>Anh Sơn</t>
  </si>
  <si>
    <t>Son Trìu - 8938525109 cccd 034172022234</t>
  </si>
  <si>
    <t>Viên Nguyệt - 8273502500 CCCD 034073000513</t>
  </si>
  <si>
    <t>Anh Viên Nguyệt</t>
  </si>
  <si>
    <t>Sen Năm 8690531344 cccd 034162008098</t>
  </si>
  <si>
    <t>Anh Đạo</t>
  </si>
  <si>
    <t>Chị Thành Khuyên</t>
  </si>
  <si>
    <t>Thụy Xuân, Thái Thụy</t>
  </si>
  <si>
    <t>Cô Ngoan- 8241839572-001 cccd 034170007767</t>
  </si>
  <si>
    <t>Chị Hoa Cường 034187011495</t>
  </si>
  <si>
    <t>Chị Hoa Cường</t>
  </si>
  <si>
    <t>034187011495</t>
  </si>
  <si>
    <t>HỘ KINH DOANH LÊ THỊ HỒNG HOA</t>
  </si>
  <si>
    <t>Thôn Xuân Bàng, Xã Đông Thụy Anh, Tỉnh Hưng Yên, Việt Nam</t>
  </si>
  <si>
    <t>Chú Toại</t>
  </si>
  <si>
    <t>An Bình, Kiến Xương</t>
  </si>
  <si>
    <t>tất toại 034064017274</t>
  </si>
  <si>
    <t>034064017274</t>
  </si>
  <si>
    <t>Nguyễn Cao Toại</t>
  </si>
  <si>
    <t>san na 034173007427</t>
  </si>
  <si>
    <t>Sản Na</t>
  </si>
  <si>
    <t>034173007427</t>
  </si>
  <si>
    <t>thanh duyên 034185002239</t>
  </si>
  <si>
    <t>co xuyên</t>
  </si>
  <si>
    <t>034185002239</t>
  </si>
  <si>
    <t>Trịnh Thị Duyên</t>
  </si>
  <si>
    <t>thôn Vũ Thành Đoài, Xã Tây Thái Ninh, Tỉnh Hưng Yên, Việt Nam</t>
  </si>
  <si>
    <t>anh thắm 034168009633</t>
  </si>
  <si>
    <t>Thắm Anh</t>
  </si>
  <si>
    <t>034168009633</t>
  </si>
  <si>
    <t>Anh Thắm</t>
  </si>
  <si>
    <t>Chú Toán 1000250146 cccd 034067001427</t>
  </si>
  <si>
    <t>Chú Toán</t>
  </si>
  <si>
    <t>Thái Hòa, Thái Thụy</t>
  </si>
  <si>
    <t>Cô Nhung 1000783144 cccd 037164000042</t>
  </si>
  <si>
    <t>Cô Nhung</t>
  </si>
  <si>
    <t>Lan Cơ 8068475251 cccd  034173004211</t>
  </si>
  <si>
    <t>Lan Cơ</t>
  </si>
  <si>
    <t>Công Ty Anh Toàn vũ bình 1000880564</t>
  </si>
  <si>
    <t>Phưởng Hoa</t>
  </si>
  <si>
    <t>1000880564</t>
  </si>
  <si>
    <t>CÔNG TY TNHH MỘT THÀNH VIÊN ANH TOÀN</t>
  </si>
  <si>
    <t>Nhà ông Phan Trọng Toàn, thôn Điện Biên, Xã Bình Thanh, Tỉnh Hưng Yên, Việt Nam</t>
  </si>
  <si>
    <t>Anh Chung</t>
  </si>
  <si>
    <t>14181000100</t>
  </si>
  <si>
    <t>cô tân(034160015668)</t>
  </si>
  <si>
    <t>Thảo Hồng</t>
  </si>
  <si>
    <t>Hoa Vương</t>
  </si>
  <si>
    <t>Hoa vương(nam hà034089013007</t>
  </si>
  <si>
    <t>034089013007</t>
  </si>
  <si>
    <t>Đặng Văn Vương</t>
  </si>
  <si>
    <t>Thôn Hướng Tân, Xã Nam Tiền Hải, Tỉnh Hưng Yên, Việt Nam</t>
  </si>
  <si>
    <t>ngọc ánh cccd 034166021193</t>
  </si>
  <si>
    <t>Yêng Thủy</t>
  </si>
  <si>
    <t>034166021193</t>
  </si>
  <si>
    <t>Thúy Đoàn 034173002686</t>
  </si>
  <si>
    <t>Thúy Đoàn</t>
  </si>
  <si>
    <t>phúc huế - 8592108187 cccd 034086011470</t>
  </si>
  <si>
    <t>Phúc Huê</t>
  </si>
  <si>
    <t>Thuy Huy 034179000323</t>
  </si>
  <si>
    <t>Thuy Huy</t>
  </si>
  <si>
    <t>Hồng Quỳnh, Thái Thụy</t>
  </si>
  <si>
    <t>034179000323</t>
  </si>
  <si>
    <t>Anh Hải</t>
  </si>
  <si>
    <t>Nam Chính, Tiền Hải</t>
  </si>
  <si>
    <t>034088004310</t>
  </si>
  <si>
    <t>Đoàn Văn Hải</t>
  </si>
  <si>
    <t>Thôn Năng Tĩnh,  Xã Nam Tiền Hải, Tỉnh Hưng Yên, Việt Nam</t>
  </si>
  <si>
    <t>Hải trang(8696591438 ) cccd 34088004310</t>
  </si>
  <si>
    <t>Yen Thao</t>
  </si>
  <si>
    <t>Cô Thu 034158000165</t>
  </si>
  <si>
    <t>Cô Thu</t>
  </si>
  <si>
    <t>034158000165</t>
  </si>
  <si>
    <t>NGUYỄN THỊ THUẬN</t>
  </si>
  <si>
    <t>Chi Cẩm Huế</t>
  </si>
  <si>
    <t>Cẩm Huế 034173016054</t>
  </si>
  <si>
    <t>034173016054</t>
  </si>
  <si>
    <t>Hằng Hậu 034173006335</t>
  </si>
  <si>
    <t>Hằng Hậu</t>
  </si>
  <si>
    <t>034173006335</t>
  </si>
  <si>
    <t>Đoàn thị Hằng</t>
  </si>
  <si>
    <t>KHáNH THANH cccd 034175021682</t>
  </si>
  <si>
    <t>Cô Thanh</t>
  </si>
  <si>
    <t>034175021682</t>
  </si>
  <si>
    <t>TH Bà NHUầN(034167016130)</t>
  </si>
  <si>
    <t>Bà Nhuan</t>
  </si>
  <si>
    <t>034167016130</t>
  </si>
  <si>
    <t>Cô Thủy cccd 034164014562</t>
  </si>
  <si>
    <t>Cô Thủy</t>
  </si>
  <si>
    <t>034164014562</t>
  </si>
  <si>
    <t>Cô Mơ 8940546339-001 cccd  034166020010</t>
  </si>
  <si>
    <t>Cô Mơ</t>
  </si>
  <si>
    <t>Thái Thuần, Thái Thụy</t>
  </si>
  <si>
    <t>Chú Hưng 8078971989 cccd 034066016278</t>
  </si>
  <si>
    <t>Chú Hưng</t>
  </si>
  <si>
    <t>Lý HọC (034073008241)</t>
  </si>
  <si>
    <t>Lý Học</t>
  </si>
  <si>
    <t>Vũ Lăng, Tiền Hải</t>
  </si>
  <si>
    <t>034073008241</t>
  </si>
  <si>
    <t>HỘ KINH DOANH ĐÀO QUANG HỌC</t>
  </si>
  <si>
    <t>Thôn Lê Lợi, Xã Tiền Hải, Tỉnh Hưng Yên, Việt Nam</t>
  </si>
  <si>
    <t>034182009254 chị Quyên cạnh nhà thùy tưởng</t>
  </si>
  <si>
    <t>034182009254</t>
  </si>
  <si>
    <t>Hiến Hạnh 034168001602</t>
  </si>
  <si>
    <t>Hiến Hạnh</t>
  </si>
  <si>
    <t>034168001602</t>
  </si>
  <si>
    <t>Phạm Thị Hiền</t>
  </si>
  <si>
    <t>việt thơ- 8850231084-001 cccd 034177008878</t>
  </si>
  <si>
    <t>Việt Tho</t>
  </si>
  <si>
    <t>Thụy Hưng, Thái Thụy</t>
  </si>
  <si>
    <t>long định 001188026258</t>
  </si>
  <si>
    <t>Long Định</t>
  </si>
  <si>
    <t>001188026258</t>
  </si>
  <si>
    <t>HỘ KINH DOANH HOÀNG THỊ ĐỊNH</t>
  </si>
  <si>
    <t>Thôn Tân Ấp, Xã Bình Thanh, Tỉnh Hưng Yên, Việt Nam</t>
  </si>
  <si>
    <t>Chị Thanh mst 8708245530 cccd  034164020822</t>
  </si>
  <si>
    <t>Hưng Hà</t>
  </si>
  <si>
    <t>Cô Thịnh 034075009549</t>
  </si>
  <si>
    <t>Cô Thịnh</t>
  </si>
  <si>
    <t>Đại Thoa 034171006588</t>
  </si>
  <si>
    <t>Đại Thoa</t>
  </si>
  <si>
    <t>034171006588</t>
  </si>
  <si>
    <t>Cô Giáp - 0303443233</t>
  </si>
  <si>
    <t>Cô Giáp</t>
  </si>
  <si>
    <t>ngoc  hai 034170003188</t>
  </si>
  <si>
    <t>ngoc hài</t>
  </si>
  <si>
    <t>034170003188</t>
  </si>
  <si>
    <t>Phan Thị Chiêu</t>
  </si>
  <si>
    <t>Cô Hiền Thượng Hiền ( MST : 034167000187</t>
  </si>
  <si>
    <t>Cô Hiền</t>
  </si>
  <si>
    <t>034167000187</t>
  </si>
  <si>
    <t>Nguyễn Thị Thu Hiền</t>
  </si>
  <si>
    <t>Cô Mận - 8941058486-001 cccd 034158003183</t>
  </si>
  <si>
    <t>Cô Mân</t>
  </si>
  <si>
    <t>long sim(034186018477)</t>
  </si>
  <si>
    <t>Chị Long Sim</t>
  </si>
  <si>
    <t>034186018477</t>
  </si>
  <si>
    <t>Trương Thị Sim</t>
  </si>
  <si>
    <t>Hợp Châu, Xã Nam Cường, Tỉnh Hưng Yên, Việt Nam</t>
  </si>
  <si>
    <t>Doanh Diệp 8030384710-001 cccd 034179015731</t>
  </si>
  <si>
    <t>Doanh Diêp</t>
  </si>
  <si>
    <t>Thụy Dũng, Thái Thụy</t>
  </si>
  <si>
    <t>Cô Then</t>
  </si>
  <si>
    <t>ĐìNH Huệ_034068004734</t>
  </si>
  <si>
    <t>ĐìNH HUệ</t>
  </si>
  <si>
    <t>034068004734</t>
  </si>
  <si>
    <t>NINH VĂN ĐÌNH</t>
  </si>
  <si>
    <t>Quang Hà 8940841006 cccd 034180012049</t>
  </si>
  <si>
    <t>Thu Quang</t>
  </si>
  <si>
    <t>Thụy Tân, Thái Thụy</t>
  </si>
  <si>
    <t>chị Xoan 8873877886-001 cccd 034182010040</t>
  </si>
  <si>
    <t>Chị Xoan</t>
  </si>
  <si>
    <t>Chị Nhụ 034176015249</t>
  </si>
  <si>
    <t>Chị Nhụ</t>
  </si>
  <si>
    <t>034176015249</t>
  </si>
  <si>
    <t>c ngàn -034175014014</t>
  </si>
  <si>
    <t>Chị Ngàn</t>
  </si>
  <si>
    <t>034175014014</t>
  </si>
  <si>
    <t>Vũ Thị Ngàn</t>
  </si>
  <si>
    <t>Chị Mến</t>
  </si>
  <si>
    <t>mến ký 034073008896</t>
  </si>
  <si>
    <t>034073008896</t>
  </si>
  <si>
    <t>Bùi Đăng Ký</t>
  </si>
  <si>
    <t>Huế Diện 8722331559-001 cccd  034173001420</t>
  </si>
  <si>
    <t>Chị Nhung 034175000838</t>
  </si>
  <si>
    <t>034175000838</t>
  </si>
  <si>
    <t>Nghiêm Thị Nhung</t>
  </si>
  <si>
    <t>Thôn 2 An Định,Xã Bắc Thuỵ Anh, Tỉnh Hưng Yên, Việt Nam</t>
  </si>
  <si>
    <t>Cô Đào 034163005050 tt</t>
  </si>
  <si>
    <t>Cô Đào</t>
  </si>
  <si>
    <t>Bích Thậm</t>
  </si>
  <si>
    <t>quỳnh anh- mst 8038550141-001 cccd 034185009102 tt</t>
  </si>
  <si>
    <t>Quỳnh Anh</t>
  </si>
  <si>
    <t>Tình Sen -8249576156 cccd 034069016516</t>
  </si>
  <si>
    <t>Tinh Sen</t>
  </si>
  <si>
    <t>Long Liên - 8937801807 cccd  034189012611</t>
  </si>
  <si>
    <t>Long Liên</t>
  </si>
  <si>
    <t>Chị Xuyên 1000924638 cccc 034173008858</t>
  </si>
  <si>
    <t>Chị Xuyên</t>
  </si>
  <si>
    <t>trong hai</t>
  </si>
  <si>
    <t>trọng hải-mst 8084122768-001 cccd 034183002092</t>
  </si>
  <si>
    <t>Hiệu thu</t>
  </si>
  <si>
    <t>Hiệu Thu Đình Phùng ( MST : 034186019372</t>
  </si>
  <si>
    <t>nga hoàn 034182006979</t>
  </si>
  <si>
    <t>Nga Hoan</t>
  </si>
  <si>
    <t>034182006979</t>
  </si>
  <si>
    <t>Dư Thị Hiện</t>
  </si>
  <si>
    <t>Thùy Thứ</t>
  </si>
  <si>
    <t>Thùy Thứ Thị Trấn ( MST : 034184001064)</t>
  </si>
  <si>
    <t>034184001064</t>
  </si>
  <si>
    <t>HỘ KINH DOANH NGUYỄN THỊ THUỲ</t>
  </si>
  <si>
    <t>Cô Ngát Vũ Lễ ( MST : 034172009816)</t>
  </si>
  <si>
    <t>Cô Ngát</t>
  </si>
  <si>
    <t>034172009816</t>
  </si>
  <si>
    <t>VŨ THỊ NGÁT</t>
  </si>
  <si>
    <t>Thôn Tri Lễ, Xã Quang Lịch, Tỉnh Hưng Yên, Việt Nam</t>
  </si>
  <si>
    <t>Cô Bưởi</t>
  </si>
  <si>
    <t>An Phúc</t>
  </si>
  <si>
    <t>Xã Minh Tân, Huyện Kiến Xương</t>
  </si>
  <si>
    <t>an phúc 034193013634</t>
  </si>
  <si>
    <t>034193013634</t>
  </si>
  <si>
    <t>HỘ KINH DOANH CỬA HÀNG TỰ CHỌN AN CHÂU</t>
  </si>
  <si>
    <t>xuân binh 034181022564</t>
  </si>
  <si>
    <t>Xuân Bình</t>
  </si>
  <si>
    <t>034181022564</t>
  </si>
  <si>
    <t>HỘ KINH DOANH PHẠM THỊ XUÂN 1981</t>
  </si>
  <si>
    <t>Thôn Tân Thành,	Xã Bình Định, Tỉnh Hưng Yên, Việt Nam</t>
  </si>
  <si>
    <t>tùng hạnh 034187003526</t>
  </si>
  <si>
    <t>Tùng Hạnh</t>
  </si>
  <si>
    <t>034187003526</t>
  </si>
  <si>
    <t>Đỗ Thị Hạnh</t>
  </si>
  <si>
    <t>Xuân Thao - 8626404701 cccd 034097003645</t>
  </si>
  <si>
    <t>Xuân Thao</t>
  </si>
  <si>
    <t>Chị Chiên 8901930196 cccd 034191009333</t>
  </si>
  <si>
    <t>Chị Chiên</t>
  </si>
  <si>
    <t>Hà Giao cccd 034168017569</t>
  </si>
  <si>
    <t>Hà Giao</t>
  </si>
  <si>
    <t>034168017569</t>
  </si>
  <si>
    <t>HỘ KINH DOANH VŨ THỊ HÀ 68</t>
  </si>
  <si>
    <t>Thôn Nha Xuyên, Xã Bắc Thái Ninh, Tỉnh Hưng Yên, Việt Nam</t>
  </si>
  <si>
    <t>Toàn Mỵ cccd 034081001889</t>
  </si>
  <si>
    <t>Toan My</t>
  </si>
  <si>
    <t>034081001889</t>
  </si>
  <si>
    <t>Nguyễn Đăng Toàn</t>
  </si>
  <si>
    <t>a mến 1000322961 cccd 034072009434</t>
  </si>
  <si>
    <t>chi Thu 034188017412</t>
  </si>
  <si>
    <t>034188017412</t>
  </si>
  <si>
    <t>Nguyễn Thị Hoài Thu</t>
  </si>
  <si>
    <t>Dung hoài</t>
  </si>
  <si>
    <t>Dũng Hoài Bình Nguyên ( MST : 034068000122)</t>
  </si>
  <si>
    <t>Cường Thuỷ 034191002276</t>
  </si>
  <si>
    <t>Cường Thuỷ</t>
  </si>
  <si>
    <t>Shop nguyệt 034084005802</t>
  </si>
  <si>
    <t>Shop Nguyệt</t>
  </si>
  <si>
    <t>034084005802</t>
  </si>
  <si>
    <t>HỘ KINH DOANH PHẠM MINH HỌA</t>
  </si>
  <si>
    <t>Thôn Dục Dương Đông, Xã Trà Giang , Tỉnh Hưng Yên, Việt Nam</t>
  </si>
  <si>
    <t>Chị Nhài 8541427114 ccd 036184023255</t>
  </si>
  <si>
    <t>chi nhai</t>
  </si>
  <si>
    <t>cô vĩnh 034168020125</t>
  </si>
  <si>
    <t>vinh</t>
  </si>
  <si>
    <t>034168020125</t>
  </si>
  <si>
    <t>Luận Huê Quang Lịch ( MST : 034185017955</t>
  </si>
  <si>
    <t>Luận Huê</t>
  </si>
  <si>
    <t>034185017955</t>
  </si>
  <si>
    <t>Cô Nga 8074164261 cccd</t>
  </si>
  <si>
    <t>Cô Nga</t>
  </si>
  <si>
    <t>8074164261</t>
  </si>
  <si>
    <t>Chinh hieu</t>
  </si>
  <si>
    <t>HIểU NHàI (034179001092)</t>
  </si>
  <si>
    <t>034179001092</t>
  </si>
  <si>
    <t>HỘ KINH DOANH NGUYỄN  THỊ NHÀI</t>
  </si>
  <si>
    <t>ngoc duong</t>
  </si>
  <si>
    <t>ngoc duong 034173001467</t>
  </si>
  <si>
    <t>034173001467</t>
  </si>
  <si>
    <t>Quân Thúy 8109518154 cccd  034176021779</t>
  </si>
  <si>
    <t>tâm cúc (034174000612)</t>
  </si>
  <si>
    <t>Tam cuc</t>
  </si>
  <si>
    <t>Tây An, Tiền Hải</t>
  </si>
  <si>
    <t>034174000612</t>
  </si>
  <si>
    <t>Đinh Thị Cúc</t>
  </si>
  <si>
    <t>Thanh Nhu 034077017889</t>
  </si>
  <si>
    <t>Thanh Nhu</t>
  </si>
  <si>
    <t>034077017889</t>
  </si>
  <si>
    <t>Bùi Quang Thanh</t>
  </si>
  <si>
    <t>Chị Châu</t>
  </si>
  <si>
    <t>chị châu(034163006364)</t>
  </si>
  <si>
    <t>034163006364</t>
  </si>
  <si>
    <t>Phạm Thị Châu</t>
  </si>
  <si>
    <t>Chị Loan - 8630040905-001 cccd 034185004838</t>
  </si>
  <si>
    <t>Minh châu(8755549173-001) cccd 034183014085</t>
  </si>
  <si>
    <t>Cô Minh Châu</t>
  </si>
  <si>
    <t>khánh ngọc 034195005152</t>
  </si>
  <si>
    <t>Khánh Ngọc</t>
  </si>
  <si>
    <t>034195005152</t>
  </si>
  <si>
    <t>HỘ KINH DOANH KHÁNH NGỌC</t>
  </si>
  <si>
    <t>cmt(034184025780) mst(08h8012973)</t>
  </si>
  <si>
    <t>Dung Yên</t>
  </si>
  <si>
    <t>Thành Hiền</t>
  </si>
  <si>
    <t>thành hiền(034172023051)</t>
  </si>
  <si>
    <t>034172023051</t>
  </si>
  <si>
    <t>HỘ KINH DOANH NGUYỄN THỊ HẾN,,</t>
  </si>
  <si>
    <t>Thôn Lạc Thành Nam,Xã Tiền Hải, Tỉnh Hưng Yên, Việt Nam</t>
  </si>
  <si>
    <t>Thuấn Thiêm</t>
  </si>
  <si>
    <t>Thuấn Thiêm 034181021771</t>
  </si>
  <si>
    <t>034181021771</t>
  </si>
  <si>
    <t>Mai Thị Thiêm</t>
  </si>
  <si>
    <t>Chị Hoan vũ đông 034177002175</t>
  </si>
  <si>
    <t>Hoan</t>
  </si>
  <si>
    <t>034177002175</t>
  </si>
  <si>
    <t>HỘ KINH DOANH VŨ THỊ ANH</t>
  </si>
  <si>
    <t>Nhà bà Vũ Thị Anh, Thôn Quang Trung, Phường Trần Lãm, Tỉnh Hưng Yên, Việt Nam</t>
  </si>
  <si>
    <t>Huyen bac</t>
  </si>
  <si>
    <t>HUYềN BắC (034072006370)</t>
  </si>
  <si>
    <t>034072006370</t>
  </si>
  <si>
    <t>HỘ KINH DOANH ĐỖ VĂN BẮC</t>
  </si>
  <si>
    <t>Hoạt nhuần(8495880687-001</t>
  </si>
  <si>
    <t>Cô Hương</t>
  </si>
  <si>
    <t>Xã Đông Hoàng, Huyện Tiền Hải</t>
  </si>
  <si>
    <t>8495880687001</t>
  </si>
  <si>
    <t>Len Phong</t>
  </si>
  <si>
    <t>len phong(034173011098.)</t>
  </si>
  <si>
    <t>034173011098</t>
  </si>
  <si>
    <t>Chi Mởn 034176002703</t>
  </si>
  <si>
    <t>Chi Mởn</t>
  </si>
  <si>
    <t>034176002703</t>
  </si>
  <si>
    <t>Bùi thị Tơ</t>
  </si>
  <si>
    <t>minh châu(034185004635)</t>
  </si>
  <si>
    <t>Hiếu Phương</t>
  </si>
  <si>
    <t>034185004635</t>
  </si>
  <si>
    <t>Trần Thị Vân Anh</t>
  </si>
  <si>
    <t>Am Hợi - 8272384660 cccd 034171012573</t>
  </si>
  <si>
    <t>AM HợI</t>
  </si>
  <si>
    <t>Thái Hà, Thái Thụy</t>
  </si>
  <si>
    <t>Xuân Phường - 8128029631 cccd 034188013985</t>
  </si>
  <si>
    <t>Xuân Phuong</t>
  </si>
  <si>
    <t>Cô phin- 8939314693-001 cccd  034161004771</t>
  </si>
  <si>
    <t>Cô phin</t>
  </si>
  <si>
    <t>Thúy Mùi - mst: 8775061909 cccd 034162004136</t>
  </si>
  <si>
    <t>cô thúy mùi</t>
  </si>
  <si>
    <t>Chị Nghình Quy</t>
  </si>
  <si>
    <t>nghinh quy(1001226481) cccd 034071016715</t>
  </si>
  <si>
    <t>034194007037</t>
  </si>
  <si>
    <t>HỘ KINH DOANH TẠ THỊ ANH</t>
  </si>
  <si>
    <t>Xóm 9, Thôn Tam Bảo, Xã Nam Tiền Hải, Tỉnh Hưng Yên, Việt Nam</t>
  </si>
  <si>
    <t>Mai Hương cccd 034185010166</t>
  </si>
  <si>
    <t>Mai Hương</t>
  </si>
  <si>
    <t>034185010166</t>
  </si>
  <si>
    <t>Trần Thị Tuyết Mai</t>
  </si>
  <si>
    <t>Chị Linh Quân- Mst 1001143404 cccd 034185004044</t>
  </si>
  <si>
    <t>PhuongLinh</t>
  </si>
  <si>
    <t>Chị Hiền 034152008594</t>
  </si>
  <si>
    <t>034152008594</t>
  </si>
  <si>
    <t>NGUYỄN THỊ HIỀN</t>
  </si>
  <si>
    <t>Thanh Lương, Thái Ninh, Hưng Yên, Việt Nam</t>
  </si>
  <si>
    <t>Dũng Băng 034182001042</t>
  </si>
  <si>
    <t>Dũng Băng</t>
  </si>
  <si>
    <t>034182001042</t>
  </si>
  <si>
    <t>Phạm Thị Băng</t>
  </si>
  <si>
    <t>Diện Đông, Xã Trà Giang, Tỉnh Hưng Yên, Việt Nam</t>
  </si>
  <si>
    <t>Sinh Độ - 8775921424 cccd 034172007114</t>
  </si>
  <si>
    <t>Sinh Độ</t>
  </si>
  <si>
    <t>Phuong Mai</t>
  </si>
  <si>
    <t>Phương Mai Mst 8333650665 cccd 034192012653</t>
  </si>
  <si>
    <t>Hương Thúy - 1001115421 cccd  034077009756</t>
  </si>
  <si>
    <t>Huong Thuy</t>
  </si>
  <si>
    <t>Thảo Đông - 034068001175</t>
  </si>
  <si>
    <t>Chị Thảo Đông</t>
  </si>
  <si>
    <t>034068001175</t>
  </si>
  <si>
    <t>Đỗ Văn Độ</t>
  </si>
  <si>
    <t>CH Tường Thu 1000996801 cccd 034084004346</t>
  </si>
  <si>
    <t>Tuong Thu</t>
  </si>
  <si>
    <t>Thụy Ninh, Thái Thụy</t>
  </si>
  <si>
    <t>Chị Hiền 2( CUA HANGTIEN ICH )</t>
  </si>
  <si>
    <t>Chị Hiền -Mst 1001143387 cccd 034182006050</t>
  </si>
  <si>
    <t>Dương Liên cccd 034082019643</t>
  </si>
  <si>
    <t>Dương Liên</t>
  </si>
  <si>
    <t>034082019643</t>
  </si>
  <si>
    <t>HỘ KINH DOANH NGUYỄN VĂN DƯƠNG</t>
  </si>
  <si>
    <t>Trà Vi Nam, Xã Hồng Vũ, Tỉnh Hưng Yên, Việt Nam</t>
  </si>
  <si>
    <t>Hà Phương Vũ Lễ ( MST : 034188005992)</t>
  </si>
  <si>
    <t>Hà Phương</t>
  </si>
  <si>
    <t>034188005992</t>
  </si>
  <si>
    <t>TRẦN THỊ PHƯƠNG</t>
  </si>
  <si>
    <t>ThônTrình Hoàng, Xã Quang Lịch, Tỉnh Hưng Yên, Việt Nam</t>
  </si>
  <si>
    <t>Tùng Mai 8538640812 cccd 034190005676</t>
  </si>
  <si>
    <t>Tùng mai</t>
  </si>
  <si>
    <t>Anh Hường - 8289071828 cccd 034155010144</t>
  </si>
  <si>
    <t>Anh Hường</t>
  </si>
  <si>
    <t>034069002546- thọ huệ</t>
  </si>
  <si>
    <t>thọ huệ</t>
  </si>
  <si>
    <t>034069002546</t>
  </si>
  <si>
    <t>Tô Minh Thọ</t>
  </si>
  <si>
    <t>An Chuyên - 8284581293 cccd 089194000123</t>
  </si>
  <si>
    <t>An Chuyên</t>
  </si>
  <si>
    <t>Hải Loan ccd 036193022667</t>
  </si>
  <si>
    <t>Hải Loan</t>
  </si>
  <si>
    <t>036193022667</t>
  </si>
  <si>
    <t>Phạm Thị Loan</t>
  </si>
  <si>
    <t>Thạch ngân (8541204407 ccd  034087004232</t>
  </si>
  <si>
    <t>Thạch Ngân</t>
  </si>
  <si>
    <t>Chị Anh 8012800333 cccd 034178009176</t>
  </si>
  <si>
    <t>Hoàng Anh</t>
  </si>
  <si>
    <t>034178009176</t>
  </si>
  <si>
    <t>HỘ KINH DOANH ĐẶNG THỊ ANH</t>
  </si>
  <si>
    <t>Nhà bà Đặng Thị Phương, Thôn Tam Lạc, Phường Trần Lãm, Tỉnh Hưng Yên, Việt Nam</t>
  </si>
  <si>
    <t>Cô Chung Bằng mst 8713178801 cccd 034062000367</t>
  </si>
  <si>
    <t>Chung Bằng</t>
  </si>
  <si>
    <t>hạnh gấm 8572313773 cccd  034178013585</t>
  </si>
  <si>
    <t>Hạnh Gấm</t>
  </si>
  <si>
    <t>Vương Bùi 034178017392</t>
  </si>
  <si>
    <t>Vương Bùi</t>
  </si>
  <si>
    <t>034178017392</t>
  </si>
  <si>
    <t>Trần Thị Bùi</t>
  </si>
  <si>
    <t>Loan bẩy 034183005765</t>
  </si>
  <si>
    <t>Loan Bảy</t>
  </si>
  <si>
    <t>034183005765</t>
  </si>
  <si>
    <t>Cao Thị Loan</t>
  </si>
  <si>
    <t>Thôn Đại Đồng, Xã Vũ Quý, Tỉnh Hưng Yên, Việt Nam</t>
  </si>
  <si>
    <t>chị huyền(034187008582</t>
  </si>
  <si>
    <t>Thư Nghiên</t>
  </si>
  <si>
    <t>thư nghiên(034172014852)</t>
  </si>
  <si>
    <t>034172014852</t>
  </si>
  <si>
    <t>PHẠM THỊ NGHIÊN</t>
  </si>
  <si>
    <t>Thôn Hợp phố, Xã Hưng Phú, Tỉnh Hưng Yên, Việt Nam</t>
  </si>
  <si>
    <t>hai dung 034176003459</t>
  </si>
  <si>
    <t>Hải Dung</t>
  </si>
  <si>
    <t>034176003459</t>
  </si>
  <si>
    <t>Dung Thấu 1001170768 cccd 034082013959</t>
  </si>
  <si>
    <t>Dung Thau</t>
  </si>
  <si>
    <t>Cô Ngọ 034166005873</t>
  </si>
  <si>
    <t>cô ngọ</t>
  </si>
  <si>
    <t>034166005873</t>
  </si>
  <si>
    <t>Phạm Thị Ngọ</t>
  </si>
  <si>
    <t>Xóm 4, Xã Vũ Quý, Tỉnh Hưng Yên, Việt Nam</t>
  </si>
  <si>
    <t>cô ngát</t>
  </si>
  <si>
    <t>034190014445 Mai Nguyễn</t>
  </si>
  <si>
    <t>Cô Mai</t>
  </si>
  <si>
    <t>034190014445</t>
  </si>
  <si>
    <t>Nguyễn Thị Mai</t>
  </si>
  <si>
    <t>Thôn Đông Dương, Xã Đông Thuy Anh, Tỉnh Hưng Yên, Việt Nam</t>
  </si>
  <si>
    <t>Hien Nhi Vũ Lạc 034177004192</t>
  </si>
  <si>
    <t>Hiền Nhi</t>
  </si>
  <si>
    <t>034177004192</t>
  </si>
  <si>
    <t>SuSu 034170012645</t>
  </si>
  <si>
    <t>Su Su</t>
  </si>
  <si>
    <t>034170012645</t>
  </si>
  <si>
    <t>Thu Hưng -8286398222 cccd 030171021155</t>
  </si>
  <si>
    <t>Thu Hưng</t>
  </si>
  <si>
    <t>Nguyen Huong cccd 034086009516</t>
  </si>
  <si>
    <t>Nguyen Huong</t>
  </si>
  <si>
    <t>034086009516</t>
  </si>
  <si>
    <t>Trịnh Xuân Thắng</t>
  </si>
  <si>
    <t>Tổ Dân Phố Số 3, Xã Thái Thuỵ, Tỉnh Hưng Yên, Việt Nam</t>
  </si>
  <si>
    <t>Tc Bella Nguyễn - Mst 1000603433-001 cccd  034171007776</t>
  </si>
  <si>
    <t>Tự Chọn Bella Nguyễn</t>
  </si>
  <si>
    <t>Chi Hải Miên - MST 8350043815 cccd 034181005829</t>
  </si>
  <si>
    <t>Hải Miên</t>
  </si>
  <si>
    <t>Cherry Mart 034171000830</t>
  </si>
  <si>
    <t>Cherry Mart</t>
  </si>
  <si>
    <t>034171000830</t>
  </si>
  <si>
    <t>Trần Thị Thuý</t>
  </si>
  <si>
    <t>siêu thị quang minh 034081007699</t>
  </si>
  <si>
    <t>siêu thị tự chọn</t>
  </si>
  <si>
    <t>034081007699</t>
  </si>
  <si>
    <t>Nguyễn Văn Thạo</t>
  </si>
  <si>
    <t>Hoài Thu Quang Lịch ( MST : 034162016055</t>
  </si>
  <si>
    <t>hoài thư</t>
  </si>
  <si>
    <t>034162016055</t>
  </si>
  <si>
    <t>Tuyết Mai 034174015572</t>
  </si>
  <si>
    <t>Tuyết Mai</t>
  </si>
  <si>
    <t>034174015572</t>
  </si>
  <si>
    <t>Đam My 1000150889 cccd  034059002694</t>
  </si>
  <si>
    <t>Đam My</t>
  </si>
  <si>
    <t>Baby Mart - 8785568381-001 cccd  034085002984</t>
  </si>
  <si>
    <t>Cô tân(034160015668)</t>
  </si>
  <si>
    <t>034067009516</t>
  </si>
  <si>
    <t>HỘ KINH DOANH TÔ VĂN ÂN.,</t>
  </si>
  <si>
    <t>linh trang(034186007131)</t>
  </si>
  <si>
    <t>034186007131</t>
  </si>
  <si>
    <t>Nguyễn Thị Huế</t>
  </si>
  <si>
    <t>bà hảo.tây ninh 034155018469</t>
  </si>
  <si>
    <t>Bà Hảo</t>
  </si>
  <si>
    <t>CH Thảo Nhi-034057014022</t>
  </si>
  <si>
    <t>nhàn dũng</t>
  </si>
  <si>
    <t>Nhiên Hòa - 8255600872 cccd 034071009236</t>
  </si>
  <si>
    <t>nhiên hòa</t>
  </si>
  <si>
    <t>Đức Nhuận 034170014669</t>
  </si>
  <si>
    <t>cô đức nhuận</t>
  </si>
  <si>
    <t>034170014669</t>
  </si>
  <si>
    <t>Vũ Thị Nhuận</t>
  </si>
  <si>
    <t>Thôn Ngái Đông, Xã Kiến Xương, Tỉnh Hưng Yên, Việt Nam</t>
  </si>
  <si>
    <t>cô huệ 034169000772</t>
  </si>
  <si>
    <t>cô huế</t>
  </si>
  <si>
    <t>034169000772</t>
  </si>
  <si>
    <t>HỘ KINH DOANH NGUYỄN THỊ HUỆ 1969</t>
  </si>
  <si>
    <t>Thôn Kim Thịnh, Xã Kiến Xương, Tỉnh Hưng Yên, Việt Nam</t>
  </si>
  <si>
    <t>Trung yên(034184001517)</t>
  </si>
  <si>
    <t>Trung Yên</t>
  </si>
  <si>
    <t>034184001517</t>
  </si>
  <si>
    <t>Đỗ Thị Chuyên</t>
  </si>
  <si>
    <t>Thu cúc ( MST : 027185012555)</t>
  </si>
  <si>
    <t>chị thu cúc</t>
  </si>
  <si>
    <t>thanh tuy 034077006312</t>
  </si>
  <si>
    <t>thanh tuy</t>
  </si>
  <si>
    <t>034077006312</t>
  </si>
  <si>
    <t>HỘ KINH DOANH ĐẶNG VĂN THÀNH</t>
  </si>
  <si>
    <t>Thôn Lai Vy, Xã Kiến Xương, Tỉnh Hưng Yên, Việt Nam</t>
  </si>
  <si>
    <t>chị huyền 034074005125</t>
  </si>
  <si>
    <t>chị huyền</t>
  </si>
  <si>
    <t>034074005125</t>
  </si>
  <si>
    <t>Phạm Văn Trọng</t>
  </si>
  <si>
    <t>nga lừng034179005417</t>
  </si>
  <si>
    <t>chị nga lừng</t>
  </si>
  <si>
    <t>Cô Bẩy - 8695688980-001</t>
  </si>
  <si>
    <t>Tự Chọn An Phát</t>
  </si>
  <si>
    <t>Hoai Nghia</t>
  </si>
  <si>
    <t>Hồng Vân - 034074018469</t>
  </si>
  <si>
    <t>Hong vân</t>
  </si>
  <si>
    <t>034074018469</t>
  </si>
  <si>
    <t>Nguyễn Ngọc Đăng</t>
  </si>
  <si>
    <t>Nhà ông Nguyễn Ngọc Đăng, Thôn Dinh, Xã Tân Bình, Phường Thái Bình, Tỉnh Hưng Yên, Việt Nam</t>
  </si>
  <si>
    <t>Công Linh 034083010407</t>
  </si>
  <si>
    <t>công linh</t>
  </si>
  <si>
    <t>034083010407</t>
  </si>
  <si>
    <t>HỘ KINH DOANH TRẦN CHÍ CÔNG</t>
  </si>
  <si>
    <t>TDP An Đoài, Xã Kiến Xương, Tỉnh Hưng Yên, Việt Nam</t>
  </si>
  <si>
    <t>Hải Yến - 8718913258 cccd 034192011813</t>
  </si>
  <si>
    <t>Hải yến</t>
  </si>
  <si>
    <t>H-mart - 8683286324 cccd 034091009540</t>
  </si>
  <si>
    <t>H- Mart</t>
  </si>
  <si>
    <t>Chị Nhuần 8459396551 cccd 034075001345</t>
  </si>
  <si>
    <t>Trang Anh 034080012250</t>
  </si>
  <si>
    <t>siêu thị trang anh</t>
  </si>
  <si>
    <t>gấm tư- mst 1001202258 cccd 034176006606</t>
  </si>
  <si>
    <t>Gấm Tư</t>
  </si>
  <si>
    <t>Bà Hòa 034156013566</t>
  </si>
  <si>
    <t>bà hòa</t>
  </si>
  <si>
    <t>034156013566</t>
  </si>
  <si>
    <t>TRẦN THỊ HOÀ</t>
  </si>
  <si>
    <t>Thôn An Đông , Xã Kiến Xương, Tỉnh Hưng Yên, Việt Nam</t>
  </si>
  <si>
    <t>Nin Huê - 8938680143 cccd 034181005314</t>
  </si>
  <si>
    <t>Nin Huê</t>
  </si>
  <si>
    <t>chi thu 034180012820</t>
  </si>
  <si>
    <t>chi thu</t>
  </si>
  <si>
    <t>034180012820</t>
  </si>
  <si>
    <t>Nguyễn thị Thu</t>
  </si>
  <si>
    <t>Thụy Liên, Xã Thụy Anh, Tỉnh Hưng Yên, Việt Nam</t>
  </si>
  <si>
    <t>Chị Anh 034179004648</t>
  </si>
  <si>
    <t>Chị Anh</t>
  </si>
  <si>
    <t>034179004648</t>
  </si>
  <si>
    <t>Bùi Thị Lan Anh</t>
  </si>
  <si>
    <t>Thôn Hòa BÌnh, Xã Bình Định, Tỉnh Hưng Yên, Việt Nam</t>
  </si>
  <si>
    <t>huệ thương(034169006702)</t>
  </si>
  <si>
    <t>Chị Thủy Duy</t>
  </si>
  <si>
    <t>034169006702</t>
  </si>
  <si>
    <t>minh quoc 8793652943-001 cccd 034094012801</t>
  </si>
  <si>
    <t>minh quoc</t>
  </si>
  <si>
    <t>cô hồng(034158018982</t>
  </si>
  <si>
    <t>chi xuan</t>
  </si>
  <si>
    <t>xuân nhuần(1000807194) cccd  034073025372</t>
  </si>
  <si>
    <t>hiền tiến</t>
  </si>
  <si>
    <t>Hiền Tiến Thị Trấn ( MST : 8129466923) cccd 034184013459</t>
  </si>
  <si>
    <t>Huyền Linh - 034189004926</t>
  </si>
  <si>
    <t>Huyền Linh</t>
  </si>
  <si>
    <t>034189004926</t>
  </si>
  <si>
    <t>Trần thị Linh</t>
  </si>
  <si>
    <t>Chị Dịu Huyện</t>
  </si>
  <si>
    <t>Dịu Huyền - 8427095992-001 ccd 034197002750</t>
  </si>
  <si>
    <t>Chú Muôn 034045005688</t>
  </si>
  <si>
    <t>Chú muôn</t>
  </si>
  <si>
    <t>034045005688</t>
  </si>
  <si>
    <t>Lê Xuân Muôn</t>
  </si>
  <si>
    <t>Lan Đông 8201114795 CCCD 034184000501</t>
  </si>
  <si>
    <t>Lan Đông</t>
  </si>
  <si>
    <t>dũng hiên (034185007641)</t>
  </si>
  <si>
    <t>Anh dũng</t>
  </si>
  <si>
    <t>034185007641</t>
  </si>
  <si>
    <t>Trần Thị Hiên</t>
  </si>
  <si>
    <t>chị doan 034183010579</t>
  </si>
  <si>
    <t>Chị Doan</t>
  </si>
  <si>
    <t>034183010579</t>
  </si>
  <si>
    <t>E Ngần 8794530306-001 cccd  034075001909</t>
  </si>
  <si>
    <t>E Ngần</t>
  </si>
  <si>
    <t>Đức Tiến 8462244446 cccd 034099000151</t>
  </si>
  <si>
    <t>Đức Tiến</t>
  </si>
  <si>
    <t>Chị Lý 034175004644</t>
  </si>
  <si>
    <t>034175004644</t>
  </si>
  <si>
    <t>Trần Thị Lý</t>
  </si>
  <si>
    <t>Thôn Việt Nam Hòa, Xã Kiến Xương, Tỉnh Hưng Yên, Việt Nam</t>
  </si>
  <si>
    <t>Tuấn Thủy Thượng Hiền ( MST : 034191008289</t>
  </si>
  <si>
    <t>Tuấn Thủy</t>
  </si>
  <si>
    <t>Anh Tuấn Nam Cao ( MST : 8063093650) cccd</t>
  </si>
  <si>
    <t>Anh Tuấn</t>
  </si>
  <si>
    <t>8063093650</t>
  </si>
  <si>
    <t>hồng tám 034063003542</t>
  </si>
  <si>
    <t>Hồng Tám</t>
  </si>
  <si>
    <t>034063003542</t>
  </si>
  <si>
    <t>Đặng Văn Trí</t>
  </si>
  <si>
    <t>thắm thoảng 034075025279</t>
  </si>
  <si>
    <t>Thắm Thoảng</t>
  </si>
  <si>
    <t>Quyết Tiến, Kiến Xương</t>
  </si>
  <si>
    <t>034075025279</t>
  </si>
  <si>
    <t>Phạm Văn Thoảng</t>
  </si>
  <si>
    <t>chị thương 034176002019</t>
  </si>
  <si>
    <t>Chị Thương</t>
  </si>
  <si>
    <t>034176002019</t>
  </si>
  <si>
    <t>HỘ KINH DOANH PHẠM THỊ THƯƠNG</t>
  </si>
  <si>
    <t>Thôn Trung Tiến, Xã Lê Lợi, Tỉnh Hưng Yên, Việt Nam</t>
  </si>
  <si>
    <t>nhẫn đoài 034064018773</t>
  </si>
  <si>
    <t>Nhẫn Đoài</t>
  </si>
  <si>
    <t>034064018773</t>
  </si>
  <si>
    <t>Nguyễn Xuân Đoài</t>
  </si>
  <si>
    <t>CH Sơn Mơ 034172011584</t>
  </si>
  <si>
    <t>tiến huyền</t>
  </si>
  <si>
    <t>034172011584</t>
  </si>
  <si>
    <t>Vũ Thị Mơ</t>
  </si>
  <si>
    <t>HƯƠNG THANH (034155001221)</t>
  </si>
  <si>
    <t>Phương Thanh</t>
  </si>
  <si>
    <t>034155001221</t>
  </si>
  <si>
    <t>Đào Thị Huệ</t>
  </si>
  <si>
    <t>Thôn Tam Bảo, Xã Nam Tiền Hải, Tỉnh Hưng Yên, Việt Nam</t>
  </si>
  <si>
    <t>chị Hường mst 8666293762 cccd 034191015965</t>
  </si>
  <si>
    <t>Tuyển Chuyên 8121477031-001 cccd  034087020654</t>
  </si>
  <si>
    <t>CH Tuyển Chuyên</t>
  </si>
  <si>
    <t>Mr Kẹo 8029607338-001 cccd 034081022845</t>
  </si>
  <si>
    <t>CH Mr Kẹo</t>
  </si>
  <si>
    <t>Chị Thìn - mst 8743006126 cccd 034176007009</t>
  </si>
  <si>
    <t>Tự chọn Sỹ Thìn 2</t>
  </si>
  <si>
    <t>Xã Vũ Phú, Thành phố Thái Bình</t>
  </si>
  <si>
    <t>Tự chọn Tuấn Tú 034079009549</t>
  </si>
  <si>
    <t>Tự chọn Tuấn Tú</t>
  </si>
  <si>
    <t>Xã Phú Xuân, Thành phố Thái Bình</t>
  </si>
  <si>
    <t>034079009549</t>
  </si>
  <si>
    <t>BùI NGọC DOãN</t>
  </si>
  <si>
    <t>Cô Hồng 034167001508</t>
  </si>
  <si>
    <t>Cô Hồng</t>
  </si>
  <si>
    <t>Xã Thụy Quỳnh, Huyện Thái Thụy</t>
  </si>
  <si>
    <t>034167001508</t>
  </si>
  <si>
    <t>LÊ THỊ HỒNG</t>
  </si>
  <si>
    <t>cô sửu 034054000251</t>
  </si>
  <si>
    <t>034054000251</t>
  </si>
  <si>
    <t>Nguyễn Minh Sửu</t>
  </si>
  <si>
    <t>Chị Thanh Chính</t>
  </si>
  <si>
    <t>Nga Nghiệp cccd  034187006704</t>
  </si>
  <si>
    <t>Nga Nghiệp</t>
  </si>
  <si>
    <t>034187006704</t>
  </si>
  <si>
    <t>LÊ THU NGA</t>
  </si>
  <si>
    <t>Chị Nhài 034151004187</t>
  </si>
  <si>
    <t>034151004187</t>
  </si>
  <si>
    <t>Chị Minh 034065001063</t>
  </si>
  <si>
    <t>Ngọc Tĩnh Vũ Trung ( MST : 034091000577</t>
  </si>
  <si>
    <t>Ngọc Tĩnh</t>
  </si>
  <si>
    <t>034091000577</t>
  </si>
  <si>
    <t>Nguyễn Hữu Tĩnh</t>
  </si>
  <si>
    <t>Nhung Trần Khánh Dư 014170000084</t>
  </si>
  <si>
    <t>014170000084</t>
  </si>
  <si>
    <t>Trương Thị Nhung</t>
  </si>
  <si>
    <t>Số 99, Phố Trần Khánh Dư, Phường Thái Bình, Tỉnh Hưng Yên, Việt Nam</t>
  </si>
  <si>
    <t>Chị Mỵ Quân- mst 8754628048-001 cccd c  034185009056</t>
  </si>
  <si>
    <t>My quân</t>
  </si>
  <si>
    <t>Kiều Thoa 034050005432</t>
  </si>
  <si>
    <t>034050005432</t>
  </si>
  <si>
    <t>Lê Văn Kiền</t>
  </si>
  <si>
    <t>Xóm 6, Phường Vũ Phúc, Tỉnh Hưng Yên, Việt Nam</t>
  </si>
  <si>
    <t>Cô Bảy cc 034166003558</t>
  </si>
  <si>
    <t>cô Bảy</t>
  </si>
  <si>
    <t>034166003558</t>
  </si>
  <si>
    <t>Phạm Thị Bẩy</t>
  </si>
  <si>
    <t>Hướng Quyên</t>
  </si>
  <si>
    <t>hướng quyên(1000999351) cccd 034077000567</t>
  </si>
  <si>
    <t>Chị Hiển Thúy</t>
  </si>
  <si>
    <t>thúy hiển (034072014790)</t>
  </si>
  <si>
    <t>034072014790</t>
  </si>
  <si>
    <t>nguyễn văn hiển</t>
  </si>
  <si>
    <t>YếN TIếN (037191002060)</t>
  </si>
  <si>
    <t>037191002060</t>
  </si>
  <si>
    <t>Hộ kinh doanh Tạ Thị Yến</t>
  </si>
  <si>
    <t>Thôn Thượng , Xã Tiền Hải, Tỉnh Hưng Yên, Việt Nam</t>
  </si>
  <si>
    <t>Trường Hiến - 8794424795 cccd 034073007636</t>
  </si>
  <si>
    <t>TRUòNG HIếN T2</t>
  </si>
  <si>
    <t>Chung Trang 034090005919</t>
  </si>
  <si>
    <t>Chung Trang</t>
  </si>
  <si>
    <t>034090005919</t>
  </si>
  <si>
    <t>HỘ KINH DOANH CỬA HÀNG TẠP HÓA TỰ CHỌN</t>
  </si>
  <si>
    <t>Thôn Tử Các, Xã Thái Ninh, Tỉnh Hưng Yên, Việt Nam</t>
  </si>
  <si>
    <t>Chị Huyền 8447672574-001 cccd 034171015847</t>
  </si>
  <si>
    <t>Yến Quân</t>
  </si>
  <si>
    <t>Chị Huệ034068025510</t>
  </si>
  <si>
    <t>Chị Huệ</t>
  </si>
  <si>
    <t>034068025510</t>
  </si>
  <si>
    <t>Trần Hữu Hưng</t>
  </si>
  <si>
    <t>Dân lanh 034074025658</t>
  </si>
  <si>
    <t>Dân lanh</t>
  </si>
  <si>
    <t>034074025658</t>
  </si>
  <si>
    <t>Hà Thịnh 034083000937</t>
  </si>
  <si>
    <t>Hà Thịnh</t>
  </si>
  <si>
    <t>034083000937</t>
  </si>
  <si>
    <t>Nguyễn Văn Thịnh</t>
  </si>
  <si>
    <t>Chị Đức Giang cccd 034173014154</t>
  </si>
  <si>
    <t>Đức Giang</t>
  </si>
  <si>
    <t>034173014154</t>
  </si>
  <si>
    <t>HỘ KINH DOANH ĐỖ THỊ THIỆP</t>
  </si>
  <si>
    <t>Số 532, Đường Lê Thánh Tông,Phường Trần Lãm, Tỉnh Hưng Yên, Việt Nam</t>
  </si>
  <si>
    <t>C Văn Lý-Mst 8469011761 cccd 034078029110</t>
  </si>
  <si>
    <t>Văn lý</t>
  </si>
  <si>
    <t>Cô Chẵn- Mst 8442606874 cccd 034166000776</t>
  </si>
  <si>
    <t>cô Chẵn</t>
  </si>
  <si>
    <t>chợ Nhỏ-mst 8085181999 cccd 034086013729</t>
  </si>
  <si>
    <t>chợ nhỏ</t>
  </si>
  <si>
    <t>yến ninh</t>
  </si>
  <si>
    <t>yến ninh 034166015922</t>
  </si>
  <si>
    <t>034166015922</t>
  </si>
  <si>
    <t>HỘ KINH DOANH TẠP HÓA YẾN NINH</t>
  </si>
  <si>
    <t>Lô 15, 16, Khu nhà ở liền kề B, Khu đô thị 379, Phường Trần Hưng Đạo, Tỉnh Hưng Yên, Việt Nam</t>
  </si>
  <si>
    <t>chi Anh Anh - mst 8245407911 cccd 034172001211</t>
  </si>
  <si>
    <t>Anh Anh</t>
  </si>
  <si>
    <t>Ngọc Bích</t>
  </si>
  <si>
    <t>Ngọc Bích 034159019423</t>
  </si>
  <si>
    <t>Bổng Hằng 8343239077 cccd 034091015286</t>
  </si>
  <si>
    <t>Bổng Hằng</t>
  </si>
  <si>
    <t>cô Miền 8499623200 cccd 034176000554</t>
  </si>
  <si>
    <t>cô Miền</t>
  </si>
  <si>
    <t>cô hải</t>
  </si>
  <si>
    <t>Mến Hải Quang Lịch ( MST : 034187008371)</t>
  </si>
  <si>
    <t>dũng nhuần 034169004183</t>
  </si>
  <si>
    <t>dũng nhuần</t>
  </si>
  <si>
    <t>anh thủy 034181010302</t>
  </si>
  <si>
    <t>anh thủy -t2</t>
  </si>
  <si>
    <t>034181010302</t>
  </si>
  <si>
    <t>NGUYễN THị Mỹ HạNH</t>
  </si>
  <si>
    <t>Chị Lụa 8851174174 cccd 034070024518</t>
  </si>
  <si>
    <t>Lành Quyên</t>
  </si>
  <si>
    <t>Mạnh Nga 4499909 - Mạnh Nga 034081004405</t>
  </si>
  <si>
    <t>MạNH NGA</t>
  </si>
  <si>
    <t>Chiến Hoài Thượng Hiền ( 034188007872)</t>
  </si>
  <si>
    <t>anh Chiến Hoài</t>
  </si>
  <si>
    <t>034188007872</t>
  </si>
  <si>
    <t>Đặng Thị Hoài</t>
  </si>
  <si>
    <t>Phương Vui(034177003435)</t>
  </si>
  <si>
    <t>Phương Vui</t>
  </si>
  <si>
    <t>034177003435</t>
  </si>
  <si>
    <t>Tạ Thị Vui</t>
  </si>
  <si>
    <t>Thôn Hưng Long Bắc,Xã Đông Tiền Hải, Tỉnh Hưng Yên, Việt Nam</t>
  </si>
  <si>
    <t>SƠN HệT (034062020736)</t>
  </si>
  <si>
    <t>Sơn hệt</t>
  </si>
  <si>
    <t>034062020736</t>
  </si>
  <si>
    <t>Nguyễn Văn Sơn</t>
  </si>
  <si>
    <t>Xã Đông Tiền Hải, Tỉnh Hưng Yên, Việt Nam</t>
  </si>
  <si>
    <t>cô lương(034165013022.)tây sơn</t>
  </si>
  <si>
    <t>Thúy Hảo</t>
  </si>
  <si>
    <t>034165013022</t>
  </si>
  <si>
    <t>chị thủy thế(034184008302</t>
  </si>
  <si>
    <t>034184008302</t>
  </si>
  <si>
    <t>công ty ngọc minh(1001246826)</t>
  </si>
  <si>
    <t>1001246826</t>
  </si>
  <si>
    <t>CÔNG TY TNHH HẢI SẢN NGỌC MINH</t>
  </si>
  <si>
    <t>Thôn Quang Thịnh, Xã Nam Cường, Tỉnh Hưng Yên, Việt Nam</t>
  </si>
  <si>
    <t>Cao hiền(8749805894) cccd  034194007173</t>
  </si>
  <si>
    <t>Cao Hiền</t>
  </si>
  <si>
    <t>chị thuận (034188011270)bắc hải</t>
  </si>
  <si>
    <t>034188011270</t>
  </si>
  <si>
    <t>Nguyễn Thị Thuận</t>
  </si>
  <si>
    <t>hoạch nhuần(034181006194</t>
  </si>
  <si>
    <t>034181006194</t>
  </si>
  <si>
    <t>HỘ KINH DOANH NHUẦN</t>
  </si>
  <si>
    <t>nhật mơ(034185002249</t>
  </si>
  <si>
    <t>034185002249</t>
  </si>
  <si>
    <t>Nguyễn Thị Mơ</t>
  </si>
  <si>
    <t>Thôn Bát Cấp Nam , Xã Tây Tiền Hải, Tỉnh Hưng Yên, Việt Nam</t>
  </si>
  <si>
    <t>Năm Hà - 1000169255 cccd 034155002558</t>
  </si>
  <si>
    <t>Năm Hà</t>
  </si>
  <si>
    <t>Lan Tuyền - 8494250555 cccd 034071005098</t>
  </si>
  <si>
    <t>lan tuyền</t>
  </si>
  <si>
    <t>Chị Hà cccd 034183024573</t>
  </si>
  <si>
    <t>Xuân Phường 8128029631-001 cccf  034188013985</t>
  </si>
  <si>
    <t>Xuân Phường</t>
  </si>
  <si>
    <t>anh Lại</t>
  </si>
  <si>
    <t>lại lơ(034163002548)</t>
  </si>
  <si>
    <t>034163002548</t>
  </si>
  <si>
    <t>Vũ Thị Kim Minh</t>
  </si>
  <si>
    <t>hương hoa (034172024147</t>
  </si>
  <si>
    <t>034172024147</t>
  </si>
  <si>
    <t>HỘ KINH DOANH PHẠM THỊ HOA</t>
  </si>
  <si>
    <t>Thôn An Nhân Hưng, Xã Tây Tiền Hải, Tỉnh Hưng Yên, Việt Nam</t>
  </si>
  <si>
    <t>vẻ minh 034173016191</t>
  </si>
  <si>
    <t>CH Vẻ Minh</t>
  </si>
  <si>
    <t>034173016191</t>
  </si>
  <si>
    <t>Chị Hằng 034086000859</t>
  </si>
  <si>
    <t>034086000859</t>
  </si>
  <si>
    <t>HỘ KINH DOANH ĐÀO XUÂN MINH</t>
  </si>
  <si>
    <t>Nhà ông Đào Xuân Minh, thôn Nguyễn Du, Phường Trần Lãm , Tỉnh Hưng Yên, Việt Nam</t>
  </si>
  <si>
    <t>Minh Anh 1001236909 cccd 034184000620</t>
  </si>
  <si>
    <t>xoan xoan 034178003776</t>
  </si>
  <si>
    <t>chị Xoan Xoan</t>
  </si>
  <si>
    <t>034178003776</t>
  </si>
  <si>
    <t>Mai Thị Xoan</t>
  </si>
  <si>
    <t>Thôn Hưng Đạo, Xã Bình Định, Tỉnh Hưng Yên, Việt Nam</t>
  </si>
  <si>
    <t>kiên mai(034089010970)</t>
  </si>
  <si>
    <t>Kiên Mai</t>
  </si>
  <si>
    <t>034089010970</t>
  </si>
  <si>
    <t>Thôn Mỹ Đức, Xã Đồng Châu, Tỉnh Hưng Yên, Việt Nam</t>
  </si>
  <si>
    <t>thúy thúy(034197001633</t>
  </si>
  <si>
    <t>034197001633</t>
  </si>
  <si>
    <t>duyên núi ccd 034176000544</t>
  </si>
  <si>
    <t>chị Duyên</t>
  </si>
  <si>
    <t>034176000544</t>
  </si>
  <si>
    <t>Roãn Thị Duyên</t>
  </si>
  <si>
    <t>Thôn Kênh Xuyên,  Xã Đông Tiền Hải, Tỉnh Hưng Yên, Việt Nam</t>
  </si>
  <si>
    <t>Độ Nguyệt - 1000713330 cccd 034167002986</t>
  </si>
  <si>
    <t>Độ Nguyệt</t>
  </si>
  <si>
    <t>TH MINH CHÂU (034162009773)</t>
  </si>
  <si>
    <t>Minh Châu</t>
  </si>
  <si>
    <t>034162009773</t>
  </si>
  <si>
    <t>Vũ Thị Hiến</t>
  </si>
  <si>
    <t>Tân Lập,Xã Ái Quốc, Tỉnh Hưng Yên, Việt Nam</t>
  </si>
  <si>
    <t>Cô Tú Vũ Lễ ( MST : 034156005016)</t>
  </si>
  <si>
    <t>cô Tú</t>
  </si>
  <si>
    <t>Anh Thư</t>
  </si>
  <si>
    <t>034185004838</t>
  </si>
  <si>
    <t>Đỗ Thị Loan</t>
  </si>
  <si>
    <t>Thôn Đức Cơ, Xã Đồng Châu, Tỉnh Hưng Yên, Việt Nam</t>
  </si>
  <si>
    <t>Cô Lân</t>
  </si>
  <si>
    <t>034300000318</t>
  </si>
  <si>
    <t>Hà Thị Trang</t>
  </si>
  <si>
    <t>Tự Chọn Trang Mạnh 034300000318</t>
  </si>
  <si>
    <t>034052002904</t>
  </si>
  <si>
    <t>Phúc Hiền 034177002571</t>
  </si>
  <si>
    <t>Phúc Hiền</t>
  </si>
  <si>
    <t>034177002571</t>
  </si>
  <si>
    <t>Nguyễn Thị Hiền</t>
  </si>
  <si>
    <t>THÔN TAM LẠC, Phường Trần Lãm, Tỉnh Hưng Yên, Việt Nam</t>
  </si>
  <si>
    <t>Chiều Liên 034175019272</t>
  </si>
  <si>
    <t>Chiều Liên</t>
  </si>
  <si>
    <t>034175019272</t>
  </si>
  <si>
    <t>HỘ KINH DOANH PHẠM THỊ LIÊN</t>
  </si>
  <si>
    <t>Thôn Dục Dương, XÃ Trà Giang, Tỉnh Hưng Yên, Việt Nam</t>
  </si>
  <si>
    <t>dương ngọc</t>
  </si>
  <si>
    <t>Dương Ngọc - 8062262659 cccd 034069018402</t>
  </si>
  <si>
    <t>Duyên yên 1000529229 cccd 034074024381</t>
  </si>
  <si>
    <t>Duyên Yên</t>
  </si>
  <si>
    <t>Thiêm Thoan 8095863398 cccd 034076012132</t>
  </si>
  <si>
    <t>Thiêm Thoan</t>
  </si>
  <si>
    <t>Thúy Hằng Quang Lịch ( MST : 034185019357</t>
  </si>
  <si>
    <t>thúy hằng</t>
  </si>
  <si>
    <t>Anh thư(034072006532)</t>
  </si>
  <si>
    <t>034072006532</t>
  </si>
  <si>
    <t>HỘ KINH DOANH NGUYỄN VĂN BỘ.</t>
  </si>
  <si>
    <t>Cường Dung</t>
  </si>
  <si>
    <t>Thanh Đức -8076540994 cccd 001188004813</t>
  </si>
  <si>
    <t>Thanh Đức</t>
  </si>
  <si>
    <t>Hằng Từ(03418500286)</t>
  </si>
  <si>
    <t>Hăng Từ</t>
  </si>
  <si>
    <t>03418500286</t>
  </si>
  <si>
    <t>TH LAN KIệM(034178020828)</t>
  </si>
  <si>
    <t>Lan Kiệm</t>
  </si>
  <si>
    <t>034178020828</t>
  </si>
  <si>
    <t>HỘ KINH DOANH ĐẶNG THỊ LAN</t>
  </si>
  <si>
    <t>Thôn Hưng Đạo, Xã Tiền Hải, Tỉnh Hưng Yên, Việt Nam</t>
  </si>
  <si>
    <t>Đăng Duyên</t>
  </si>
  <si>
    <t>Sữa đặng duyên(1001164884-001) cccd  034086001246</t>
  </si>
  <si>
    <t>chị hệ- 034176004955</t>
  </si>
  <si>
    <t>034176004955</t>
  </si>
  <si>
    <t>Trần Thị Hệ</t>
  </si>
  <si>
    <t>bình anh- 8090799276-001 cccd 034085020752</t>
  </si>
  <si>
    <t>Bình Anh</t>
  </si>
  <si>
    <t>khoa lành- mst 8679386453-001 cccd 034075004083</t>
  </si>
  <si>
    <t>Khoa Lành</t>
  </si>
  <si>
    <t>trung nguyên- 8739336964-001 cccd 034064006136</t>
  </si>
  <si>
    <t>Trung Nguyên</t>
  </si>
  <si>
    <t>Thái Thọ, Thái Thụy</t>
  </si>
  <si>
    <t>Thủy Hiền - 8511198555-001 cccd 034186006463</t>
  </si>
  <si>
    <t>Thủy Hiền</t>
  </si>
  <si>
    <t>Dù Minh 034165004955</t>
  </si>
  <si>
    <t>Dù Minh</t>
  </si>
  <si>
    <t>034165004955</t>
  </si>
  <si>
    <t>NGUYỄN THỊ MÍNH</t>
  </si>
  <si>
    <t>034091018810 Anh Danh</t>
  </si>
  <si>
    <t>anh Danh</t>
  </si>
  <si>
    <t>034091018810</t>
  </si>
  <si>
    <t>Nguyễn Duyên Danh</t>
  </si>
  <si>
    <t>chị hạ(034184018822)</t>
  </si>
  <si>
    <t>Chị Hạ</t>
  </si>
  <si>
    <t>034184018822</t>
  </si>
  <si>
    <t>Nguyễn Thị Hạ</t>
  </si>
  <si>
    <t>Hà Thạo 034172020841</t>
  </si>
  <si>
    <t>Hà Thạo</t>
  </si>
  <si>
    <t>034172020841</t>
  </si>
  <si>
    <t>ĐÀO THỊ HOÀ</t>
  </si>
  <si>
    <t>Xã Nam Thái Ninh, Tỉnh Hưng Yên, Việt Nam</t>
  </si>
  <si>
    <t>Xã Nam Bình, Huyện Kiến Xương</t>
  </si>
  <si>
    <t>Hiền Quyền 8831170894 cccd  034157001157</t>
  </si>
  <si>
    <t>Chú Sơn</t>
  </si>
  <si>
    <t>cô Lê 034175005880</t>
  </si>
  <si>
    <t>cô Lê</t>
  </si>
  <si>
    <t>034175005880</t>
  </si>
  <si>
    <t>Phạm Thị Toan</t>
  </si>
  <si>
    <t>Đông Thọ, Xã Thái Ninh, Tỉnh Hưng Yên, Việt Nam</t>
  </si>
  <si>
    <t>long thơm(034178001323)</t>
  </si>
  <si>
    <t>Long Thơm</t>
  </si>
  <si>
    <t>034178001323</t>
  </si>
  <si>
    <t>HỘ KINH DOANH PHẠM THỊ THƠM.</t>
  </si>
  <si>
    <t>Thôn Trình Trung Đông, Xã Tiền Hải, Tỉnh Hưng Yên, Việt Nam</t>
  </si>
  <si>
    <t>Thùy Linh 8284804574 cccd 034193016752</t>
  </si>
  <si>
    <t>Thùy Linh</t>
  </si>
  <si>
    <t>bác chắn(034060024232)</t>
  </si>
  <si>
    <t>Bác Chắn</t>
  </si>
  <si>
    <t>Chị Tâm Thành-Mst 8105450579 cccd  042188018809</t>
  </si>
  <si>
    <t>Tâm thành</t>
  </si>
  <si>
    <t>An Hưng. mst 8121542837-001 cccd  034190010024</t>
  </si>
  <si>
    <t>Chị An Hưng</t>
  </si>
  <si>
    <t>Hiền Anh 8688116453 cccd 034085009332</t>
  </si>
  <si>
    <t>Siêu Thị Hiền Anh</t>
  </si>
  <si>
    <t>Tươi Quý 034184017794</t>
  </si>
  <si>
    <t>Tươi Quý</t>
  </si>
  <si>
    <t>034184017794</t>
  </si>
  <si>
    <t>VŨ THỊ TƯƠI</t>
  </si>
  <si>
    <t>chị Sen</t>
  </si>
  <si>
    <t>Quyên Hà 034171010201</t>
  </si>
  <si>
    <t>Quyên Hà</t>
  </si>
  <si>
    <t>034171010201</t>
  </si>
  <si>
    <t>HỘ KINH DOANH LƯƠNG THỊ QUYÊN</t>
  </si>
  <si>
    <t>Thôn Việt Nam Hoà, Xã Kiến Xương, Tỉnh Hưng Yên, Việt Nam</t>
  </si>
  <si>
    <t>Hùng An Vũ Trung ( MST : 008167000036</t>
  </si>
  <si>
    <t>Hùng An</t>
  </si>
  <si>
    <t>008167000036</t>
  </si>
  <si>
    <t>Vũ Thị Gái</t>
  </si>
  <si>
    <t>thanh miền 034082006972</t>
  </si>
  <si>
    <t>Thanh Miền(Trưởng)</t>
  </si>
  <si>
    <t>034082006972</t>
  </si>
  <si>
    <t>Thanh Miền</t>
  </si>
  <si>
    <t>Hương Lan 034181000653</t>
  </si>
  <si>
    <t>Hương Lan</t>
  </si>
  <si>
    <t>034181000653</t>
  </si>
  <si>
    <t>Đặng Thị Nhung</t>
  </si>
  <si>
    <t>Chị Loan 034176002148</t>
  </si>
  <si>
    <t>Dung Nhi</t>
  </si>
  <si>
    <t>thiệp liên 8735000755 cccd 034178008210</t>
  </si>
  <si>
    <t>Thiệp Liên</t>
  </si>
  <si>
    <t>Hiền Phú Thanh Tân ( MST : 034187008371)</t>
  </si>
  <si>
    <t>Anh Thái</t>
  </si>
  <si>
    <t>Hưng Mỵ 1001164764-001</t>
  </si>
  <si>
    <t>Hưng Mỵ</t>
  </si>
  <si>
    <t>1001164764001</t>
  </si>
  <si>
    <t>Thoa Dân 8351128606-001 ccccd 034182010071</t>
  </si>
  <si>
    <t>Thoa Dân</t>
  </si>
  <si>
    <t>Thuận Hoá Vũ Thắng ( MST : 8176135710) cccd  034176001374</t>
  </si>
  <si>
    <t>Thuận Hoá</t>
  </si>
  <si>
    <t>Huyền Trang 034079021346</t>
  </si>
  <si>
    <t>Huyền Trang</t>
  </si>
  <si>
    <t>034079021346</t>
  </si>
  <si>
    <t>Nguyễn Văn Sỹ</t>
  </si>
  <si>
    <t>Anh Tung</t>
  </si>
  <si>
    <t>Trí mart 034186004108</t>
  </si>
  <si>
    <t>Trí mart</t>
  </si>
  <si>
    <t>034186004108</t>
  </si>
  <si>
    <t>HỘ KINH DOANH TRẦN THỊ QUỲNH ANH</t>
  </si>
  <si>
    <t>Chú Phương</t>
  </si>
  <si>
    <t>chú phương 034174007197</t>
  </si>
  <si>
    <t>034174007197</t>
  </si>
  <si>
    <t>Đạo Hà - 8293474555 cccd 034094014420</t>
  </si>
  <si>
    <t>Đạo Hà</t>
  </si>
  <si>
    <t>Cô Họa034164018399</t>
  </si>
  <si>
    <t>Cô Họa</t>
  </si>
  <si>
    <t>034164018399</t>
  </si>
  <si>
    <t>Vũ Thị Hoa</t>
  </si>
  <si>
    <t>hà kỳ.tây an(034171021915</t>
  </si>
  <si>
    <t>Cô Hà</t>
  </si>
  <si>
    <t>034171021915</t>
  </si>
  <si>
    <t>HỘ KINH DOANH ĐẶNG THỊ HÀ</t>
  </si>
  <si>
    <t>Tổ dân phố Trung Tiến, Xã Tiền Hải, Tỉnh Hưng Yên, Việt Nam</t>
  </si>
  <si>
    <t>Minh châu(8755549173-001) cccd  034183014085</t>
  </si>
  <si>
    <t>Hào Thương -8318693167 cccd 034195007676</t>
  </si>
  <si>
    <t>Hào Thương</t>
  </si>
  <si>
    <t>duc dung 8145680089  cccd 034190005053</t>
  </si>
  <si>
    <t>Cửa Hàng Đức Dung</t>
  </si>
  <si>
    <t>Xã Thụy Hà, Huyện Thái Thụy</t>
  </si>
  <si>
    <t>Cô Mậu (034170004319)</t>
  </si>
  <si>
    <t>Mậu</t>
  </si>
  <si>
    <t>034170004319</t>
  </si>
  <si>
    <t>Nguyễn Thị The</t>
  </si>
  <si>
    <t>CÔ LANH NAM CƯờNG.034061016261</t>
  </si>
  <si>
    <t>cô Sánh</t>
  </si>
  <si>
    <t>Nam Cường, Tiền Hải</t>
  </si>
  <si>
    <t>034061016261</t>
  </si>
  <si>
    <t>Hoa Toàn</t>
  </si>
  <si>
    <t>Quang Hưng, Kiến Xương</t>
  </si>
  <si>
    <t>034179022217</t>
  </si>
  <si>
    <t>Thôn Thái Cao, Xã Bình Định, tỉnh Hưng Yên, Việt Nam</t>
  </si>
  <si>
    <t>Hoa Toàn Nam Bình ( MST : 034179022217)</t>
  </si>
  <si>
    <t>nam hà 034301011151)</t>
  </si>
  <si>
    <t>Nam Hà</t>
  </si>
  <si>
    <t>034301011151</t>
  </si>
  <si>
    <t>Bùi Thị Hà</t>
  </si>
  <si>
    <t>Thôn Lạc Thành Nam, Xã Tiền Hải, Tỉnh Hưng Yên, Việt Nam</t>
  </si>
  <si>
    <t>Chị Mơ 8096856562 cccd  034166020010</t>
  </si>
  <si>
    <t>Xã Thái Sơn, Huyện Thái Thụy</t>
  </si>
  <si>
    <t>Chú Khanh 8874238064 cccd 034074019144</t>
  </si>
  <si>
    <t>Anh Khanh</t>
  </si>
  <si>
    <t>Xã Thụy Chính, Huyện Thái Thụy</t>
  </si>
  <si>
    <t>luật mùa  cccd 034075001909</t>
  </si>
  <si>
    <t>luật mùa</t>
  </si>
  <si>
    <t>034075001909</t>
  </si>
  <si>
    <t>Đặng Văn Sơn</t>
  </si>
  <si>
    <t>Lan Anh - 8021555303-001 cccd034185007585</t>
  </si>
  <si>
    <t>lan anh</t>
  </si>
  <si>
    <t>chị Ly 034175001697</t>
  </si>
  <si>
    <t>chị Ly</t>
  </si>
  <si>
    <t>034175001697</t>
  </si>
  <si>
    <t>Thơ Viễn 034171003204</t>
  </si>
  <si>
    <t>Hải Anh</t>
  </si>
  <si>
    <t>034171003204</t>
  </si>
  <si>
    <t>Hoài Thinh</t>
  </si>
  <si>
    <t>Thị trấn Thanh Nê, Huyện Kiến Xương</t>
  </si>
  <si>
    <t>Hoài Thinh Thị Trấn ( MST : 8697197811) cccd 034189006104</t>
  </si>
  <si>
    <t>cô Ngãi</t>
  </si>
  <si>
    <t>034172022678</t>
  </si>
  <si>
    <t>Hoàng Thị Ngân</t>
  </si>
  <si>
    <t>Cô Ngân Thượng Hiền ( MST : 034172022678)</t>
  </si>
  <si>
    <t>Cô Côi</t>
  </si>
  <si>
    <t>Chú Phụng Bình Nguyên ( MST : 034068004535</t>
  </si>
  <si>
    <t>Chú Phụng</t>
  </si>
  <si>
    <t>034068004535</t>
  </si>
  <si>
    <t>HỘ KINH DOANH TRẦN SỸ PHỤNG 1968</t>
  </si>
  <si>
    <t>Thôn An Chỉ, Xã Bình Nguyên, Tỉnh Hưng Yên, Việt Nam</t>
  </si>
  <si>
    <t>thao mượt 034056003151</t>
  </si>
  <si>
    <t>Chị Hải</t>
  </si>
  <si>
    <t>034056003151</t>
  </si>
  <si>
    <t>Hoàng Văn Thao</t>
  </si>
  <si>
    <t>huyền(034187008582</t>
  </si>
  <si>
    <t>Hương Quyền</t>
  </si>
  <si>
    <t>Xã An Ninh, Huyện Tiền Hải</t>
  </si>
  <si>
    <t>Tới Hậu</t>
  </si>
  <si>
    <t>thành phượng(034083003321)</t>
  </si>
  <si>
    <t>Thành Phượng</t>
  </si>
  <si>
    <t>034083003321</t>
  </si>
  <si>
    <t>Đoàn Văn Thành</t>
  </si>
  <si>
    <t>Thúy Thương- 8692042684 cccd 034072008804</t>
  </si>
  <si>
    <t>Thúy Thương</t>
  </si>
  <si>
    <t>Tuấn Yến cccd 034182009257</t>
  </si>
  <si>
    <t>Tuấn Yến</t>
  </si>
  <si>
    <t>034182009257</t>
  </si>
  <si>
    <t>HỘ KINH DOANH ĐÀO HẢI YẾN</t>
  </si>
  <si>
    <t>Thôn Năng Tĩnh, Xã Nam Tiền Hải, Tỉnh Hưng Yên, Việt Nam</t>
  </si>
  <si>
    <t>Minh Tâm - 1000166624 cccd  034077010055</t>
  </si>
  <si>
    <t>Minh Tân</t>
  </si>
  <si>
    <t>034195007676</t>
  </si>
  <si>
    <t>Tạ Thị Thương</t>
  </si>
  <si>
    <t>Huy Dung</t>
  </si>
  <si>
    <t>THIN BA( CạNH NHà PHƯƠNG VUI) 034168002104</t>
  </si>
  <si>
    <t>Thin Ba</t>
  </si>
  <si>
    <t>034168002104</t>
  </si>
  <si>
    <t>Đoàn Thị Thin</t>
  </si>
  <si>
    <t>Hưng Long Bắc, xã Đông Tiền Hải, Tỉnh Hưng Yên, Việt Nam</t>
  </si>
  <si>
    <t>Tự chọn Trang Mi</t>
  </si>
  <si>
    <t>Trang Mi mst 8453500365 cccd 034194000193</t>
  </si>
  <si>
    <t>Cô Ngọc cccd 034170010812</t>
  </si>
  <si>
    <t>Cô Ngọc</t>
  </si>
  <si>
    <t>034170010812</t>
  </si>
  <si>
    <t>Nguyễn Thị Ngọc</t>
  </si>
  <si>
    <t>Vân Xô - 024190008236</t>
  </si>
  <si>
    <t>Vân Xô</t>
  </si>
  <si>
    <t>024190008236</t>
  </si>
  <si>
    <t>Ngô Thị Vân</t>
  </si>
  <si>
    <t>xuân phuc 034191018576</t>
  </si>
  <si>
    <t>xuân phuc</t>
  </si>
  <si>
    <t>034191018576</t>
  </si>
  <si>
    <t>Đào Thị Tuyết</t>
  </si>
  <si>
    <t>Quỳnh Anh Mart cccd 034096007656</t>
  </si>
  <si>
    <t>Quỳnh Anh Mart</t>
  </si>
  <si>
    <t>034096007656</t>
  </si>
  <si>
    <t>HỘ KINH DOANH QUỲNH ANH MART</t>
  </si>
  <si>
    <t>Nhà ông Nguyễn Trung Tuấn, Thôn Nam Hưng, Phường Trần Lãm, Tỉnh Hưng Yên, Việt Nam</t>
  </si>
  <si>
    <t>Nam Tâm</t>
  </si>
  <si>
    <t>hảo tùng(034183026059)</t>
  </si>
  <si>
    <t>Hảo Tùng</t>
  </si>
  <si>
    <t>034183026059</t>
  </si>
  <si>
    <t>Nguyễn Thị Hảo</t>
  </si>
  <si>
    <t>Thôn Lưu Phương, Xã Ái Quốc, Tỉnh Hưng Yên, Việt Nam</t>
  </si>
  <si>
    <t>Hạnh Nam</t>
  </si>
  <si>
    <t>hạnh nam)034172010510</t>
  </si>
  <si>
    <t>034172010510</t>
  </si>
  <si>
    <t>HỘ KINH DOANH BÙI THỊ HẠNH</t>
  </si>
  <si>
    <t>034071009134</t>
  </si>
  <si>
    <t>HỘ KINH DOANH TRẦN VĂN KHOẢN</t>
  </si>
  <si>
    <t>Thôn Thuý Lạc, Xã Hưng Phú,Tỉnh  Hưng Yên, Việt Nam</t>
  </si>
  <si>
    <t>liên việt((034175006973) trần thị liên</t>
  </si>
  <si>
    <t>Sơn Thủy</t>
  </si>
  <si>
    <t>TH CƯờNG DUNG(034197013250)</t>
  </si>
  <si>
    <t>Bee mart</t>
  </si>
  <si>
    <t>034197013250</t>
  </si>
  <si>
    <t>Ngô Thị Dung</t>
  </si>
  <si>
    <t>Hoàn thiện cccd 034176019151</t>
  </si>
  <si>
    <t>Hà Khiêm</t>
  </si>
  <si>
    <t>ken mart (034091006241)</t>
  </si>
  <si>
    <t>KEN MART</t>
  </si>
  <si>
    <t>034091006241</t>
  </si>
  <si>
    <t>Hoàng Ngọc Sơn</t>
  </si>
  <si>
    <t>Tổ dân phố Nam Sơn, Xã Tiền Hải, Tỉnh Hưng Yên, Việt Nam</t>
  </si>
  <si>
    <t>CửA HàNG THảO DũNG 034190020802</t>
  </si>
  <si>
    <t>CửA HàNG THảO DũNG</t>
  </si>
  <si>
    <t>034190020802</t>
  </si>
  <si>
    <t>HỘ KINH DOANH NGUYỄN THỊ THU THẢO - 1990</t>
  </si>
  <si>
    <t>Thôn Nam Cường, Xã Tây Thái Ninh, Tỉnh Hưng Yên, Việt Nam</t>
  </si>
  <si>
    <t>hoài vĩnh(034178016312)</t>
  </si>
  <si>
    <t>034178016312</t>
  </si>
  <si>
    <t>HỘ KINH DOANH HOÀNG THỊ VĨNH</t>
  </si>
  <si>
    <t>Thôn An Hạ, Xã Nam Tiền Hải, Tỉnh Hưng Yên, Việt Nam</t>
  </si>
  <si>
    <t>Khánh Khôi Thượng Hiền ( MST : 034189020875</t>
  </si>
  <si>
    <t>Khánh Khôi</t>
  </si>
  <si>
    <t>Tươi Quế Vũ Lễ ( MST : 034168008596</t>
  </si>
  <si>
    <t>Cô Tươi Quế</t>
  </si>
  <si>
    <t>lụa lin(034174004183)</t>
  </si>
  <si>
    <t>CHị LụA LIN</t>
  </si>
  <si>
    <t>034174004183</t>
  </si>
  <si>
    <t>TRươNG THị LụA</t>
  </si>
  <si>
    <t>Chị Linh cccd 034068002453</t>
  </si>
  <si>
    <t>Kim Liên (b2b) cccd 034087000657</t>
  </si>
  <si>
    <t>Kim Liên (b2b)</t>
  </si>
  <si>
    <t>chị nga(034171018247)</t>
  </si>
  <si>
    <t>Gia Bảo</t>
  </si>
  <si>
    <t>034171018247</t>
  </si>
  <si>
    <t>Vũ Thị Nga</t>
  </si>
  <si>
    <t>thôn Vĩnh Trung, Xã Nam Tiền Hải, Tỉnh Hưng Yê, Việt Nam</t>
  </si>
  <si>
    <t>Cô Phương Trang</t>
  </si>
  <si>
    <t>Phương trang(034058019694)</t>
  </si>
  <si>
    <t>034058019694</t>
  </si>
  <si>
    <t>Phạm Văn Trang</t>
  </si>
  <si>
    <t>mận chuyển(1000400835)</t>
  </si>
  <si>
    <t>TT. Tiền Hải, Huyện Tiền Hải</t>
  </si>
  <si>
    <t>1000400835</t>
  </si>
  <si>
    <t>PHẠM ĐÌNH CHUYỂN</t>
  </si>
  <si>
    <t>CH Chị Thương cccd 034077022393</t>
  </si>
  <si>
    <t>CH Chị Thương</t>
  </si>
  <si>
    <t>034077022393</t>
  </si>
  <si>
    <t>Ngô Minh Duẩn</t>
  </si>
  <si>
    <t>bà gia bảo(034152014753)</t>
  </si>
  <si>
    <t>Xã Đông Xuyên, Huyện Tiền Hải</t>
  </si>
  <si>
    <t>034152014753</t>
  </si>
  <si>
    <t>Nguyễn Thị Chi</t>
  </si>
  <si>
    <t>Thôn An Cư, Xã Đông Tiền Hải, Tỉnh Hưng Yên, Việt Nam</t>
  </si>
  <si>
    <t>Chú Liệu cccd 034063009168</t>
  </si>
  <si>
    <t>Chú Liệu</t>
  </si>
  <si>
    <t>Xã An Bồi, Huyện Kiến Xương</t>
  </si>
  <si>
    <t>034063009168</t>
  </si>
  <si>
    <t>NGUYỄN ĐÌNH LIỆU</t>
  </si>
  <si>
    <t>Thôn An Phú , Xã Kiến Xương, Tỉnh Hưng Yên, Việt Nam</t>
  </si>
  <si>
    <t>Cô Thành Nhâm</t>
  </si>
  <si>
    <t>Phường Quang Trung, Thành phố Thái Bình</t>
  </si>
  <si>
    <t>Siêu Thị Tuấn Hường</t>
  </si>
  <si>
    <t>Xã Đông Cơ, Huyện Tiền Hải</t>
  </si>
  <si>
    <t>tuấn hương(034088021639)</t>
  </si>
  <si>
    <t>034088021639</t>
  </si>
  <si>
    <t>Trần Minh Tuấn</t>
  </si>
  <si>
    <t>Vinh Son</t>
  </si>
  <si>
    <t>Xã Nam Thắng, Huyện Tiền Hải</t>
  </si>
  <si>
    <t>TH VINH SƠN(034190006498)</t>
  </si>
  <si>
    <t>034190006498</t>
  </si>
  <si>
    <t>Đặng Thị Son</t>
  </si>
  <si>
    <t>Chị Lánh- Mst 1000214331</t>
  </si>
  <si>
    <t>Phường Tiền Phong, Thành phố Thái Bình</t>
  </si>
  <si>
    <t>1000214331</t>
  </si>
  <si>
    <t>CÔNG TY TNHH KHÁNH DƯ</t>
  </si>
  <si>
    <t>Số nhà 373, phố Trần Nhân Tông, Phường Trần Hưng Đạo, Tỉnh Hưng Yên, Việt Nam</t>
  </si>
  <si>
    <t>Tiệm Nhà Lánh- 034168005108</t>
  </si>
  <si>
    <t>034168005108</t>
  </si>
  <si>
    <t>CÔNG TY TNHH SX - TM KIM LOAN</t>
  </si>
  <si>
    <t>Chị Giang 034187001424</t>
  </si>
  <si>
    <t>Chị Giang</t>
  </si>
  <si>
    <t>Xã Trà Giang, Huyện Kiến Xương</t>
  </si>
  <si>
    <t>034187001424</t>
  </si>
  <si>
    <t>HỘ KINH DOANH NGUYỄN TRỌNG THỊ GIANG</t>
  </si>
  <si>
    <t>Cô Nhiệm Yến Nam Bình ( MST : 034174004275</t>
  </si>
  <si>
    <t>Nhiệm Yến</t>
  </si>
  <si>
    <t>034174004275</t>
  </si>
  <si>
    <t>Hoa Phạm - 8872307428-001 cccd 034185017036</t>
  </si>
  <si>
    <t>Hoa Phạm</t>
  </si>
  <si>
    <t>tuynh nụ(034178004109)</t>
  </si>
  <si>
    <t>Tuynh Nụ</t>
  </si>
  <si>
    <t>034178004109</t>
  </si>
  <si>
    <t>Trần Thị Nụ</t>
  </si>
  <si>
    <t>Thôn Hữu Vy, Xã Nam Cường, Tỉnh Hưng Yên, Việt Nam</t>
  </si>
  <si>
    <t>phúc yến(034181018092)</t>
  </si>
  <si>
    <t>Phúc Yến</t>
  </si>
  <si>
    <t>034181018092</t>
  </si>
  <si>
    <t>CH Phúc Loan 034084011589</t>
  </si>
  <si>
    <t>034084011589</t>
  </si>
  <si>
    <t>Hoàng Gia Phúc</t>
  </si>
  <si>
    <t>034175022148</t>
  </si>
  <si>
    <t>HỘ KINH DOANH LƯƠNG MINH NGOAN</t>
  </si>
  <si>
    <t>Số 121, Đường Nguyễn Thị Minh Khai, Tổ 13, Phường Thái Bình, Tỉnh Hưng Yên, Việt Nam</t>
  </si>
  <si>
    <t>Minh Phương Food Lê Quý Đôn 034182002744</t>
  </si>
  <si>
    <t>034182002744</t>
  </si>
  <si>
    <t>Bùi Thị Thu Hương</t>
  </si>
  <si>
    <t>Xã Diên Hà, Tỉnh Hưng Yên, Việt Nam</t>
  </si>
  <si>
    <t>ĐÔNG CO XANH (034176009183)</t>
  </si>
  <si>
    <t>ĐồNG CƠ XANH</t>
  </si>
  <si>
    <t>Xã Nam Hồng, Huyện Tiền Hải</t>
  </si>
  <si>
    <t>034176009183</t>
  </si>
  <si>
    <t>Vũ Thị Hải</t>
  </si>
  <si>
    <t>xóm 6, Xã Nam Tiền Hải, Tỉnh Hưng Yên, Việt Nam</t>
  </si>
  <si>
    <t>Chị Ân Thúy</t>
  </si>
  <si>
    <t>thế son(034170000702)</t>
  </si>
  <si>
    <t>Thế Son</t>
  </si>
  <si>
    <t>Xã Tây Ninh, Huyện Tiền Hải</t>
  </si>
  <si>
    <t>034170000702</t>
  </si>
  <si>
    <t>Phạm Thị Thanh Son</t>
  </si>
  <si>
    <t>cô Hoài - 034166010946</t>
  </si>
  <si>
    <t>Phúc Lụa</t>
  </si>
  <si>
    <t>Teen teen - 8847818228-001 cccd  034307015104- lê thị lan anh 031188002643 mới 031188002643</t>
  </si>
  <si>
    <t>Teen Teen</t>
  </si>
  <si>
    <t>031188002643</t>
  </si>
  <si>
    <t>HỘ KINH DOANH  BÙI THỊ HOA</t>
  </si>
  <si>
    <t>Ba Thúy</t>
  </si>
  <si>
    <t>Xã Thượng Hiền, Huyện Kiến Xương</t>
  </si>
  <si>
    <t>Ba Thúy Thượng Hiền ( MST : 034167000187</t>
  </si>
  <si>
    <t>Chị Thảo- Chung cư Eden mst 034197008875</t>
  </si>
  <si>
    <t>034197008875</t>
  </si>
  <si>
    <t>Nguyễn Thị Thảo Vân</t>
  </si>
  <si>
    <t>Chú Phương- Mst. 1001143387 ccd 034182006050</t>
  </si>
  <si>
    <t>Chị mến 034058000656</t>
  </si>
  <si>
    <t>Cường Quyên</t>
  </si>
  <si>
    <t>Xã Tây Sơn, Huyện Kiến Xương</t>
  </si>
  <si>
    <t>034155002558</t>
  </si>
  <si>
    <t>Trần Thị Hà</t>
  </si>
  <si>
    <t>Thôn Nguyệt Lũ, Xã Ái Quốc, Tỉnh Hưng Yên, Việt Nam</t>
  </si>
  <si>
    <t>- tuấn anh(8849583099-001) cccd 034194007037</t>
  </si>
  <si>
    <t>Chị Kim Anh</t>
  </si>
  <si>
    <t>- Anh Tuyến Hải cccd 034168003369</t>
  </si>
  <si>
    <t>Anh Tuyến Hải</t>
  </si>
  <si>
    <t>- Hiền Lâm 8050710698-001 cccd 034191003666</t>
  </si>
  <si>
    <t>Hiền Lâm</t>
  </si>
  <si>
    <t>- Chị Phượng 034170004766</t>
  </si>
  <si>
    <t>Chị Phượng</t>
  </si>
  <si>
    <t>034170004766</t>
  </si>
  <si>
    <t>Phạm Kim Phượng</t>
  </si>
  <si>
    <t>- Đoàn Thuận 1000309777 cccd 034062007587</t>
  </si>
  <si>
    <t>Chị Đoàn Thuận</t>
  </si>
  <si>
    <t>: 4499860</t>
  </si>
  <si>
    <t>4499860</t>
  </si>
  <si>
    <t>: 4500045</t>
  </si>
  <si>
    <t>- Nhẫn ĐOài Nam Cao ( MST : 8902458427)</t>
  </si>
  <si>
    <t>4500045</t>
  </si>
  <si>
    <t>8902458427</t>
  </si>
  <si>
    <t>: 4500109</t>
  </si>
  <si>
    <t>4500109</t>
  </si>
  <si>
    <t>34160019515</t>
  </si>
  <si>
    <t>: 4500902</t>
  </si>
  <si>
    <t>4500902</t>
  </si>
  <si>
    <t>: 4501067</t>
  </si>
  <si>
    <t>4501067</t>
  </si>
  <si>
    <t>: 4501521</t>
  </si>
  <si>
    <t>- an nga 034184008553</t>
  </si>
  <si>
    <t>4501521</t>
  </si>
  <si>
    <t>034184008553</t>
  </si>
  <si>
    <t>HỘ KINH DOANH ĐẶNG THỊ NGA (VQ)</t>
  </si>
  <si>
    <t>thôn Đông Hòa, Xã Vũ Quý, Tỉnh Hưng Yên, Việt Nam</t>
  </si>
  <si>
    <t>: CHTN_KX</t>
  </si>
  <si>
    <t>- Chị Khu Dơn 034178002574</t>
  </si>
  <si>
    <t>034178002574</t>
  </si>
  <si>
    <t>Bùi Thị Giơn</t>
  </si>
  <si>
    <t>- hồng thương , 034180009244 , quốc tuấn</t>
  </si>
  <si>
    <t>034180009244</t>
  </si>
  <si>
    <t>Phạm Thị Thương</t>
  </si>
  <si>
    <t>034176001374</t>
  </si>
  <si>
    <t>Phạm Thị Thuận</t>
  </si>
  <si>
    <t>Thôn 2, Xã Hồng Vũ, Tỉnh Hưng Yên, Việt Nam</t>
  </si>
  <si>
    <t>- Tuyết Thành vũ công 034071008310</t>
  </si>
  <si>
    <t>034071008310</t>
  </si>
  <si>
    <t>Vũ Văn Thành</t>
  </si>
  <si>
    <t>Thôn Thái Công Bắc,  Xã Hồng Vũ, Tỉnh Hưng Yên, Việt Nam</t>
  </si>
  <si>
    <t>034153001498</t>
  </si>
  <si>
    <t>Trần Thị Dứa</t>
  </si>
  <si>
    <t>Phố Hùng Thắng, Xã Tiền Hải, Tỉnh Hưng Yên, Việt Nam</t>
  </si>
  <si>
    <t>-4499559(0</t>
  </si>
  <si>
    <t>-4499565-c</t>
  </si>
  <si>
    <t>ửa hàng việt ánh 8275189298 cccd 034058015978</t>
  </si>
  <si>
    <t>CửA HàNG Việt ánh</t>
  </si>
  <si>
    <t>-4499642-t</t>
  </si>
  <si>
    <t>hmar 034093011939</t>
  </si>
  <si>
    <t>H T Mart</t>
  </si>
  <si>
    <t>034093011939</t>
  </si>
  <si>
    <t>HỘ KINH DOANH BỐNG KUN- HT MART</t>
  </si>
  <si>
    <t>Thôn Bái Thượng, Xã Thụy Anh, Tỉnh Hưng Yên, Việt Nam</t>
  </si>
  <si>
    <t>-4499648 h</t>
  </si>
  <si>
    <t>ương dũng  8723893416 cccc 034190002376</t>
  </si>
  <si>
    <t>Hương Dũng</t>
  </si>
  <si>
    <t>034094014420</t>
  </si>
  <si>
    <t>Lê Văn Đạo</t>
  </si>
  <si>
    <t>-4499740 c</t>
  </si>
  <si>
    <t>ccd 034182008772</t>
  </si>
  <si>
    <t>Chiên Hảo</t>
  </si>
  <si>
    <t>034182008772</t>
  </si>
  <si>
    <t>Nguyễn Thị Chiên</t>
  </si>
  <si>
    <t>-4499755 T</t>
  </si>
  <si>
    <t>uân Lan 8631741124 ccc 034087011292</t>
  </si>
  <si>
    <t>CH Tuân Lan</t>
  </si>
  <si>
    <t>-4499803-h</t>
  </si>
  <si>
    <t>ung cường 034188000772</t>
  </si>
  <si>
    <t>hùng cường mart</t>
  </si>
  <si>
    <t>034188000772</t>
  </si>
  <si>
    <t>Phạm Thị Non</t>
  </si>
  <si>
    <t>-4499811-m</t>
  </si>
  <si>
    <t>inh châu 8353795210-001 cccd 034189010769</t>
  </si>
  <si>
    <t>Cửa hàng Minh Châu</t>
  </si>
  <si>
    <t>-4499861 c</t>
  </si>
  <si>
    <t>ccd 034172019051</t>
  </si>
  <si>
    <t>034172019051</t>
  </si>
  <si>
    <t>-4500005-c</t>
  </si>
  <si>
    <t>ô loan 1001157693 cccd 034060003962</t>
  </si>
  <si>
    <t>Cô Loàn</t>
  </si>
  <si>
    <t>Hằng Sáng</t>
  </si>
  <si>
    <t>Thái Thịnh, Thái Thụy</t>
  </si>
  <si>
    <t>-4500026-h</t>
  </si>
  <si>
    <t>ằng sáng- 034072019762</t>
  </si>
  <si>
    <t>034072019762</t>
  </si>
  <si>
    <t>Nguyễn Văn Sáng</t>
  </si>
  <si>
    <t>-4500030-c</t>
  </si>
  <si>
    <t>hú nghị- 034066004875</t>
  </si>
  <si>
    <t>Minh Thư</t>
  </si>
  <si>
    <t>-4500126-n</t>
  </si>
  <si>
    <t>ăm yến 8934586090-001 cccd  034177018291</t>
  </si>
  <si>
    <t>Năm yến</t>
  </si>
  <si>
    <t>-4500132-h</t>
  </si>
  <si>
    <t>oài nghĩa 034173005099</t>
  </si>
  <si>
    <t>034173005099</t>
  </si>
  <si>
    <t>Đào Thị Thu Hoài</t>
  </si>
  <si>
    <t>THÔN ĐỒNG KINH,Xã Nam Thái Ninh, Tỉnh Hưng Yên , Việt Nam</t>
  </si>
  <si>
    <t>-4500194-g</t>
  </si>
  <si>
    <t>ấm tư 034176006606</t>
  </si>
  <si>
    <t>Chu Son</t>
  </si>
  <si>
    <t>034176006606</t>
  </si>
  <si>
    <t>HỘ KINH DOANH PHẠM THỊ GẤM</t>
  </si>
  <si>
    <t>Cao Dượng Thượng, Xã Thụy Anh, Tỉnh Hưng Yên, Việt Nam</t>
  </si>
  <si>
    <t>-4500246-t</t>
  </si>
  <si>
    <t>huong hue 8108375584 cccd 034089006571</t>
  </si>
  <si>
    <t>Thuong hue</t>
  </si>
  <si>
    <t>-4500315-c</t>
  </si>
  <si>
    <t>hị dịu-034181007964</t>
  </si>
  <si>
    <t>Chị Dịu</t>
  </si>
  <si>
    <t>034181007964</t>
  </si>
  <si>
    <t>Vũ Thị Hương Dịu</t>
  </si>
  <si>
    <t>-4500349-h</t>
  </si>
  <si>
    <t>à túc- (034185011690) -vũ thị hà ccc d 034080018837</t>
  </si>
  <si>
    <t>Ha tuc</t>
  </si>
  <si>
    <t>-4500409(0</t>
  </si>
  <si>
    <t>Minh cuong</t>
  </si>
  <si>
    <t>-4500462-c</t>
  </si>
  <si>
    <t>ô xoan 034165002428</t>
  </si>
  <si>
    <t>cô xoan</t>
  </si>
  <si>
    <t>034165002428</t>
  </si>
  <si>
    <t>Nguyễn Thị Xoan</t>
  </si>
  <si>
    <t>Xã Đông Thụy Anh, Tỉnh Hưng Yên, Việt Nam</t>
  </si>
  <si>
    <t>-4500513 B</t>
  </si>
  <si>
    <t>ích Thậm 1000417772 cccd 034050011187</t>
  </si>
  <si>
    <t>-4500525 C</t>
  </si>
  <si>
    <t>ô Vân 034052002904 _Vũ An Khang</t>
  </si>
  <si>
    <t>Cô Vân</t>
  </si>
  <si>
    <t>-4500533 c</t>
  </si>
  <si>
    <t>ccd 034190008162</t>
  </si>
  <si>
    <t>034190008162</t>
  </si>
  <si>
    <t>Mai Thị Tám</t>
  </si>
  <si>
    <t>-4500538-c</t>
  </si>
  <si>
    <t>hị thu-034179001521</t>
  </si>
  <si>
    <t>-4500540-c</t>
  </si>
  <si>
    <t>nga  034182006190</t>
  </si>
  <si>
    <t>034182006190</t>
  </si>
  <si>
    <t>Nguyễn Thị Nga</t>
  </si>
  <si>
    <t>Xã Tây Thái Ninh, tỉnh Hưng Yên, Việt Nam</t>
  </si>
  <si>
    <t>-4500579-c</t>
  </si>
  <si>
    <t>ô then 034180016186</t>
  </si>
  <si>
    <t>-4500723-t</t>
  </si>
  <si>
    <t>hành khuyên 1000344725 cccd 034179004859</t>
  </si>
  <si>
    <t>-4500726-a</t>
  </si>
  <si>
    <t>nh đạo-034167012204</t>
  </si>
  <si>
    <t>034167012204</t>
  </si>
  <si>
    <t>-4500750-t</t>
  </si>
  <si>
    <t>huấn dân  8287459654-001 cccd 034073002193</t>
  </si>
  <si>
    <t>Anh Thuấn Dân</t>
  </si>
  <si>
    <t>-4500755-c</t>
  </si>
  <si>
    <t>hị sách-034169005114</t>
  </si>
  <si>
    <t>034169005114</t>
  </si>
  <si>
    <t>Nguyễn Thị Thu Hoài</t>
  </si>
  <si>
    <t>-4500761-c</t>
  </si>
  <si>
    <t>hị oanh- 034041000066</t>
  </si>
  <si>
    <t>034041000066</t>
  </si>
  <si>
    <t>Vũ Đình Oanh</t>
  </si>
  <si>
    <t>-4500821-t</t>
  </si>
  <si>
    <t>ố trang 8292524355 cccd 1 034065019648</t>
  </si>
  <si>
    <t>Chị Tố Trang</t>
  </si>
  <si>
    <t>-4500841-a</t>
  </si>
  <si>
    <t>nh điều-8042339744-001 cccd 034064004624</t>
  </si>
  <si>
    <t>Anh Điều</t>
  </si>
  <si>
    <t>-4500874 C</t>
  </si>
  <si>
    <t>hị Hà 034186019923</t>
  </si>
  <si>
    <t>034186019923</t>
  </si>
  <si>
    <t>Hộ kinh doanh Nguyễn Thị Thoa</t>
  </si>
  <si>
    <t>Thôn An Lệnh, Xã Thái Thuỵ, Tỉnh Hưng Yên, Việt Nam</t>
  </si>
  <si>
    <t>-4500884-t</t>
  </si>
  <si>
    <t>hiện ngát- 034076021877</t>
  </si>
  <si>
    <t>Hồng Ngát</t>
  </si>
  <si>
    <t>034076021877</t>
  </si>
  <si>
    <t>HỘ KINH DOANH TẠP HOÁ THIỆN NGÁT</t>
  </si>
  <si>
    <t>Thôn Quân Bác Đông,  Xã Tây Tiền Hải, Tỉnh Hưng Yên, Việt Nam</t>
  </si>
  <si>
    <t>Chị Hải Hường</t>
  </si>
  <si>
    <t>-4501011(0</t>
  </si>
  <si>
    <t>34178005916)</t>
  </si>
  <si>
    <t>-4501156-h</t>
  </si>
  <si>
    <t>oa đẩu-82893154889 cccd 034072013983</t>
  </si>
  <si>
    <t>Chị Hoa Đẩu</t>
  </si>
  <si>
    <t>-4501214(0</t>
  </si>
  <si>
    <t>34183014590)</t>
  </si>
  <si>
    <t>-4501224(0</t>
  </si>
  <si>
    <t>34176003324)</t>
  </si>
  <si>
    <t>034060017455</t>
  </si>
  <si>
    <t>BÙI TRỌNG THƯỜNG</t>
  </si>
  <si>
    <t>THÔN NHA, Xã Tây Thái Ninh, Tỉnh Hưng Yên, Việt Nam</t>
  </si>
  <si>
    <t>-4501290 c</t>
  </si>
  <si>
    <t>ccd 034075001909</t>
  </si>
  <si>
    <t>031181003094</t>
  </si>
  <si>
    <t>HỘ KINH DOANH PHẠM THÚY MỴ</t>
  </si>
  <si>
    <t>Thôn Nha, Xã Tây Thái Ninh, Tỉnh Hưng Yên, Việt Nam</t>
  </si>
  <si>
    <t>-4501313-a</t>
  </si>
  <si>
    <t>nh du- 034061002966</t>
  </si>
  <si>
    <t>Anh Dự</t>
  </si>
  <si>
    <t>034061002966</t>
  </si>
  <si>
    <t>HỘ KINH DOANH BÙI ĐỨC DỰ</t>
  </si>
  <si>
    <t>Xóm 5 , Xã Thụy Anh, Tỉnh Hưng Yên, Việt Nam</t>
  </si>
  <si>
    <t>034175004351</t>
  </si>
  <si>
    <t>HỘ KINH DOANH NGUYỄN THỊ UYÊN</t>
  </si>
  <si>
    <t>Số 926, Đường Trần Lãm, Thôn Tiên Sơn, Phường Trần Lãm, Tỉnh Hưng Yên, Việt Nam</t>
  </si>
  <si>
    <t>-4501803-c</t>
  </si>
  <si>
    <t>ô chiệm-034074006302- nguyễn cao chuyện</t>
  </si>
  <si>
    <t>Cô Chiệm Thúy</t>
  </si>
  <si>
    <t>034074006302</t>
  </si>
  <si>
    <t>NGUYỄN CAO CHUYỆN</t>
  </si>
  <si>
    <t>-4501816 C</t>
  </si>
  <si>
    <t>hị Hằng 8260336052 cccd 034162004136</t>
  </si>
  <si>
    <t>-4501817 C</t>
  </si>
  <si>
    <t>ô Bưởi 8469935065-001 cccd 034183015321</t>
  </si>
  <si>
    <t>034183015321</t>
  </si>
  <si>
    <t>HỘ KINH DOANH NGUYỄN THỊ THOA - 1983</t>
  </si>
  <si>
    <t>Thôn Tân Trường, Xã Đông Thụy Anh, Tỉnh Hưng Yên, Việt Nam</t>
  </si>
  <si>
    <t>-4501906 c</t>
  </si>
  <si>
    <t>ccd 034171002213</t>
  </si>
  <si>
    <t>034171002213</t>
  </si>
  <si>
    <t>-4501916-c</t>
  </si>
  <si>
    <t>hiến- 034163000854</t>
  </si>
  <si>
    <t>Chị Hiến</t>
  </si>
  <si>
    <t>034163000854</t>
  </si>
  <si>
    <t>phạm thị minh hiến</t>
  </si>
  <si>
    <t>-4501968-c</t>
  </si>
  <si>
    <t>hị thuý thiện 1000146804 cccd 034063006371</t>
  </si>
  <si>
    <t>Chị Thúy Thiện</t>
  </si>
  <si>
    <t>-4757665-0</t>
  </si>
  <si>
    <t>Tam Mai</t>
  </si>
  <si>
    <t>Anh Lâm T</t>
  </si>
  <si>
    <t>hự  034073001291</t>
  </si>
  <si>
    <t>034073001291</t>
  </si>
  <si>
    <t>Lương Văn Thự</t>
  </si>
  <si>
    <t>034085002984</t>
  </si>
  <si>
    <t>Trần Văn Hạnh</t>
  </si>
  <si>
    <t>CH Hoài T</t>
  </si>
  <si>
    <t>hêu 034183025962</t>
  </si>
  <si>
    <t>034183025962</t>
  </si>
  <si>
    <t>Nguyễn Thị Thêu</t>
  </si>
  <si>
    <t>Vị Nguyên, Xã Nam Thái Ninh, Tỉnh Hưng Yên, Việt Nam</t>
  </si>
  <si>
    <t>034176002147</t>
  </si>
  <si>
    <t>TẠ THỊ GẤM</t>
  </si>
  <si>
    <t>LỄ THẦN ĐÔNG, Xã Thái Ninh, Tỉnh Hưng Yên, Việt Nam</t>
  </si>
  <si>
    <t>034162004136</t>
  </si>
  <si>
    <t>NGUYỄN THU HẰNG</t>
  </si>
  <si>
    <t>chị mỵ-03</t>
  </si>
  <si>
    <t>03</t>
  </si>
  <si>
    <t>1181003094</t>
  </si>
  <si>
    <t>Chị Ngọc</t>
  </si>
  <si>
    <t>- Thái Nguyên (034182005583)</t>
  </si>
  <si>
    <t>034182005583</t>
  </si>
  <si>
    <t>HỘ KINH DOANH TOAN NGỌC</t>
  </si>
  <si>
    <t>Xóm 6, Thôn Thanh Lương, Xã Thái Ninh, Tỉnh Hưng Yên, Việt Nam</t>
  </si>
  <si>
    <t>chinh tâm</t>
  </si>
  <si>
    <t>(034089020478</t>
  </si>
  <si>
    <t>CHTN- CHI</t>
  </si>
  <si>
    <t>NH ĐOÁN- 034169019759</t>
  </si>
  <si>
    <t>CHI</t>
  </si>
  <si>
    <t>034169019759</t>
  </si>
  <si>
    <t>Nguyễn Thị Đoán</t>
  </si>
  <si>
    <t>CHTN- DUY</t>
  </si>
  <si>
    <t>ÊN  THẮNG KX- 034178005294</t>
  </si>
  <si>
    <t>034178005294</t>
  </si>
  <si>
    <t>HỘ KINH DOANH NGUYỄN THỊ DUYÊN 1978</t>
  </si>
  <si>
    <t>Thôn Thái Công Bắc, Xã Hồng Vũ, Tỉnh Hưng Yên, Việt Nam</t>
  </si>
  <si>
    <t>CHTN_KX -</t>
  </si>
  <si>
    <t>anh minh 034189000196</t>
  </si>
  <si>
    <t>034189000196</t>
  </si>
  <si>
    <t>Chú Minh 034172016859 vũ ninh</t>
  </si>
  <si>
    <t>034172016859</t>
  </si>
  <si>
    <t>HỘ KINH DOANH NGUYỄN THỊ MINH 1972</t>
  </si>
  <si>
    <t>Thôn Bắc Sơn, Xã Vũ Quý, Tỉnh Hưng Yên, Việt Nam</t>
  </si>
  <si>
    <t>cô sửu - 034160000639 - quang minh</t>
  </si>
  <si>
    <t>034160000639</t>
  </si>
  <si>
    <t>Dương Mười Cao Mại ( MST : 034167000187</t>
  </si>
  <si>
    <t>Liên Thắng Vũ Quý ( MST : 035196006960</t>
  </si>
  <si>
    <t>035196006960</t>
  </si>
  <si>
    <t>Cửa hàng Liên Yến</t>
  </si>
  <si>
    <t>Thôn 2, Xã Vũ Quý, Tỉnh Hưng Yên, Việt Nam</t>
  </si>
  <si>
    <t>Ngoan Dũng Vũ Ninh 034181001543</t>
  </si>
  <si>
    <t>034181001543</t>
  </si>
  <si>
    <t>Trần Thị Ngoan</t>
  </si>
  <si>
    <t>Quang Thắng 034164005952</t>
  </si>
  <si>
    <t>034164005952</t>
  </si>
  <si>
    <t>Vũ Thị Vân</t>
  </si>
  <si>
    <t>Thôn Hưng Đạo,Xã Bình Định, Tỉnh Hưng Yên, Việt Nam</t>
  </si>
  <si>
    <t>thanh ty 034185001341</t>
  </si>
  <si>
    <t>034185001341</t>
  </si>
  <si>
    <t>Nguyễn Thị Thanh</t>
  </si>
  <si>
    <t>Thu Hiền Vũ Ninh 034178010248</t>
  </si>
  <si>
    <t>034178010248</t>
  </si>
  <si>
    <t>Đặng Thị Hiền</t>
  </si>
  <si>
    <t>tiến liễu 034067003960</t>
  </si>
  <si>
    <t>034067003960</t>
  </si>
  <si>
    <t>Lương Văn Tiến</t>
  </si>
  <si>
    <t>Thôn An Phúc, Xã Lê Lợi,Tỉnh Hưng Yên, Việt Nam</t>
  </si>
  <si>
    <t>Tiệp Thúy Thanh Tân ( MST : 034085008002</t>
  </si>
  <si>
    <t>034085008002</t>
  </si>
  <si>
    <t>Hộ kinh doanh Tiệp Thúy</t>
  </si>
  <si>
    <t>Thôn Tử Tế, Xã Bình Nguyên, Tỉnh Hưng Yên, Việt Nam</t>
  </si>
  <si>
    <t>Tình Lanh 034189004689</t>
  </si>
  <si>
    <t>034189004689</t>
  </si>
  <si>
    <t>Nguyễn Thị Lanh</t>
  </si>
  <si>
    <t>Thôn Diệm Dương, Xã Trà Giang, Tỉnh Hưng Yên, Việt Nam</t>
  </si>
  <si>
    <t>Trừng Lãm 034067000261</t>
  </si>
  <si>
    <t>034067000261</t>
  </si>
  <si>
    <t>Lại Văn Lãm</t>
  </si>
  <si>
    <t>Thôn  Bắc Sơn , Xã Vũ Quý, Tỉnh Hưng Yên, Việt Nam</t>
  </si>
  <si>
    <t>CHTN_TH -</t>
  </si>
  <si>
    <t>034181004438 HƯờNG KHOáT NAM HồNG</t>
  </si>
  <si>
    <t>034181004438</t>
  </si>
  <si>
    <t>HỘ KINH DOANH NGUYỄN THỊ HƯỜNG,.</t>
  </si>
  <si>
    <t>Thôn Phương Giang, Xã Nam Tiền Hải, tỉnh Hưng Yên, Việt Nam</t>
  </si>
  <si>
    <t>Cường Dung tây lương 034197013250</t>
  </si>
  <si>
    <t>hoài chỉnh đông long.034181001479</t>
  </si>
  <si>
    <t>034181001479</t>
  </si>
  <si>
    <t>HỘ KINH DOANH VŨ THỊ HOÀI,</t>
  </si>
  <si>
    <t>034183007046</t>
  </si>
  <si>
    <t>Vũ Thị Lê</t>
  </si>
  <si>
    <t>khánh lâm(tây sơn)8251668365</t>
  </si>
  <si>
    <t>8251668365</t>
  </si>
  <si>
    <t>kim ân,tây giang (034067009516)</t>
  </si>
  <si>
    <t>mân chuyển(034073003059)</t>
  </si>
  <si>
    <t>quynh lan nam thắng(034169013042)</t>
  </si>
  <si>
    <t>034169013042</t>
  </si>
  <si>
    <t>Phạm Thị Lan</t>
  </si>
  <si>
    <t>thôn Nam Đồng Thắng, Xã Nam Cường, Tỉnh Hưng Yên, Việt Nam</t>
  </si>
  <si>
    <t>sen tiện(034172019629)</t>
  </si>
  <si>
    <t>034172019629</t>
  </si>
  <si>
    <t>HỘ KINH DOANH TRƯƠNG THỊ HỒNG SEN</t>
  </si>
  <si>
    <t>THắNG HƯƠNG (ĐÔNG TRà)017185004956</t>
  </si>
  <si>
    <t>017185004956</t>
  </si>
  <si>
    <t>PHạM THị HƯƠNG</t>
  </si>
  <si>
    <t>thảo công(034193015091)</t>
  </si>
  <si>
    <t>034193015091</t>
  </si>
  <si>
    <t>HỘ KINH DOANH NGUYỄN THỊ THẢO,.</t>
  </si>
  <si>
    <t>thúy dục (tây sơn 034164011855</t>
  </si>
  <si>
    <t>034164011855</t>
  </si>
  <si>
    <t>Lê Thị Thu Hiền</t>
  </si>
  <si>
    <t>thủy duy (đông minh)034181004639</t>
  </si>
  <si>
    <t>034181004639</t>
  </si>
  <si>
    <t>tới hậu(tây ninh 034084000466)</t>
  </si>
  <si>
    <t>034084000466</t>
  </si>
  <si>
    <t>Nguyễn Văn Tới</t>
  </si>
  <si>
    <t>tuân hồng .bắc hải(034173018601)</t>
  </si>
  <si>
    <t>034173018601</t>
  </si>
  <si>
    <t>HỘ KINH DOANH ĐỖ THỊ HỒNG..,,</t>
  </si>
  <si>
    <t>Tuân hồng,xã bắc hải(034173018601)</t>
  </si>
  <si>
    <t>tuân sim.xã nam hải(034075010829)</t>
  </si>
  <si>
    <t>034075010829</t>
  </si>
  <si>
    <t>CHTN_TP -</t>
  </si>
  <si>
    <t>4501399 Chú Nghĩa 034171019595</t>
  </si>
  <si>
    <t>Chị Hiển Hà 034303000958</t>
  </si>
  <si>
    <t>034303000958</t>
  </si>
  <si>
    <t>HỘ KINH DOANH HIỂN HÀ</t>
  </si>
  <si>
    <t>Nhà ông Phạm Văn Hiển, Thôn Bắc Sơn,Phường Vũ Phúc, Tỉnh Hưng Yên, Việt Nam</t>
  </si>
  <si>
    <t>CHTN_TT -</t>
  </si>
  <si>
    <t>CH Anh Kiên Thái Xuyên 034060023068</t>
  </si>
  <si>
    <t>034060023068</t>
  </si>
  <si>
    <t>Nguyễn Văn Đạo</t>
  </si>
  <si>
    <t>CH Thủy Lan Thái Thủy cccd 034167012204</t>
  </si>
  <si>
    <t>Dung Thắng - Thái Phúc - 034175005530</t>
  </si>
  <si>
    <t>034175005530</t>
  </si>
  <si>
    <t>Đỗ Thị Phương</t>
  </si>
  <si>
    <t>034069018402</t>
  </si>
  <si>
    <t>NGUYỄN MẬU THÀNH</t>
  </si>
  <si>
    <t>Em Hiền Thụy Liên 040197015431</t>
  </si>
  <si>
    <t>040197015431</t>
  </si>
  <si>
    <t>Lô Thị Hiền</t>
  </si>
  <si>
    <t>034079026641</t>
  </si>
  <si>
    <t>Phan Bá Kỹ</t>
  </si>
  <si>
    <t>Thôn Vô Hối Đông, Xã Nam Thụy Anh, Tỉnh Hưng Yên, Việt Nam</t>
  </si>
  <si>
    <t>034174008779</t>
  </si>
  <si>
    <t>Nguyễn Thị Hằng</t>
  </si>
  <si>
    <t>034185007585</t>
  </si>
  <si>
    <t>Lê Thị Lan Anh</t>
  </si>
  <si>
    <t>034071020274</t>
  </si>
  <si>
    <t>BÙI MINH TƯỜNG</t>
  </si>
  <si>
    <t>034188013985</t>
  </si>
  <si>
    <t>HỘ KINH DOANH TẠP HÓA XUÂN PHƯỜNG</t>
  </si>
  <si>
    <t>Thôn Chỉ Thiện, Xã Đông Thái Ninh, Tỉnh Hưng Yên, Việt Nam</t>
  </si>
  <si>
    <t>chung anh</t>
  </si>
  <si>
    <t>Cô Ngát V</t>
  </si>
  <si>
    <t>ũ Lễ ( MST : 8640511800)</t>
  </si>
  <si>
    <t>CÔNG TY T</t>
  </si>
  <si>
    <t>NHH MINH TUỆ KHANG_1001278923</t>
  </si>
  <si>
    <t>1001278923</t>
  </si>
  <si>
    <t>CÔNG TY TNHH MINH TUỆ KHANG</t>
  </si>
  <si>
    <t>Nhà bà Trang, thôn Đoài, Xã Thụy Anh, Tỉnh Hưng Yên, Việt Nam</t>
  </si>
  <si>
    <t>NHH THƯƠNG MẠI TẤN THÀNH mst 1000444462</t>
  </si>
  <si>
    <t>1000444462</t>
  </si>
  <si>
    <t>CÔNG TY TNHH THƯƠNG MẠI TẤN THÀNH</t>
  </si>
  <si>
    <t>Lô D2 đường Trần Thị Dung, Khu công nghiệp Phúc Khánh, Phường Vũ Phúc, Tỉnh Hưng Yên, Việt Nam</t>
  </si>
  <si>
    <t>đoàn thuậ</t>
  </si>
  <si>
    <t>n 1000187134</t>
  </si>
  <si>
    <t>1000187134</t>
  </si>
  <si>
    <t>E Thảo 03</t>
  </si>
  <si>
    <t>4194017115</t>
  </si>
  <si>
    <t>Hải Yến 0</t>
  </si>
  <si>
    <t>34183011244 vũ ninh</t>
  </si>
  <si>
    <t>hạnh nhân</t>
  </si>
  <si>
    <t>_034068001061</t>
  </si>
  <si>
    <t>034068001061</t>
  </si>
  <si>
    <t>Đặng Đức Hạnh</t>
  </si>
  <si>
    <t>Đồng Hoà, Xã Nam Thụy Anh, Tỉnh Hưng Yên, Việt Nam</t>
  </si>
  <si>
    <t>hồng thươ</t>
  </si>
  <si>
    <t>ng trà giang-1001312740</t>
  </si>
  <si>
    <t>1001312740</t>
  </si>
  <si>
    <t>CÔNG TY TNHH TM CUNG ỨNG THỰC PHẨM SẠCH HỒNG THƯƠNG</t>
  </si>
  <si>
    <t>Nhà ông Phạm Văn Nghiệp, Thôn Đắc Chúng Trung, Xã Trà Giang, Tỉnh Hưng Yên, Việt Nam</t>
  </si>
  <si>
    <t>lê hưng-</t>
  </si>
  <si>
    <t>Phương Kh</t>
  </si>
  <si>
    <t>ánh_034196008812</t>
  </si>
  <si>
    <t>034196008812</t>
  </si>
  <si>
    <t>HỘ KINH DOANH ĐỨC NHUNG</t>
  </si>
  <si>
    <t>Tại nhà ông Lê Căn Lân (Bố chồng chị Bùi Thị Hồng Nhung), Xã Thư Vũ, Tỉnh Hưng Yên, Việt Nam</t>
  </si>
  <si>
    <t>quang độ_</t>
  </si>
  <si>
    <t>siêu thị</t>
  </si>
  <si>
    <t>dinh hà 034157014246</t>
  </si>
  <si>
    <t>034157014246</t>
  </si>
  <si>
    <t>HỘ KINH DOANH SIÊU THỊ TỰ CHỌN DINH HÀ</t>
  </si>
  <si>
    <t>Số nhà 608, đường 3/2, TDP Bao Trình, Xã Thái Thuỵ, Tỉnh Hưng Yên, Việt Nam</t>
  </si>
  <si>
    <t>Siêu thị</t>
  </si>
  <si>
    <t>hải hà 034191006785</t>
  </si>
  <si>
    <t>034191006785</t>
  </si>
  <si>
    <t>HỘ KINH DOANH LÊ THỊ THU</t>
  </si>
  <si>
    <t>Tổ dân phố số 6, Xã Thái Thuỵ , Tỉnh Hưng Yên, Việt Nam</t>
  </si>
  <si>
    <t>tâm an_03</t>
  </si>
  <si>
    <t>195001255</t>
  </si>
  <si>
    <t>Thế Thúy</t>
  </si>
  <si>
    <t>- Thụy Quỳnh 034097013947</t>
  </si>
  <si>
    <t>034097013947</t>
  </si>
  <si>
    <t>Lê Xuân Thế</t>
  </si>
  <si>
    <t>Xóm 4, Xã Bắc Thụy Anh, Tỉnh Hưng Yên, Việt Nam</t>
  </si>
  <si>
    <t>Thơm tuấn</t>
  </si>
  <si>
    <t>(034184011210</t>
  </si>
  <si>
    <t>034184011210</t>
  </si>
  <si>
    <t>HỘ KINH DOANH NGUYỄN THỊ THƠM</t>
  </si>
  <si>
    <t>Vũ Phong</t>
  </si>
  <si>
    <t>Xuất ks k</t>
  </si>
  <si>
    <t>im cương 1000214331</t>
  </si>
  <si>
    <t>034183003210</t>
  </si>
  <si>
    <t>HỘ KINH DOANH TRẦN THỊ HƯỜNG 1983</t>
  </si>
  <si>
    <t>Thôn Hoa Nam, Phường Trần Lãm , Tỉnh Hưng Yên, Việt Nam</t>
  </si>
  <si>
    <t>034072009434</t>
  </si>
  <si>
    <t>Phạm Tiến Dũng</t>
  </si>
  <si>
    <t>034063004117</t>
  </si>
  <si>
    <t>VŨ XUÂN TOAN</t>
  </si>
  <si>
    <t>034165017563</t>
  </si>
  <si>
    <t>NGUYỄN THỊ VÂN</t>
  </si>
  <si>
    <t>SN 26 tổ 2, Phường Thái Bình, Tỉnh Hưng Yên, Việt Nam</t>
  </si>
  <si>
    <t>034170002954</t>
  </si>
  <si>
    <t>Nguyễn Thị Hiệp</t>
  </si>
  <si>
    <t>034176018084</t>
  </si>
  <si>
    <t>HỘ KINH DOANH NGUYỄN THỊ HUYỀN</t>
  </si>
  <si>
    <t>Thôn Vũ Biên, Xã Đông Thái Ninh, Tỉnh Hưng Yên, Việt Nam</t>
  </si>
  <si>
    <t>034190016711</t>
  </si>
  <si>
    <t>Trịnh Thị Chang</t>
  </si>
  <si>
    <t>034173017765</t>
  </si>
  <si>
    <t>HỘ KINH DOANH CỬA HÀNG TẠP HOÁ XUÂN DUNG</t>
  </si>
  <si>
    <t>Số 11, tổ 1, Đường Doãn Khuê,Phường Vũ Phúc, Tỉnh Hưng Yên, Việt Nam</t>
  </si>
  <si>
    <t>034072009087</t>
  </si>
  <si>
    <t>HỘ KINH DOANH LÊ PHƯỚC HẢO</t>
  </si>
  <si>
    <t>Ki ốt số 02 Thuộc khu tầng 1 Ban quản lý, Chợ Quang Trung, Phường Trần Hưng Đạo, Tỉnh Hưng Yên, Việt Nam</t>
  </si>
  <si>
    <t>034166005047</t>
  </si>
  <si>
    <t>Phan Thị Nga</t>
  </si>
  <si>
    <t>Số 398B, Đường Lê Thánh Tông, Tổ 15, Phường Thái Bình, Tỉnh Hưng Yên, Việt Nam</t>
  </si>
  <si>
    <t>034182008626</t>
  </si>
  <si>
    <t>Phạm Thị Thuý</t>
  </si>
  <si>
    <t>034170014499</t>
  </si>
  <si>
    <t>Vũ Thị Chiên</t>
  </si>
  <si>
    <t>034064014937</t>
  </si>
  <si>
    <t>Nguyễn Thanh Tuấn</t>
  </si>
  <si>
    <t>034154013026</t>
  </si>
  <si>
    <t>034196003203</t>
  </si>
  <si>
    <t>Tân Bồi,Xã Đông Thái Ninh, Tỉnh Hưng Yên, Việt Nam</t>
  </si>
  <si>
    <t>034174009181</t>
  </si>
  <si>
    <t>Nguyễn Thị Hồng Thắm</t>
  </si>
  <si>
    <t>Thôn Lai Triều, Xã Thụy Anh, Tỉnh Hưng Yên, Việt Nam</t>
  </si>
  <si>
    <t>034063015436</t>
  </si>
  <si>
    <t>Ngô Đình Phuông</t>
  </si>
  <si>
    <t>034175013715</t>
  </si>
  <si>
    <t>Nguyễn Thị Gấm</t>
  </si>
  <si>
    <t>Thôn Thành Long, Xã Đông Tiền Hải, tỉnh Hưng Yên, Việt Nam</t>
  </si>
  <si>
    <t>034050016476</t>
  </si>
  <si>
    <t>Ngô Trung Tuần</t>
  </si>
  <si>
    <t>034073029224</t>
  </si>
  <si>
    <t>Phạm Đức Toàn</t>
  </si>
  <si>
    <t>034178007746</t>
  </si>
  <si>
    <t>Hoàng Thị Thanh</t>
  </si>
  <si>
    <t>034181007359</t>
  </si>
  <si>
    <t>Lý Thị Hường</t>
  </si>
  <si>
    <t>034056016306</t>
  </si>
  <si>
    <t>Phạm Minh Phát</t>
  </si>
  <si>
    <t>Số 344 Trần Hưng Đạo, Phường Trần Hưng Đạo, Tỉnh Hưng Yên, Việt Nam</t>
  </si>
  <si>
    <t>034180007310</t>
  </si>
  <si>
    <t>Thôn Cam Lai, Xã Đồng Châu, Tỉnh Hưng Yên, Việt Nam</t>
  </si>
  <si>
    <t>034076005636</t>
  </si>
  <si>
    <t>Hà Mạnh Tưởng</t>
  </si>
  <si>
    <t>034054020921</t>
  </si>
  <si>
    <t>Ngô Văn Đễ</t>
  </si>
  <si>
    <t>034165016967</t>
  </si>
  <si>
    <t>Nguyễn Thị Len</t>
  </si>
  <si>
    <t>034170005417</t>
  </si>
  <si>
    <t>Phạm Thị Hà</t>
  </si>
  <si>
    <t>Lô 6/13 Trần Hưng Đạo, Phường Trần Hưng Đạo, Tỉnh Hưng Yên, Việt Nam</t>
  </si>
  <si>
    <t>034090007496</t>
  </si>
  <si>
    <t>031187013376</t>
  </si>
  <si>
    <t>Đỗ Thị Duyên</t>
  </si>
  <si>
    <t>034177009263</t>
  </si>
  <si>
    <t>Hoàng Thị Hằng</t>
  </si>
  <si>
    <t>Thôn Trà Bôi, Xã Thái Thuỵ,Tỉnh Hưng Yên, Việt Nam</t>
  </si>
  <si>
    <t>034173005487</t>
  </si>
  <si>
    <t>Lê thị Lành</t>
  </si>
  <si>
    <t>034184003163</t>
  </si>
  <si>
    <t>Huỳnh Thị Thuận</t>
  </si>
  <si>
    <t>034177008336</t>
  </si>
  <si>
    <t>HỘ KINH DOANH HOÀNG THỊ SIM</t>
  </si>
  <si>
    <t>Thôn Trung Lang, Xã Nam Tiền Hải, Hưng Yên</t>
  </si>
  <si>
    <t>034066018815</t>
  </si>
  <si>
    <t>Phạm Văn Tấn</t>
  </si>
  <si>
    <t>034073000612</t>
  </si>
  <si>
    <t>Nguyễn Văn Anh</t>
  </si>
  <si>
    <t>034182005933</t>
  </si>
  <si>
    <t>Hoàng Thị Dung</t>
  </si>
  <si>
    <t>034068003066</t>
  </si>
  <si>
    <t>Trần Xuân Tác</t>
  </si>
  <si>
    <t>Việt Hùng, Xã Hưng Phú, Tỉnh hưng Yên, Việt Nam</t>
  </si>
  <si>
    <t>034069017680</t>
  </si>
  <si>
    <t>TẠ MẠNH TRÌ</t>
  </si>
  <si>
    <t>034094015532</t>
  </si>
  <si>
    <t>Nguyễn Hoàng Anh</t>
  </si>
  <si>
    <t>Thôn Cổ Rồng, Xã Tây Tiền Hải, Tỉnh Hưng Yên, Việt Nam</t>
  </si>
  <si>
    <t>Thôn Bắc, Xã Ái Quốc, Tỉnh Hưng Yên, Việt Nam</t>
  </si>
  <si>
    <t>034160025948</t>
  </si>
  <si>
    <t>Lâm Thị Hợi</t>
  </si>
  <si>
    <t>Thôn Thượng,  Xã Tiền Hải, Tỉnh Hưng Yên, Việt Nam</t>
  </si>
  <si>
    <t>034189005897</t>
  </si>
  <si>
    <t>034170004824</t>
  </si>
  <si>
    <t>034161002589</t>
  </si>
  <si>
    <t>HỘ KINH DOANH TRẦN THỊ BẨY,</t>
  </si>
  <si>
    <t>034077005952</t>
  </si>
  <si>
    <t>Vũ Đức Đệ</t>
  </si>
  <si>
    <t>TDP Tiểu Hoàng, Xã Tiền Hải, Tỉnh Hưng Yên, Việt Nam</t>
  </si>
  <si>
    <t>034184014637</t>
  </si>
  <si>
    <t>Trần Thị Ngát</t>
  </si>
  <si>
    <t>Phố Hùng Thắng, Xã Tiền Hải, tỉnh Hưng Yên, Việt Nam</t>
  </si>
  <si>
    <t>034080007131</t>
  </si>
  <si>
    <t>HỘ KINH DOANH NGUYỄN ĐỨC THIỆN</t>
  </si>
  <si>
    <t>Thôn Quân Bác Đoài, xã Tây Tiền Hải, Tỉnh Hưng Yên, Việt Nam</t>
  </si>
  <si>
    <t>034076003488</t>
  </si>
  <si>
    <t>Nguyễn Ngọc Láng</t>
  </si>
  <si>
    <t>Thôn Quân Bác Đông, xã Tây Tiền Hải, Tỉnh Hưng Yên, Việt Nam</t>
  </si>
  <si>
    <t>034086001349</t>
  </si>
  <si>
    <t>Vũ Đăng Chín</t>
  </si>
  <si>
    <t>034164004827</t>
  </si>
  <si>
    <t>HỘ KINH DOANH ĐỖ THỊ MƯỜI</t>
  </si>
  <si>
    <t>034166000443</t>
  </si>
  <si>
    <t>Dương Thị Tha</t>
  </si>
  <si>
    <t>Xóm 4, Thôn Đoài Nghĩa, Xã Thái Thụy, Tỉnh Hưng Yên, Việt Nam</t>
  </si>
  <si>
    <t>034180021836</t>
  </si>
  <si>
    <t>HỘ KINH DOANH VŨ THỊ NHẤN- 1980</t>
  </si>
  <si>
    <t>Thôn Bích Đoài, Xã Thái Ninh, Tỉnh Hưng Yên, Việt Nam</t>
  </si>
  <si>
    <t>034059005963</t>
  </si>
  <si>
    <t>Phan Văn Phi</t>
  </si>
  <si>
    <t>034190008398</t>
  </si>
  <si>
    <t>HỘ KINH DOANH MINH ANH MART</t>
  </si>
  <si>
    <t>034168005347</t>
  </si>
  <si>
    <t>Nguyễn Thị Nhuấn</t>
  </si>
  <si>
    <t>034056001971</t>
  </si>
  <si>
    <t>Trần Ngọc Quý</t>
  </si>
  <si>
    <t>034175000591</t>
  </si>
  <si>
    <t>HỘ KINH DOANH NGUYỄN THỊ LOAN</t>
  </si>
  <si>
    <t>034084023494</t>
  </si>
  <si>
    <t>Hoàng Văn Thịnh</t>
  </si>
  <si>
    <t>034168011780</t>
  </si>
  <si>
    <t>Nguyễn Thị Ngoan</t>
  </si>
  <si>
    <t>034194012471</t>
  </si>
  <si>
    <t>Phạm Thị Thúy</t>
  </si>
  <si>
    <t>Thôn Phúc Tiền, Xã Bắc Thái Ninh, Tỉnh Hưng Yên , Việt Nam</t>
  </si>
  <si>
    <t>034172006453</t>
  </si>
  <si>
    <t>Lâm Thị Lình</t>
  </si>
  <si>
    <t>Tứ Cường, Xã Bắc Thụy Anh, Tỉnh Hưng Yên, Việt Nam</t>
  </si>
  <si>
    <t>034178018444</t>
  </si>
  <si>
    <t>Nguyễn Thị Yến</t>
  </si>
  <si>
    <t>034071002720</t>
  </si>
  <si>
    <t>HỘ KINH DOANH LÊ VĂN SOẠN</t>
  </si>
  <si>
    <t>034198009759</t>
  </si>
  <si>
    <t>Bùi Thị Lan Ngọc</t>
  </si>
  <si>
    <t>034072007022</t>
  </si>
  <si>
    <t>Hộ kinh doanh Nguyễn Văn Hiệt</t>
  </si>
  <si>
    <t>034076022405</t>
  </si>
  <si>
    <t>Phạm Hữu Quốc</t>
  </si>
  <si>
    <t>Thôn Kim Thảnh, Xã Thuỵ Anh, Tỉnh Hưng Yên, Việt Nam</t>
  </si>
  <si>
    <t>034075001720</t>
  </si>
  <si>
    <t>Nguyễn Văn Thưởng</t>
  </si>
  <si>
    <t>034073005528</t>
  </si>
  <si>
    <t>HỘ KINH DOANH PHẠM ĐÌNH CHUYÊN</t>
  </si>
  <si>
    <t>034078001986</t>
  </si>
  <si>
    <t>Nguyễn Văn Giang</t>
  </si>
  <si>
    <t>Xã Thụy Anh, Tỉnh Hưng Yên, Việt Nam</t>
  </si>
  <si>
    <t>034157001157</t>
  </si>
  <si>
    <t>034192018533</t>
  </si>
  <si>
    <t>Phạm Thị Thu Hà</t>
  </si>
  <si>
    <t>tổ dân phố số 7, Xã Thái Thụy, Tỉnh Hưng Yên, Việt Nam</t>
  </si>
  <si>
    <t>034156016429</t>
  </si>
  <si>
    <t>HOÀNG THỊ MĂNG</t>
  </si>
  <si>
    <t>Thị trấn, Xã Thái Thụy, Tỉnh Hưng Yên, Việt Nam</t>
  </si>
  <si>
    <t>034087000657</t>
  </si>
  <si>
    <t>HỘ KINH DOANH CỬA HÀNG TỰ CHỌN KIM LIÊN</t>
  </si>
  <si>
    <t>Thôn Hệ, Xã Tây Thụy Anh, Tỉnh Hưng Yên, Việt Nam</t>
  </si>
  <si>
    <t>034071007119</t>
  </si>
  <si>
    <t>LÊ TIẾN TUỆ</t>
  </si>
  <si>
    <t>034149000997</t>
  </si>
  <si>
    <t>Trần Thị Xuyên</t>
  </si>
  <si>
    <t>034068004484</t>
  </si>
  <si>
    <t>NGUYỄN ĐÌNH ƯỚC</t>
  </si>
  <si>
    <t>034072002642</t>
  </si>
  <si>
    <t>Nguyễn Tiến Văn</t>
  </si>
  <si>
    <t>Xóm 4 - Thôn Vô Hối Tây,Xã Nam Thuỵ Anh, Tỉnh Hưng Yên, Việt Nam</t>
  </si>
  <si>
    <t>034061000992</t>
  </si>
  <si>
    <t>Nguyễn Đình Long</t>
  </si>
  <si>
    <t>034172022234</t>
  </si>
  <si>
    <t>Nguyễn Thị Son</t>
  </si>
  <si>
    <t>Thôn 3 Hoành Sơn, Xã Bắc Thuỵ Anh, Tỉnh Hưng Yên, Việt Nam</t>
  </si>
  <si>
    <t>034073000513</t>
  </si>
  <si>
    <t>NGÔ VĂN VIÊN</t>
  </si>
  <si>
    <t>034162008098</t>
  </si>
  <si>
    <t>HỘ KINH DOANH VŨ THỊ SEN 1962</t>
  </si>
  <si>
    <t>Thôn Nghĩa Hồng, Xã Đông Thái Ninh, Tỉnh Hưng Yên, Việt Nam</t>
  </si>
  <si>
    <t>034170007767</t>
  </si>
  <si>
    <t>NGUYỄN THỊ NGOAN</t>
  </si>
  <si>
    <t>034067001427</t>
  </si>
  <si>
    <t>Nguyễn Văn Toản</t>
  </si>
  <si>
    <t>Tử Các, Xã Thái Ninh, Tỉnh Hưng Yên, Việt Nam</t>
  </si>
  <si>
    <t>037164000042</t>
  </si>
  <si>
    <t>HỘ KINH DOANH TRẦN THỊ NHUNG - 1964</t>
  </si>
  <si>
    <t>034173004211</t>
  </si>
  <si>
    <t>Đỗ Thị Hoài</t>
  </si>
  <si>
    <t>Thôn Lục Bắc, Xã Đông Thái Ninh, Tỉnh Hưng Yên, Việt Nam</t>
  </si>
  <si>
    <t>034166020010</t>
  </si>
  <si>
    <t>Mai Thị Mơ</t>
  </si>
  <si>
    <t>Thôn Đồng Kinh, Xã Nam Thái Ninh, Tỉnh Hưng Yên, Việt Nam</t>
  </si>
  <si>
    <t>034066016278</t>
  </si>
  <si>
    <t>Phạm Văn Hưng</t>
  </si>
  <si>
    <t>034177008878</t>
  </si>
  <si>
    <t>HỘ KINH DOANH VIỆT THƠ</t>
  </si>
  <si>
    <t>034164020822</t>
  </si>
  <si>
    <t>Lâm Thị Kim Thanh</t>
  </si>
  <si>
    <t>034158003183</t>
  </si>
  <si>
    <t>Nguyễn Thị Mận</t>
  </si>
  <si>
    <t>034179015731</t>
  </si>
  <si>
    <t>Nguyễn Thị Diệp</t>
  </si>
  <si>
    <t>034180012049</t>
  </si>
  <si>
    <t>Nguyễn Thị Thu</t>
  </si>
  <si>
    <t>034182010040</t>
  </si>
  <si>
    <t>HỘ KINH DOANH VŨ THỊ XOAN - 1982</t>
  </si>
  <si>
    <t>Xóm 2, Thôn Duyên Nghĩa, Xã Nam Thuỵ Anh, Tỉnh Hưng Yên, Việt Nam</t>
  </si>
  <si>
    <t>034185009102</t>
  </si>
  <si>
    <t>Vũ Thị Vui</t>
  </si>
  <si>
    <t>034069016516</t>
  </si>
  <si>
    <t>Vũ Xuân Tình</t>
  </si>
  <si>
    <t>Thôn Đồng Thanh, Phường Thái Bình, Tỉnh Hưng Yên, Việt Nam</t>
  </si>
  <si>
    <t>034189012611</t>
  </si>
  <si>
    <t>Vũ Thị Nhiên</t>
  </si>
  <si>
    <t>034173008858</t>
  </si>
  <si>
    <t>Phạm Thị Xuyên</t>
  </si>
  <si>
    <t>034183002092</t>
  </si>
  <si>
    <t>Hoàng Thị Hoa</t>
  </si>
  <si>
    <t>Thôn Tam Đồng, Xã Thái Thụy, Tỉnh Hưng Yên, Việt Nam</t>
  </si>
  <si>
    <t>034097003645</t>
  </si>
  <si>
    <t>Bùi Đức Thao</t>
  </si>
  <si>
    <t>034191009333</t>
  </si>
  <si>
    <t>HỘ KINH DOANH TRẦN THỊ NGÂN 1991</t>
  </si>
  <si>
    <t>034176021779</t>
  </si>
  <si>
    <t>Nguyễn Thị Thuý</t>
  </si>
  <si>
    <t>034183014085</t>
  </si>
  <si>
    <t>Vũ Thị Diện</t>
  </si>
  <si>
    <t>Thôn Trinh Cát - Đông Cơ,Xã Đồng Châu, Tỉnh Hưng Yên, Việt Nam</t>
  </si>
  <si>
    <t>034171012573</t>
  </si>
  <si>
    <t>Đoàn Thị Hợi</t>
  </si>
  <si>
    <t>Nam Cường, Xã Tây Thái Ninh, Tỉnh Hưng Yên, Việt Nam</t>
  </si>
  <si>
    <t>034161004771</t>
  </si>
  <si>
    <t>Bùi Thị Phín</t>
  </si>
  <si>
    <t>034071016715</t>
  </si>
  <si>
    <t>Hoàng Văn Nghinh</t>
  </si>
  <si>
    <t>Thôn Rưỡng Trực 1, Xã Nam Cường, Tỉnh Hưng Yên, Việt Nam</t>
  </si>
  <si>
    <t>034185004044</t>
  </si>
  <si>
    <t>LÊ THị MAI SƯƠNG</t>
  </si>
  <si>
    <t>Thôn Đại Lai 2, , Phường Trần Hưng Đạo, Tỉnh Hưng Yên, Việt Nam</t>
  </si>
  <si>
    <t>034172007114</t>
  </si>
  <si>
    <t>HỘ KINH DOANH NGUYỄN THỊ SINH</t>
  </si>
  <si>
    <t>Thôn Các Đông, Xã Thái Ninh, Tỉnh Hưng Yen, Việt Nam</t>
  </si>
  <si>
    <t>034192012653</t>
  </si>
  <si>
    <t>HỘ KINH DOANH PHẠM  THỊ MAI</t>
  </si>
  <si>
    <t>Căn 103, Tầng 1, Nhà B, Khu nhà ở xã hội, Tổ 6,Phường Trần Hưng Đạo, Tỉnh Hưng Yên, Việt Nam</t>
  </si>
  <si>
    <t>034077009756</t>
  </si>
  <si>
    <t>Lê Đức Nam</t>
  </si>
  <si>
    <t>Thôn Dinh, Phường Thái Bình, Tỉnh Hưng Yên, Việt Nam</t>
  </si>
  <si>
    <t>034084004346</t>
  </si>
  <si>
    <t>Phạm Hữu Tường</t>
  </si>
  <si>
    <t>034182006050</t>
  </si>
  <si>
    <t>HỘ KINH DOANH LẠI THỊ HIỀN</t>
  </si>
  <si>
    <t>Nhà bà Lại Thị Hiền, thôn Thắng Cựu, Phường Trần Hưng Đạo, Tỉnh Hưng Yên, Việt Nam</t>
  </si>
  <si>
    <t>034190005676</t>
  </si>
  <si>
    <t>HỘ KINH DOANH NGUYỄN THỊ NGỌC MAI</t>
  </si>
  <si>
    <t>Xã Hỗng Vũ, Tỉnh Hưng Yên, Việt Nam</t>
  </si>
  <si>
    <t>034155010144</t>
  </si>
  <si>
    <t>BÙI THỊ TY</t>
  </si>
  <si>
    <t>089194000123</t>
  </si>
  <si>
    <t>Nguyễn Thị Thúy An</t>
  </si>
  <si>
    <t>034087004232</t>
  </si>
  <si>
    <t>Đàm Xuân Thảnh</t>
  </si>
  <si>
    <t>030171021155</t>
  </si>
  <si>
    <t>034181005829</t>
  </si>
  <si>
    <t>Nguyễn Thị Miên</t>
  </si>
  <si>
    <t>Số 70, Đường số 1, Khu đô thị Petro Thăng Long, Phường Quang, Phường Trần Hưng Đạo, Tỉnh Hưng Yên, Việt Nam</t>
  </si>
  <si>
    <t>034059002694</t>
  </si>
  <si>
    <t>Nguyễn Bá Đảm</t>
  </si>
  <si>
    <t>034071009236</t>
  </si>
  <si>
    <t>Lê Văn Nhiên</t>
  </si>
  <si>
    <t>034192011813</t>
  </si>
  <si>
    <t>HỘ KINH DOANH PHẠM THỊ HẢI YẾN</t>
  </si>
  <si>
    <t>034091009540</t>
  </si>
  <si>
    <t>Phạm Xuân Hội</t>
  </si>
  <si>
    <t>034075001345</t>
  </si>
  <si>
    <t>HỘ KINH DOANH VŨ THÀNH LẬP</t>
  </si>
  <si>
    <t>034073025372</t>
  </si>
  <si>
    <t>Trần Văn Xuân</t>
  </si>
  <si>
    <t>034197002750</t>
  </si>
  <si>
    <t>HỘ KINH DOANH LÊ THỊ THANH HUYỀN.</t>
  </si>
  <si>
    <t>034184000501</t>
  </si>
  <si>
    <t>HỘ KINH DOANH NGHIÊM THỊ LAN</t>
  </si>
  <si>
    <t>034099000151</t>
  </si>
  <si>
    <t>HỘ KINH DOANH ĐỖ VĂN ĐỨC</t>
  </si>
  <si>
    <t>034185009056</t>
  </si>
  <si>
    <t>Vũ Thị Mỳ</t>
  </si>
  <si>
    <t>034077000567</t>
  </si>
  <si>
    <t>Lê Văn Hướng</t>
  </si>
  <si>
    <t>034073007636</t>
  </si>
  <si>
    <t>HỘ KINH DOANH NGUYỄN VĂN TRƯỜNG</t>
  </si>
  <si>
    <t>Thôn Ry Phúc, Xã Thuỵ Anh, Tỉnh Hưng Yên, Việt Nam</t>
  </si>
  <si>
    <t>034078029110</t>
  </si>
  <si>
    <t>Nguyễn Hữu Văn</t>
  </si>
  <si>
    <t>034166000776</t>
  </si>
  <si>
    <t>HỘ KINH DOANH NGUYỄN THỊ CHẴN</t>
  </si>
  <si>
    <t>034086013729</t>
  </si>
  <si>
    <t>Phạm Đình Quyết</t>
  </si>
  <si>
    <t>034172001211</t>
  </si>
  <si>
    <t>Nguyễn Thị Núi</t>
  </si>
  <si>
    <t>Đường Trần Phú, Phường Trần Hưng Đạo, Tỉnh Hưng Yên, Việt Nam</t>
  </si>
  <si>
    <t>034091015286</t>
  </si>
  <si>
    <t>HỘ KINH DOANH PHẠM VĂN BỔNG</t>
  </si>
  <si>
    <t>Thôn Đông Hòa,Xã Vũ Quý, Tỉnh Hưng Yên, Việt Nam</t>
  </si>
  <si>
    <t>034176000554</t>
  </si>
  <si>
    <t>Nguyễn Thị Miền</t>
  </si>
  <si>
    <t>034070024518</t>
  </si>
  <si>
    <t>Đặng Văn Toản</t>
  </si>
  <si>
    <t>034081004405</t>
  </si>
  <si>
    <t>Nguyễn Văn mạnh</t>
  </si>
  <si>
    <t>034194007173</t>
  </si>
  <si>
    <t>Trần Thị Hiền</t>
  </si>
  <si>
    <t>034071005098</t>
  </si>
  <si>
    <t>Nguyễn Thế Tuyền</t>
  </si>
  <si>
    <t>034184000620</t>
  </si>
  <si>
    <t>Cao thị Ngoãn</t>
  </si>
  <si>
    <t>034074024381</t>
  </si>
  <si>
    <t>Nguyễn Thành Yên</t>
  </si>
  <si>
    <t>Thôn Diệm Dương Đông, Xã Trà Giang, Tỉnh Hưng Yên, Việt Nam</t>
  </si>
  <si>
    <t>034076012132</t>
  </si>
  <si>
    <t>Phạm Duy Thiêm</t>
  </si>
  <si>
    <t>Thôn Nam Sơn,Xã Vũ Quý, Tỉnh Hưng Yên, Việt Nam</t>
  </si>
  <si>
    <t>001188004813</t>
  </si>
  <si>
    <t>HỘ KINH DOANH NGUYỄN THỊ ĐỨC</t>
  </si>
  <si>
    <t>042188018809</t>
  </si>
  <si>
    <t>HỘ KINH DOANH DƯƠNG THỊ THU HOÀI</t>
  </si>
  <si>
    <t>Lô A1.LK01-11, Khu dân cư, Phường Vũ Phúc, Tỉnh Hưng Yên, Việt Nam</t>
  </si>
  <si>
    <t>034190010024</t>
  </si>
  <si>
    <t>HỘ KINH DOANH CỬA HÀNG TỰ CHỌN AN HƯNG</t>
  </si>
  <si>
    <t>Nhà ông Trần Đình Phượng, Thôn Lạc Chính, Phường Trần Lãm, Tỉnh Hưng Yên, Việt Nam</t>
  </si>
  <si>
    <t>034085009332</t>
  </si>
  <si>
    <t>Hộ kinh doanh Hiền Anh Mart</t>
  </si>
  <si>
    <t>Thôn Đoàn Kết, Xã Kiến Xương, Tỉnh Hưng Yên, Việt Nam</t>
  </si>
  <si>
    <t>034190005053</t>
  </si>
  <si>
    <t>034074019144</t>
  </si>
  <si>
    <t>Nguyễn Văn Khanh</t>
  </si>
  <si>
    <t>thôn Hòe Nha, Xã Tây Thuỵ Anh, Tỉnh Hưng Yên, Việt Nam</t>
  </si>
  <si>
    <t>034189006104</t>
  </si>
  <si>
    <t>HOÀI THINH</t>
  </si>
  <si>
    <t>SN 829 đường Trần Nhân Tông, TDP Cộng Hòa, Xã Kiến Xương, Tỉnh Hưng Yên, Việt Nam</t>
  </si>
  <si>
    <t>034058000501</t>
  </si>
  <si>
    <t>Vũ Văn Cải</t>
  </si>
  <si>
    <t>Thôn 3  Xã Hồng Vũ, Tỉnh Hưng Yên, Việt Nam</t>
  </si>
  <si>
    <t>034072008804</t>
  </si>
  <si>
    <t>HỘ KINH DOANH ĐOÀN VĂN THƯƠNG</t>
  </si>
  <si>
    <t>034194000193</t>
  </si>
  <si>
    <t>HỘ KINH DOANH CỬA HÀNG TỰ CHỌN TRANG MI</t>
  </si>
  <si>
    <t>Số 619C, Đường Lý Thái Tổ, Tổ 4, Phường Trần Hưng Đạo, Tỉnh Hưng Yên, Việt Nam</t>
  </si>
  <si>
    <t>034191003666</t>
  </si>
  <si>
    <t>Phí Thị Hiền</t>
  </si>
  <si>
    <t>034176000259</t>
  </si>
  <si>
    <t>Trần Thị Hảo</t>
  </si>
  <si>
    <t>THÔN HỮU VI NAM, Xã Nam Cường , Tỉnh Hưng Yên, Việt Nam</t>
  </si>
  <si>
    <t>034058015978</t>
  </si>
  <si>
    <t>BÙI VIẾT ÁNH</t>
  </si>
  <si>
    <t>X 13 THÔN CAM ĐOÀI, X13 Cam Đoài, Xã Thái Thuỵ, Tỉnh Hưng Yên, Việt Nam</t>
  </si>
  <si>
    <t>034190002376</t>
  </si>
  <si>
    <t>Vũ Thị Hương</t>
  </si>
  <si>
    <t>Thôn Nam Cường, Xã Bắc Thái Ninh, Tỉnh Hưng Yên, Việt Nam</t>
  </si>
  <si>
    <t>034087011292</t>
  </si>
  <si>
    <t>Nguyễn Văn Tuân</t>
  </si>
  <si>
    <t>034189010769</t>
  </si>
  <si>
    <t>HỘ KINH DOANH MINH CHÂU</t>
  </si>
  <si>
    <t>Thôn Giáo Nghĩa, Xã Kiến Xương, Tỉnh Hưng Yên, Việt Nam</t>
  </si>
  <si>
    <t>034060003962</t>
  </si>
  <si>
    <t>Lê Văn Trường</t>
  </si>
  <si>
    <t>Bích Đoài, Xã Thái Ninh, Tỉnh Hưng Yên, Việt Nam</t>
  </si>
  <si>
    <t>034177018291</t>
  </si>
  <si>
    <t>Hộ kinh doanh Đỗ Thị Yến</t>
  </si>
  <si>
    <t>034089006571</t>
  </si>
  <si>
    <t>Nguyễn Văn Khay</t>
  </si>
  <si>
    <t>034080018837</t>
  </si>
  <si>
    <t>HỘ KINH DOANH CỦA HÀNG TẠP HÓA HÀ TÚC</t>
  </si>
  <si>
    <t>034150016149</t>
  </si>
  <si>
    <t>Hà Thị Bé</t>
  </si>
  <si>
    <t>034050011187</t>
  </si>
  <si>
    <t>ĐÀO TRỌNG ĐẠT</t>
  </si>
  <si>
    <t>034179004859</t>
  </si>
  <si>
    <t>Lâm Bùi Thị Khuyên</t>
  </si>
  <si>
    <t>Thôn Vạn Xuân Đông, Xã Đông Thuy Anh, Tỉnh Hưng Yên, Việt Nam</t>
  </si>
  <si>
    <t>034073002193</t>
  </si>
  <si>
    <t>Phạm văn Thuấn</t>
  </si>
  <si>
    <t>034065019648</t>
  </si>
  <si>
    <t>HỘ KINH DOANH PHẠM VĂN TỐ</t>
  </si>
  <si>
    <t>034064004624</t>
  </si>
  <si>
    <t>Hoàng Văn Mạnh</t>
  </si>
  <si>
    <t>034178005916</t>
  </si>
  <si>
    <t>Trần Ánh Nguyệt</t>
  </si>
  <si>
    <t>034072013983</t>
  </si>
  <si>
    <t>NGuyễn Văn Đấu</t>
  </si>
  <si>
    <t>034176003324</t>
  </si>
  <si>
    <t>HỘ KINH DOANH ĐỖ THỊ LEN</t>
  </si>
  <si>
    <t>Thôn Đồng Châu Nội, Xã Đồng Châu, Tỉnh Hưng Yên, Việt Nam</t>
  </si>
  <si>
    <t>034063006371</t>
  </si>
  <si>
    <t>PHẠM VĂN THIỆN</t>
  </si>
  <si>
    <t>034062000367</t>
  </si>
  <si>
    <t>HỘ KINH DOANH TRUNG BẰNG</t>
  </si>
  <si>
    <t>Căn hộ 104, Chung cư Đam San 2, Tổ 7, Phường Trần Hưng Đạo, tỉnh Hưng Yên , Việt Nam</t>
  </si>
  <si>
    <t>034062007587</t>
  </si>
  <si>
    <t>VŨ VĂN ĐOÀN</t>
  </si>
  <si>
    <t>034064006136</t>
  </si>
  <si>
    <t>Đỗ Văn Túy</t>
  </si>
  <si>
    <t>Thôn Hanh Lập,Xã Nam Thuỵ Anh, Tỉnh Hưng Yên, Việt Nam</t>
  </si>
  <si>
    <t>Anh Trường Lãm</t>
  </si>
  <si>
    <t>034075004083</t>
  </si>
  <si>
    <t>Nguyễn Văn Khoa</t>
  </si>
  <si>
    <t>Xã Nam Thuỵ Anh, Tỉnh Hưng Yên, Việt Nam</t>
  </si>
  <si>
    <t>034081022845</t>
  </si>
  <si>
    <t>HỘ KINH DOANH LÊ QUANG DUẨN</t>
  </si>
  <si>
    <t>Thôn An Cố Nam, Xã Đông Thụy Anh, Tỉnh Hưng Yên, Việt Nam</t>
  </si>
  <si>
    <t>034082013959</t>
  </si>
  <si>
    <t>Nguyễn Đình Thấu</t>
  </si>
  <si>
    <t>Tổ DP Hổ Đội 4,Xã Thái Thuỵ, Tỉnh Hưng Yên, Việt Nam</t>
  </si>
  <si>
    <t>tiep thuy</t>
  </si>
  <si>
    <t>034085020752</t>
  </si>
  <si>
    <t>Hộ kinh doanh Nguyễn Văn Toản</t>
  </si>
  <si>
    <t>034086011470</t>
  </si>
  <si>
    <t>Trương Văn Phúc</t>
  </si>
  <si>
    <t>034087020654</t>
  </si>
  <si>
    <t>HỘ KINH DOANH PHẠM VĂN TUYỂN - 1987</t>
  </si>
  <si>
    <t>Chinh Tâm</t>
  </si>
  <si>
    <t>034094012801</t>
  </si>
  <si>
    <t>Trần Minh Quốc</t>
  </si>
  <si>
    <t>CH Dinh Hà</t>
  </si>
  <si>
    <t>TT. Diêm Điền, huyện Thái Thụy</t>
  </si>
  <si>
    <t>034160012018</t>
  </si>
  <si>
    <t>Đỗ Thị Thuận</t>
  </si>
  <si>
    <t>Số nhà 56, Phạm Thế Hiển, tổ 12, P Trần Hưng Đạo, Tỉnh Hưng Yên, Việt Nam</t>
  </si>
  <si>
    <t>Cô Tân</t>
  </si>
  <si>
    <t>034167002046</t>
  </si>
  <si>
    <t>Chị Thuỷ Lan</t>
  </si>
  <si>
    <t>Thái Thủy, Thái Thụy</t>
  </si>
  <si>
    <t>Huệ Thương</t>
  </si>
  <si>
    <t>Thùy Dinh</t>
  </si>
  <si>
    <t>034171019595</t>
  </si>
  <si>
    <t>HỘ KINH DOANH NGUYỄN THỊ THANH NGUYỆT</t>
  </si>
  <si>
    <t>Số 02, Đường Ngô Văn Sở, Tổ 3, Phường Trần Hưng Đạo, Tỉnh Hưng Yên, Việt Nam</t>
  </si>
  <si>
    <t>034175002894</t>
  </si>
  <si>
    <t>HỘ KINH DOANH HOÀNG THỊ TRINH</t>
  </si>
  <si>
    <t>Nhà bà Hoàng Thị Trinh, Thôn Nam Hưng, Phường Trần Lãm, Hưng Yên,Việt Nam</t>
  </si>
  <si>
    <t>Hiền Cường</t>
  </si>
  <si>
    <t>xã Tây Giang, huyện Tiền Hải</t>
  </si>
  <si>
    <t>034176007009</t>
  </si>
  <si>
    <t>Đặng Thị Thìn</t>
  </si>
  <si>
    <t>Lô LK 01-12, 13, đường Doãn Khuê, khu đô thị mới Vũ Phúc, Phường Vũ Phúc, Tỉnh Hưng Yên, Việt Nam</t>
  </si>
  <si>
    <t>034178008210</t>
  </si>
  <si>
    <t>HỘ KINH DOANH NGUYỄN THỊ LIÊN</t>
  </si>
  <si>
    <t>034178013585</t>
  </si>
  <si>
    <t>HỘ KINH DOANH VŨ THỊ GẤM</t>
  </si>
  <si>
    <t>Thôn Diệm Đông,  Xã Trà Giang, Tỉnh Hưng Yên, Việt Nam</t>
  </si>
  <si>
    <t>Chị Tuyến Huê</t>
  </si>
  <si>
    <t>034181005314</t>
  </si>
  <si>
    <t>034182010071</t>
  </si>
  <si>
    <t>QUÁCH THỊ DÂN</t>
  </si>
  <si>
    <t>034183011244</t>
  </si>
  <si>
    <t>Nguyễn Thị Oanh</t>
  </si>
  <si>
    <t>034184009636</t>
  </si>
  <si>
    <t>Lại Thị Đào</t>
  </si>
  <si>
    <t>Chị Thơm Tuấn</t>
  </si>
  <si>
    <t>034184025780</t>
  </si>
  <si>
    <t>HỘ KINH DOANH ĐỖ THỊ YẾN</t>
  </si>
  <si>
    <t>034186006463</t>
  </si>
  <si>
    <t>NGUYỄN THỊ THỦY</t>
  </si>
  <si>
    <t>Kha Lý, Xã Bắc Thuỵ Anh, Tỉnh Hưng Yên, Việt Nam</t>
  </si>
  <si>
    <t>034164006589</t>
  </si>
  <si>
    <t>034191015965</t>
  </si>
  <si>
    <t>034193016752</t>
  </si>
  <si>
    <t>HỘ KINH DOANH NGÔ THỊ HẰNG</t>
  </si>
  <si>
    <t>Thôn Điện Biên, Xã Bình Thanh,Tỉnh Hưng Yên, Việt Nam</t>
  </si>
  <si>
    <t>034195000852</t>
  </si>
  <si>
    <t>HỘ KINH DOANH NGUYỄN THỊ HÀ CHI</t>
  </si>
  <si>
    <t>TDP số 7, Xã Thái Thụy, Tỉnh Hưng Yên, Việt Nam</t>
  </si>
  <si>
    <t>03702337715</t>
  </si>
  <si>
    <t>0901203090</t>
  </si>
  <si>
    <t>CÔNG TY TNHH KINH DOANH VÀ VẬN TẢI TUẤN HẰNG</t>
  </si>
  <si>
    <t>Phố Chợ Mễ, Xã Mễ Sở, Tỉnh Hưng Yên, Việt Nam</t>
  </si>
  <si>
    <t>CÔNG TY TNHH THƯƠNG MẠI DỊCH VỤ ÍCH HẬU</t>
  </si>
  <si>
    <t>Số nhà 11, đường Đỗ Lý Khiêm,Tổ 6, Phường Thái Bình, Tỉnh Hưng Yên</t>
  </si>
  <si>
    <t>BBHOASON</t>
  </si>
  <si>
    <t>CÔNG TY TNHH ĐẦU TƯ THƯƠNG MẠI VÀ SẢN XUẤT HẢI ANH</t>
  </si>
  <si>
    <t>0601285222</t>
  </si>
  <si>
    <t>Số 29A Lương Ngọc Quyến, Phường NamĐịnh, Tỉnh Ninh Bình, Việt Nam</t>
  </si>
  <si>
    <t>BBTHEHP</t>
  </si>
  <si>
    <t>Vũ Văn Thế</t>
  </si>
  <si>
    <t>Thôn Gia Phong, Thành phố Hải Phòng</t>
  </si>
  <si>
    <t>031082011745</t>
  </si>
  <si>
    <t>BBTHO</t>
  </si>
  <si>
    <t>CÔNG TY TNHH THO DIỆN</t>
  </si>
  <si>
    <t>CÔNG TY TNHH SẢN XUẤT VÀ THƯƠNG MẠI BẮC - TRUNG - NAM</t>
  </si>
  <si>
    <t>Số 44, ngõ 966, đường Nguyễn Công Trứ, tổ dân phố Vườn Hoa, Phường Đông Hoa Lư, Ninh Bình</t>
  </si>
  <si>
    <t>BBNAMNB</t>
  </si>
  <si>
    <t>BBHIENNA</t>
  </si>
  <si>
    <t>CÔNG TY TNHH ĐẠT TIẾN NGHỆ AN</t>
  </si>
  <si>
    <t>Xóm 1, Đường Hồng Liễu, Khu đô thị Đại Thành, Phường Vĩnh Hưng, Tỉnh Nghệ An, Việt Nam</t>
  </si>
  <si>
    <t>BBHIEN</t>
  </si>
  <si>
    <t>CÔNG TY TNHH MỘT THÀNH VIÊN HIỂN MINH</t>
  </si>
  <si>
    <t>Số nhà 05, đường 40, tổ 22, Phường Trần Lãm, Tỉnh Hưng Yên, Việt Nam</t>
  </si>
  <si>
    <t>BBLY</t>
  </si>
  <si>
    <t>0901194907</t>
  </si>
  <si>
    <t>CÔNG TY TNHH DỊCH VỤ THƯƠNG MẠI VÀ PHÂN PHỐI MINH ĐỨC</t>
  </si>
  <si>
    <t>Phố Bùi Thị Cúc, Xã Ân Thi, Tỉnh Hưng Yên, Việt Nam</t>
  </si>
  <si>
    <t>BBLANH</t>
  </si>
  <si>
    <t>0901190846</t>
  </si>
  <si>
    <t>CÔNG TY TNHH SANH LÀNH</t>
  </si>
  <si>
    <t>Thôn Đồng Chung, Xã Đại Đồng, Tỉnh Hưng Yên, Việt Nam</t>
  </si>
  <si>
    <t>BBTHEANH</t>
  </si>
  <si>
    <t>CÔNG TY TNHH TỔNG HỢP THƯƠNG MẠI VÀ DỊCH VỤ T&amp;A</t>
  </si>
  <si>
    <t>Nhà bà Hoa, thôn Thái Công Nam, Xã Hồng Vũ, Tỉnh Hưng Yên, Việt Nam</t>
  </si>
  <si>
    <t>BBHAIHD</t>
  </si>
  <si>
    <t>CÔNG TY TNHH MINH HẢI AN DƯƠNG</t>
  </si>
  <si>
    <t>0801450723</t>
  </si>
  <si>
    <t>Thôn 7, Xã Vĩnh Lại, Thành phố Hải Phòng, Việt Nam</t>
  </si>
  <si>
    <t>SUNSILK Dầu Gội Mềm Mượt Diệu Kỳ 600G/8 Chai</t>
  </si>
  <si>
    <t>SUNSILK Dầu Gội óng Mượt Rạng Ngời 600G/8 Chai</t>
  </si>
  <si>
    <t>Toyoda</t>
  </si>
  <si>
    <t>CÔNG ĐOÀN CÔNG TY TNHH TOYODA GOSEI HẢI PHÒNG TẠI THÁI BÌNH</t>
  </si>
  <si>
    <t>Lô F, Khu công nghiệp Tiền Hải, xã Ái Quốc, tỉnh Hưng Yên</t>
  </si>
  <si>
    <t>SUNSILK Dầu Gội óng Mượt Rạng Ngời 6G(10+2)/84 Dây</t>
  </si>
  <si>
    <t>P/S KĐR Ngừa Sâu Răng Vượt Trội 100g/60 ống</t>
  </si>
  <si>
    <t>P/S KĐR Bảo Vệ 123 180g/36 ống</t>
  </si>
  <si>
    <t>BBVINH</t>
  </si>
  <si>
    <t>P/S KĐR Ngừa Sâu Răng Vượt Trội 180g/36 ống</t>
  </si>
  <si>
    <t>CÔNG TY TNHH KINH DOANH THƯƠNG MẠI TỔNG HỢP PHÚC THỊNH PHÁT</t>
  </si>
  <si>
    <t>Xóm8 Thôn Quang Xá, Xã Quang Hưng, Tỉnh Hưng Yên, Việt Nam</t>
  </si>
  <si>
    <t>0901193526</t>
  </si>
  <si>
    <t>CLEAR Dầu Gội 9 Thảo Dược Cổ Truyền 630g(1+1LyGiữNhiệt)/8 Bộ</t>
  </si>
  <si>
    <t>CLEAR Dầu Gội Sạch Gàu Gừng&amp;Hoa Cúc 630g(1+1LyGiữNhiệt)/8 Bộ</t>
  </si>
  <si>
    <t>P/S KĐR Bảo Vệ 123 180g (+ống 30g)/24 bộ</t>
  </si>
  <si>
    <t>P/S BCĐR Than Bạc Tết26 12cây/6 vỉ</t>
  </si>
  <si>
    <t>DOVE DG BIOTIN N.Gãy Rụng Tóc 640G(1+1DXả136G)/8Bộ</t>
  </si>
  <si>
    <t>DOVE DG CERAMIDE P.Hồi Hư Tổn 640G(1+1DXả136G)/8Bộ</t>
  </si>
  <si>
    <t>SUNSILK Dầu Gội Mềm Mượt Diệu Kỳ 850G/8 Chai</t>
  </si>
  <si>
    <t>SUNSILK Dầu Xả óng Mượt Rạng Ngời 6Gx10/84 Dây</t>
  </si>
  <si>
    <t>SUNSILK Dầu Xả óng Mượt Rạng Ngời 600G/8 Chai</t>
  </si>
  <si>
    <t>SUNSILK Dầu Gội óng Mượt Rạng Ngời 850G/8 Chai</t>
  </si>
  <si>
    <t>SUNSILK Dầu Xả Mềm Mượt Diệu Kỳ 600G/8 Chai</t>
  </si>
  <si>
    <t>SUNSILK Dầu Gội Mềm Mượt Diệu Kỳ 6G(10+2)/84 Dây</t>
  </si>
  <si>
    <t>CÔNG TY TNHH HƯNG THỊNH MOTOR</t>
  </si>
  <si>
    <t>Số 05, phố Quang Trung, tổ dân phố số 1, Phường Trần Hưng Đạo, Tỉnh Hưng Yên, Việt Nam</t>
  </si>
  <si>
    <t>HUNGTHINH</t>
  </si>
  <si>
    <t>CÔNG TY CỔ PHẦN DỊCH VỤ LACASA</t>
  </si>
  <si>
    <t>Số nhà 002A đường Hàm Nghi, Phường Lào Cai, Tỉnh Lào Cai, Việt Nam</t>
  </si>
  <si>
    <t>LACASA</t>
  </si>
  <si>
    <t>Thành tiền</t>
  </si>
  <si>
    <t>Số 4 Ngách 26 Ngõ 1 Phố Kẻ Tạnh, Phường Việt Hưng, Hà Nội, Việt Nam</t>
  </si>
  <si>
    <t>CÔNG TY TNHH THƯƠNG MẠI VÀ DỊCH VỤ HUONG BA</t>
  </si>
  <si>
    <t>0111104237</t>
  </si>
  <si>
    <t>BBHUONGBA</t>
  </si>
  <si>
    <t>CÔNG TY TNHH TMDV TUỆ LÂM</t>
  </si>
  <si>
    <t>Số nhà 007, đường Tô Hiệu, Phường Lào Cai, Tỉnh Lào Cai, Việt Nam</t>
  </si>
  <si>
    <t>BBNGOCANH</t>
  </si>
  <si>
    <t>BANBUON</t>
  </si>
  <si>
    <t>Bán Buôn</t>
  </si>
  <si>
    <t xml:space="preserve">SUNLIGHT Nước Rửa Chén Bát Chanh 100 Túi 3kg/ 4 Túi </t>
  </si>
  <si>
    <t>COMFORT NXV Hoa Trắng Thanh Nhã 1.7L/4 Túi</t>
  </si>
  <si>
    <t>KNORR Hạt Nêm Từ Thịt 900g (1+1Đường 300g)/8 bộ</t>
  </si>
  <si>
    <t>CLEAR</t>
  </si>
  <si>
    <t>KHO-PC</t>
  </si>
  <si>
    <t>SUNSILK</t>
  </si>
  <si>
    <t>KNORR</t>
  </si>
  <si>
    <t>P/S KĐR Trắng Răng Than Hoạt Tính &amp; Tre 180g/36 ống</t>
  </si>
  <si>
    <t>P/S</t>
  </si>
  <si>
    <t>CLOSE UP</t>
  </si>
  <si>
    <t>CLEAR MEN</t>
  </si>
  <si>
    <t>06.07.2026</t>
  </si>
  <si>
    <t>B0038982</t>
  </si>
  <si>
    <t>CÔNG TY TNHH SANH LàNH</t>
  </si>
  <si>
    <t>DOVE Dầu Gội CERAMIDE Phục Hồi Hư Tổn 600G/8 Chai</t>
  </si>
  <si>
    <t>DOVE - Dau goi</t>
  </si>
  <si>
    <t>CLOSEUP KĐR Tinh Thể Băng Tuyết 180g/36 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</si>
</sst>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5" x14ac:knownFonts="1">
    <font>
      <sz val="11"/>
      <color theme="1"/>
      <name val="Calibri"/>
      <family val="2"/>
      <scheme val="minor"/>
    </font>
    <font>
      <sz val="14"/>
      <color theme="1"/>
      <name val="Times New Roman"/>
      <family val="2"/>
    </font>
    <font>
      <sz val="14"/>
      <color theme="1"/>
      <name val="Times New Roman"/>
      <family val="2"/>
    </font>
    <font>
      <sz val="11"/>
      <color theme="1"/>
      <name val="Calibri"/>
      <family val="2"/>
      <scheme val="minor"/>
    </font>
    <font>
      <b/>
      <sz val="11"/>
      <color theme="0"/>
      <name val="Calibri"/>
      <family val="2"/>
      <scheme val="minor"/>
    </font>
    <font>
      <b/>
      <sz val="11"/>
      <color theme="1"/>
      <name val="Calibri"/>
      <family val="2"/>
      <scheme val="minor"/>
    </font>
    <font>
      <b/>
      <sz val="10"/>
      <name val="Arial"/>
      <family val="2"/>
    </font>
    <font>
      <sz val="10"/>
      <color rgb="FFFF0000"/>
      <name val="Microsoft Sans Serif"/>
      <family val="2"/>
    </font>
    <font>
      <u/>
      <sz val="11"/>
      <color theme="10"/>
      <name val="Calibri"/>
      <family val="2"/>
      <scheme val="minor"/>
    </font>
    <font>
      <sz val="9"/>
      <color indexed="81"/>
      <name val="Tahoma"/>
      <family val="2"/>
    </font>
    <font>
      <sz val="11"/>
      <color rgb="FFFF0000"/>
      <name val="Calibri"/>
      <family val="2"/>
      <scheme val="minor"/>
    </font>
    <font>
      <sz val="10"/>
      <color rgb="FFFF0000"/>
      <name val="Arial"/>
      <family val="2"/>
    </font>
    <font>
      <b/>
      <sz val="11"/>
      <name val="Calibri"/>
      <family val="2"/>
      <scheme val="minor"/>
    </font>
    <font>
      <sz val="9"/>
      <color theme="1"/>
      <name val="Arial"/>
      <family val="2"/>
    </font>
    <font>
      <sz val="8"/>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E6E6E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6">
    <xf numFmtId="0" fontId="0" fillId="0" borderId="0"/>
    <xf numFmtId="43" fontId="3" fillId="0" borderId="0" applyFont="0" applyFill="0" applyBorder="0" applyAlignment="0" applyProtection="0"/>
    <xf numFmtId="0" fontId="8" fillId="0" borderId="0" applyNumberFormat="0" applyFill="0" applyBorder="0" applyAlignment="0" applyProtection="0"/>
    <xf numFmtId="9" fontId="3" fillId="0" borderId="0" applyFont="0" applyFill="0" applyBorder="0" applyAlignment="0" applyProtection="0"/>
    <xf numFmtId="0" fontId="2" fillId="0" borderId="0"/>
    <xf numFmtId="0" fontId="1" fillId="0" borderId="0"/>
  </cellStyleXfs>
  <cellXfs count="36">
    <xf numFmtId="0" fontId="0" fillId="0" borderId="0" xfId="0"/>
    <xf numFmtId="0" fontId="5" fillId="0" borderId="0" xfId="0" applyFont="1" applyAlignment="1">
      <alignment horizontal="center" vertical="center"/>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49" fontId="6" fillId="3" borderId="1" xfId="0" applyNumberFormat="1" applyFont="1" applyFill="1" applyBorder="1" applyAlignment="1">
      <alignment horizontal="center" vertical="center" wrapText="1"/>
    </xf>
    <xf numFmtId="0" fontId="4" fillId="0" borderId="0" xfId="0" applyFont="1" applyAlignment="1">
      <alignment horizontal="center" vertical="center"/>
    </xf>
    <xf numFmtId="49" fontId="7" fillId="0" borderId="1" xfId="0" applyNumberFormat="1" applyFont="1" applyBorder="1" applyAlignment="1">
      <alignment vertical="center"/>
    </xf>
    <xf numFmtId="49" fontId="7" fillId="0" borderId="1" xfId="0" applyNumberFormat="1" applyFont="1" applyBorder="1" applyAlignment="1">
      <alignment horizontal="left" vertical="center" wrapText="1"/>
    </xf>
    <xf numFmtId="49" fontId="7" fillId="0" borderId="1" xfId="1" applyNumberFormat="1" applyFont="1" applyBorder="1" applyAlignment="1">
      <alignment horizontal="right" vertical="center" wrapText="1"/>
    </xf>
    <xf numFmtId="2" fontId="6" fillId="0" borderId="1" xfId="0" applyNumberFormat="1" applyFont="1" applyBorder="1" applyAlignment="1">
      <alignment horizontal="center" vertical="center" wrapText="1"/>
    </xf>
    <xf numFmtId="2" fontId="6" fillId="2" borderId="1" xfId="0" applyNumberFormat="1" applyFont="1" applyFill="1" applyBorder="1" applyAlignment="1">
      <alignment horizontal="center" vertical="center" wrapText="1"/>
    </xf>
    <xf numFmtId="2" fontId="7" fillId="2" borderId="1" xfId="0" applyNumberFormat="1" applyFont="1" applyFill="1" applyBorder="1" applyAlignment="1">
      <alignment horizontal="right" vertical="center"/>
    </xf>
    <xf numFmtId="2" fontId="0" fillId="0" borderId="0" xfId="0" applyNumberFormat="1"/>
    <xf numFmtId="0" fontId="5" fillId="0" borderId="1" xfId="0" applyFont="1" applyBorder="1" applyAlignment="1">
      <alignment horizontal="center" vertical="center"/>
    </xf>
    <xf numFmtId="0" fontId="0" fillId="0" borderId="1" xfId="0" applyBorder="1" applyAlignment="1">
      <alignment horizontal="center" vertical="center"/>
    </xf>
    <xf numFmtId="0" fontId="10" fillId="0" borderId="1" xfId="0" applyFont="1" applyBorder="1" applyAlignment="1">
      <alignment horizontal="center" vertical="center"/>
    </xf>
    <xf numFmtId="49" fontId="11" fillId="2" borderId="1" xfId="0" applyNumberFormat="1" applyFont="1" applyFill="1" applyBorder="1" applyAlignment="1">
      <alignment horizontal="center" vertical="center" wrapText="1"/>
    </xf>
    <xf numFmtId="0" fontId="10" fillId="0" borderId="0" xfId="0" applyFont="1"/>
    <xf numFmtId="49" fontId="10" fillId="0" borderId="2" xfId="0" applyNumberFormat="1" applyFont="1" applyBorder="1" applyAlignment="1">
      <alignment vertical="center"/>
    </xf>
    <xf numFmtId="49" fontId="9" fillId="0" borderId="1" xfId="2" applyNumberFormat="1" applyFont="1" applyBorder="1" applyAlignment="1">
      <alignment horizontal="left" vertical="center" wrapText="1"/>
    </xf>
    <xf numFmtId="49" fontId="6" fillId="2" borderId="1" xfId="0" applyNumberFormat="1" applyFont="1" applyFill="1" applyBorder="1" applyAlignment="1">
      <alignment horizontal="right" vertical="center" wrapText="1"/>
    </xf>
    <xf numFmtId="1" fontId="7" fillId="0" borderId="1" xfId="1" applyNumberFormat="1" applyFont="1" applyBorder="1" applyAlignment="1">
      <alignment horizontal="right" vertical="center" wrapText="1"/>
    </xf>
    <xf numFmtId="0" fontId="12" fillId="0" borderId="1" xfId="0" applyFont="1" applyBorder="1" applyAlignment="1">
      <alignment horizontal="center" vertical="center"/>
    </xf>
    <xf numFmtId="0" fontId="10" fillId="0" borderId="1" xfId="0" applyFont="1" applyBorder="1"/>
    <xf numFmtId="3" fontId="0" fillId="0" borderId="0" xfId="0" applyNumberFormat="1"/>
    <xf numFmtId="9" fontId="7" fillId="0" borderId="1" xfId="3" applyFont="1" applyBorder="1" applyAlignment="1">
      <alignment horizontal="right" vertical="center"/>
    </xf>
    <xf numFmtId="1" fontId="7" fillId="2" borderId="1" xfId="0" applyNumberFormat="1" applyFont="1" applyFill="1" applyBorder="1" applyAlignment="1">
      <alignment horizontal="right" vertical="center"/>
    </xf>
    <xf numFmtId="0" fontId="13" fillId="4" borderId="1" xfId="0" applyFont="1" applyFill="1" applyBorder="1" applyAlignment="1">
      <alignment vertical="center" wrapText="1"/>
    </xf>
    <xf numFmtId="0" fontId="0" fillId="3" borderId="0" xfId="0" applyFill="1"/>
    <xf numFmtId="0" fontId="0" fillId="0" borderId="0" xfId="0" quotePrefix="1"/>
    <xf numFmtId="0" fontId="0" fillId="0" borderId="0" xfId="0" applyAlignment="1">
      <alignment wrapText="1"/>
    </xf>
    <xf numFmtId="43" fontId="0" fillId="3" borderId="0" xfId="1" applyFont="1" applyFill="1"/>
    <xf numFmtId="164" fontId="6" fillId="2" borderId="1" xfId="1" applyNumberFormat="1" applyFont="1" applyFill="1" applyBorder="1" applyAlignment="1">
      <alignment horizontal="center" vertical="center" wrapText="1"/>
    </xf>
    <xf numFmtId="164" fontId="7" fillId="0" borderId="1" xfId="1" applyNumberFormat="1" applyFont="1" applyBorder="1" applyAlignment="1">
      <alignment horizontal="right" vertical="center"/>
    </xf>
    <xf numFmtId="164" fontId="0" fillId="0" borderId="0" xfId="1" applyNumberFormat="1" applyFont="1"/>
  </cellXfs>
  <cellStyles count="6">
    <cellStyle name="Comma" xfId="1" builtinId="3"/>
    <cellStyle name="Hyperlink" xfId="2" builtinId="8"/>
    <cellStyle name="Normal" xfId="0" builtinId="0"/>
    <cellStyle name="Normal 2" xfId="4" xr:uid="{4B38A9A5-9C40-40C7-946F-FBB76BADFC78}"/>
    <cellStyle name="Normal 3" xfId="5" xr:uid="{D51B12CB-502A-49F5-B8B9-1004D11A8E4C}"/>
    <cellStyle name="Percent" xfId="3" builtinId="5"/>
  </cellStyles>
  <dxfs count="1">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03"/>
  <sheetViews>
    <sheetView tabSelected="1" zoomScale="85" zoomScaleNormal="85" workbookViewId="0">
      <selection activeCell="L21" sqref="L21:L22"/>
    </sheetView>
  </sheetViews>
  <sheetFormatPr defaultRowHeight="14.4" x14ac:dyDescent="0.3"/>
  <cols>
    <col min="1" max="1" width="4" bestFit="1" customWidth="1"/>
    <col min="2" max="2" width="12.44140625" bestFit="1" customWidth="1"/>
    <col min="3" max="3" width="14.33203125" bestFit="1" customWidth="1"/>
    <col min="4" max="4" width="19.5546875" bestFit="1" customWidth="1"/>
    <col min="5" max="5" width="13.6640625" bestFit="1" customWidth="1"/>
    <col min="6" max="6" width="17" customWidth="1"/>
    <col min="7" max="7" width="16.5546875" bestFit="1" customWidth="1"/>
    <col min="8" max="8" width="20.33203125" customWidth="1"/>
    <col min="9" max="9" width="11.33203125" bestFit="1" customWidth="1"/>
    <col min="10" max="10" width="10" bestFit="1" customWidth="1"/>
    <col min="11" max="11" width="11.33203125" bestFit="1" customWidth="1"/>
    <col min="12" max="12" width="12.5546875" bestFit="1" customWidth="1"/>
    <col min="13" max="13" width="64.88671875" bestFit="1" customWidth="1"/>
    <col min="14" max="14" width="10.33203125" bestFit="1" customWidth="1"/>
    <col min="15" max="15" width="10.44140625" customWidth="1"/>
    <col min="17" max="17" width="9.109375" style="13"/>
    <col min="18" max="18" width="9.44140625" style="13" bestFit="1" customWidth="1"/>
    <col min="19" max="19" width="11.88671875" style="13" customWidth="1"/>
    <col min="20" max="20" width="9.109375" style="13"/>
    <col min="21" max="21" width="11.33203125" style="13" customWidth="1"/>
    <col min="22" max="22" width="18.6640625" style="13" customWidth="1"/>
    <col min="23" max="23" width="13.109375" style="35" customWidth="1"/>
    <col min="24" max="24" width="13" style="13" customWidth="1"/>
    <col min="25" max="25" width="17.6640625" style="13" bestFit="1" customWidth="1"/>
    <col min="26" max="26" width="12.6640625" customWidth="1"/>
    <col min="33" max="33" width="18.109375" customWidth="1"/>
    <col min="34" max="34" width="11.6640625" bestFit="1" customWidth="1"/>
    <col min="43" max="44" width="10.109375" bestFit="1" customWidth="1"/>
  </cols>
  <sheetData>
    <row r="1" spans="1:55" s="1" customFormat="1" ht="33.75" customHeight="1" x14ac:dyDescent="0.3">
      <c r="A1" s="1" t="s">
        <v>0</v>
      </c>
      <c r="B1" s="1" t="s">
        <v>1</v>
      </c>
      <c r="C1" s="2" t="s">
        <v>2</v>
      </c>
      <c r="D1" s="3" t="s">
        <v>3</v>
      </c>
      <c r="E1" s="2" t="s">
        <v>4</v>
      </c>
      <c r="F1" s="1" t="s">
        <v>5</v>
      </c>
      <c r="G1" s="1" t="s">
        <v>6</v>
      </c>
      <c r="H1" s="1" t="s">
        <v>41</v>
      </c>
      <c r="I1" s="1" t="s">
        <v>7</v>
      </c>
      <c r="J1" s="1" t="s">
        <v>8</v>
      </c>
      <c r="K1" s="1" t="s">
        <v>9</v>
      </c>
      <c r="L1" s="2" t="s">
        <v>10</v>
      </c>
      <c r="M1" s="3" t="s">
        <v>11</v>
      </c>
      <c r="N1" s="1" t="s">
        <v>12</v>
      </c>
      <c r="O1" s="4" t="s">
        <v>13</v>
      </c>
      <c r="P1" s="4" t="s">
        <v>14</v>
      </c>
      <c r="Q1" s="10" t="s">
        <v>15</v>
      </c>
      <c r="R1" s="11" t="s">
        <v>16</v>
      </c>
      <c r="S1" s="4" t="s">
        <v>43</v>
      </c>
      <c r="T1" s="4" t="s">
        <v>44</v>
      </c>
      <c r="U1" s="11" t="s">
        <v>17</v>
      </c>
      <c r="V1" s="11" t="s">
        <v>18</v>
      </c>
      <c r="W1" s="33" t="s">
        <v>19</v>
      </c>
      <c r="X1" s="11" t="s">
        <v>20</v>
      </c>
      <c r="Y1" s="11" t="s">
        <v>21</v>
      </c>
      <c r="Z1" s="11" t="s">
        <v>22</v>
      </c>
      <c r="AA1" s="21" t="s">
        <v>42</v>
      </c>
      <c r="AB1" s="5" t="s">
        <v>23</v>
      </c>
      <c r="AC1" s="4" t="s">
        <v>24</v>
      </c>
      <c r="AD1" s="4" t="s">
        <v>25</v>
      </c>
      <c r="AE1" s="4" t="s">
        <v>26</v>
      </c>
      <c r="AF1" s="4" t="s">
        <v>27</v>
      </c>
      <c r="AG1" s="4" t="s">
        <v>28</v>
      </c>
      <c r="AH1" s="14" t="s">
        <v>30</v>
      </c>
      <c r="AI1" s="4" t="s">
        <v>31</v>
      </c>
      <c r="AJ1" s="14" t="s">
        <v>32</v>
      </c>
      <c r="AK1" s="4" t="s">
        <v>33</v>
      </c>
      <c r="AL1" s="14" t="s">
        <v>34</v>
      </c>
      <c r="AM1" s="4" t="s">
        <v>35</v>
      </c>
      <c r="AN1" s="14" t="s">
        <v>36</v>
      </c>
      <c r="AO1" s="4" t="s">
        <v>37</v>
      </c>
      <c r="AP1" s="14" t="s">
        <v>38</v>
      </c>
      <c r="AQ1" s="4" t="s">
        <v>39</v>
      </c>
      <c r="AR1" s="14" t="s">
        <v>40</v>
      </c>
      <c r="AS1" s="15" t="s">
        <v>45</v>
      </c>
      <c r="AT1" s="14" t="s">
        <v>46</v>
      </c>
      <c r="AU1" s="14" t="s">
        <v>47</v>
      </c>
      <c r="AV1" s="23" t="s">
        <v>48</v>
      </c>
      <c r="AW1" s="14" t="s">
        <v>49</v>
      </c>
      <c r="AX1" s="14" t="s">
        <v>50</v>
      </c>
      <c r="AY1" s="14" t="s">
        <v>51</v>
      </c>
      <c r="AZ1" s="14" t="s">
        <v>52</v>
      </c>
      <c r="BC1" s="6" t="s">
        <v>29</v>
      </c>
    </row>
    <row r="2" spans="1:55" s="18" customFormat="1" ht="55.5" customHeight="1" x14ac:dyDescent="0.3">
      <c r="A2" s="7"/>
      <c r="B2" s="7"/>
      <c r="C2" t="str">
        <f>+'S3'!AB2</f>
        <v>BBLANH</v>
      </c>
      <c r="D2" t="str">
        <f>+IFERROR(VLOOKUP(F2,Sheet2!F:G,2,0),"")</f>
        <v>CÔNG TY TNHH SANH LÀNH</v>
      </c>
      <c r="E2" t="str">
        <f>+IFERROR(VLOOKUP(C2,'S3'!E:F,2,0),"")</f>
        <v>CÔNG TY TNHH SANH LàNH</v>
      </c>
      <c r="F2" s="30" t="str">
        <f>+IFERROR(VLOOKUP(C2,Sheet2!C:F,4,0),"")</f>
        <v>0901190846</v>
      </c>
      <c r="G2" t="str">
        <f>+IFERROR(VLOOKUP(F2,Sheet2!F:H,3,0),"")</f>
        <v>Thôn Đồng Chung, Xã Đại Đồng, Tỉnh Hưng Yên, Việt Nam</v>
      </c>
      <c r="H2" s="28"/>
      <c r="I2" s="28"/>
      <c r="J2" s="28"/>
      <c r="K2" s="28" t="str">
        <f>+'S3'!AC2</f>
        <v>TM/CK</v>
      </c>
      <c r="L2">
        <f>IF('S3'!J2&lt;&gt;"",'S3'!J2,"")</f>
        <v>68477297</v>
      </c>
      <c r="M2" t="str">
        <f>IF('S3'!K2&lt;&gt;"",'S3'!K2,"")</f>
        <v>CLEAR dầu gội mát lạnh bạc hà 630g/8 chai</v>
      </c>
      <c r="N2" t="str">
        <f>+IFERROR(VLOOKUP(L2,Sheet3!A:C,3,0)," ")</f>
        <v>Chai</v>
      </c>
      <c r="O2" s="19"/>
      <c r="P2" s="19"/>
      <c r="Q2">
        <f>+'S3'!N2</f>
        <v>80</v>
      </c>
      <c r="R2" s="25">
        <f>+'S3'!T2</f>
        <v>136500</v>
      </c>
      <c r="S2" s="9"/>
      <c r="T2" s="9"/>
      <c r="U2">
        <f>+R2*Q2</f>
        <v>10920000</v>
      </c>
      <c r="V2" s="12">
        <f>+'S3'!X2</f>
        <v>94400037.03703703</v>
      </c>
      <c r="W2" s="34">
        <f>+'S3'!Y2</f>
        <v>8</v>
      </c>
      <c r="X2" s="25"/>
      <c r="Y2" s="12">
        <f>IFERROR(W2%*V2,"")</f>
        <v>7552002.9629629627</v>
      </c>
      <c r="Z2" s="27">
        <f>IFERROR(ROUND(V2+Y2,0),"")</f>
        <v>101952040</v>
      </c>
      <c r="AA2" s="22">
        <v>0</v>
      </c>
      <c r="AB2" s="26" t="str">
        <f>+'S3'!Z2</f>
        <v>VND</v>
      </c>
      <c r="AC2" s="9"/>
      <c r="AD2" s="9"/>
      <c r="AE2" s="8"/>
      <c r="AF2" s="8"/>
      <c r="AG2" s="20"/>
      <c r="AH2" s="16"/>
      <c r="AI2" s="17"/>
      <c r="AJ2" s="16"/>
      <c r="AK2" s="17"/>
      <c r="AL2" s="16"/>
      <c r="AM2" s="17"/>
      <c r="AN2" s="16"/>
      <c r="AO2" s="17"/>
      <c r="AP2" s="16"/>
      <c r="AQ2" s="7"/>
      <c r="AR2" s="7"/>
      <c r="AS2" s="24"/>
      <c r="AT2" s="24"/>
      <c r="AU2" s="24"/>
      <c r="AV2" s="24"/>
      <c r="AW2" s="24"/>
      <c r="AX2" s="7"/>
      <c r="AY2" s="24"/>
      <c r="AZ2" s="24"/>
    </row>
    <row r="3" spans="1:55" ht="15.75" customHeight="1" x14ac:dyDescent="0.3">
      <c r="C3" t="str">
        <f>+'S3'!AB3</f>
        <v/>
      </c>
      <c r="D3" t="str">
        <f>+IFERROR(VLOOKUP(F3,Sheet2!F:G,2,0),"")</f>
        <v/>
      </c>
      <c r="E3" t="str">
        <f>+IFERROR(VLOOKUP(C3,'S3'!E:F,2,0),"")</f>
        <v/>
      </c>
      <c r="F3" s="30" t="str">
        <f>+IFERROR(VLOOKUP(C3,Sheet2!C:F,4,0),"")</f>
        <v/>
      </c>
      <c r="G3" t="str">
        <f>+IFERROR(VLOOKUP(F3,Sheet2!F:H,3,0),"")</f>
        <v/>
      </c>
      <c r="K3" s="28" t="str">
        <f>+'S3'!AC3</f>
        <v/>
      </c>
      <c r="L3">
        <f>IF('S3'!J3&lt;&gt;"",'S3'!J3,"")</f>
        <v>68942958</v>
      </c>
      <c r="M3" t="str">
        <f>IF('S3'!K3&lt;&gt;"",'S3'!K3,"")</f>
        <v>CLEAR MEN Dầu Gội Mát Lạnh Bạc Hà 630g/8 Chai</v>
      </c>
      <c r="N3" t="str">
        <f>+IFERROR(VLOOKUP(L3,Sheet3!A:C,3,0)," ")</f>
        <v>CHAI</v>
      </c>
      <c r="O3" s="19"/>
      <c r="P3" s="19"/>
      <c r="Q3">
        <f>+'S3'!N3</f>
        <v>80</v>
      </c>
      <c r="R3" s="25">
        <f>+'S3'!T3</f>
        <v>131318.51851851851</v>
      </c>
      <c r="S3" s="9"/>
      <c r="T3" s="9"/>
      <c r="U3">
        <f t="shared" ref="U3:U51" si="0">+R3*Q3</f>
        <v>10505481.481481481</v>
      </c>
      <c r="V3" s="12" t="str">
        <f>+'S3'!X3</f>
        <v/>
      </c>
      <c r="W3" s="34" t="str">
        <f>+'S3'!Y3</f>
        <v/>
      </c>
      <c r="Y3" s="12" t="str">
        <f t="shared" ref="Y3:Y66" si="1">IFERROR(W3%*V3,"")</f>
        <v/>
      </c>
      <c r="Z3" s="27" t="str">
        <f t="shared" ref="Z3:Z51" si="2">IFERROR(ROUND(V3+Y3,0),"")</f>
        <v/>
      </c>
      <c r="AA3" s="22">
        <v>0</v>
      </c>
      <c r="AB3" s="26" t="str">
        <f>+'S3'!Z3</f>
        <v/>
      </c>
    </row>
    <row r="4" spans="1:55" x14ac:dyDescent="0.3">
      <c r="C4" t="str">
        <f>+'S3'!AB4</f>
        <v/>
      </c>
      <c r="D4" t="str">
        <f>+IFERROR(VLOOKUP(F4,Sheet2!F:G,2,0),"")</f>
        <v/>
      </c>
      <c r="E4" t="str">
        <f>+IFERROR(VLOOKUP(C4,'S3'!E:F,2,0),"")</f>
        <v/>
      </c>
      <c r="F4" s="30" t="str">
        <f>+IFERROR(VLOOKUP(C4,Sheet2!C:F,4,0),"")</f>
        <v/>
      </c>
      <c r="G4" t="str">
        <f>+IFERROR(VLOOKUP(F4,Sheet2!F:H,3,0),"")</f>
        <v/>
      </c>
      <c r="K4" s="28" t="str">
        <f>+'S3'!AC4</f>
        <v/>
      </c>
      <c r="L4">
        <f>IF('S3'!J4&lt;&gt;"",'S3'!J4,"")</f>
        <v>65647167</v>
      </c>
      <c r="M4" t="str">
        <f>IF('S3'!K4&lt;&gt;"",'S3'!K4,"")</f>
        <v>DOVE Dầu Gội CERAMIDE Phục Hồi Hư Tổn 600G/8 Chai</v>
      </c>
      <c r="N4" t="str">
        <f>+IFERROR(VLOOKUP(L4,Sheet3!A:C,3,0)," ")</f>
        <v>chai</v>
      </c>
      <c r="O4" s="19"/>
      <c r="P4" s="19"/>
      <c r="Q4">
        <f>+'S3'!N4</f>
        <v>80</v>
      </c>
      <c r="R4" s="25">
        <f>+'S3'!T4</f>
        <v>117425.92592592591</v>
      </c>
      <c r="S4" s="9"/>
      <c r="T4" s="9"/>
      <c r="U4">
        <f t="shared" si="0"/>
        <v>9394074.0740740728</v>
      </c>
      <c r="V4" s="12" t="str">
        <f>+'S3'!X4</f>
        <v/>
      </c>
      <c r="W4" s="34" t="str">
        <f>+'S3'!Y4</f>
        <v/>
      </c>
      <c r="Y4" s="12" t="str">
        <f t="shared" si="1"/>
        <v/>
      </c>
      <c r="Z4" s="27" t="str">
        <f t="shared" si="2"/>
        <v/>
      </c>
      <c r="AA4" s="22">
        <v>0</v>
      </c>
      <c r="AB4" s="26" t="str">
        <f>+'S3'!Z4</f>
        <v/>
      </c>
    </row>
    <row r="5" spans="1:55" x14ac:dyDescent="0.3">
      <c r="C5" t="str">
        <f>+'S3'!AB5</f>
        <v/>
      </c>
      <c r="D5" t="str">
        <f>+IFERROR(VLOOKUP(F5,Sheet2!F:G,2,0),"")</f>
        <v/>
      </c>
      <c r="E5" t="str">
        <f>+IFERROR(VLOOKUP(C5,'S3'!E:F,2,0),"")</f>
        <v/>
      </c>
      <c r="F5" s="30" t="str">
        <f>+IFERROR(VLOOKUP(C5,Sheet2!C:F,4,0),"")</f>
        <v/>
      </c>
      <c r="G5" t="str">
        <f>+IFERROR(VLOOKUP(F5,Sheet2!F:H,3,0),"")</f>
        <v/>
      </c>
      <c r="K5" s="28" t="str">
        <f>+'S3'!AC5</f>
        <v/>
      </c>
      <c r="L5">
        <f>IF('S3'!J5&lt;&gt;"",'S3'!J5,"")</f>
        <v>65484984</v>
      </c>
      <c r="M5" t="str">
        <f>IF('S3'!K5&lt;&gt;"",'S3'!K5,"")</f>
        <v>SUNSILK Dầu Gội Mềm Mượt Diệu Kỳ 600G/8 Chai</v>
      </c>
      <c r="N5" t="str">
        <f>+IFERROR(VLOOKUP(L5,Sheet3!A:C,3,0)," ")</f>
        <v>chai</v>
      </c>
      <c r="O5" s="19"/>
      <c r="P5" s="19"/>
      <c r="Q5">
        <f>+'S3'!N5</f>
        <v>80</v>
      </c>
      <c r="R5" s="25">
        <f>+'S3'!T5</f>
        <v>104662.96296296295</v>
      </c>
      <c r="S5" s="9"/>
      <c r="T5" s="9"/>
      <c r="U5">
        <f t="shared" si="0"/>
        <v>8373037.0370370355</v>
      </c>
      <c r="V5" s="12" t="str">
        <f>+'S3'!X5</f>
        <v/>
      </c>
      <c r="W5" s="34" t="str">
        <f>+'S3'!Y5</f>
        <v/>
      </c>
      <c r="Y5" s="12" t="str">
        <f t="shared" si="1"/>
        <v/>
      </c>
      <c r="Z5" s="27" t="str">
        <f t="shared" si="2"/>
        <v/>
      </c>
      <c r="AA5" s="22">
        <v>0</v>
      </c>
      <c r="AB5" s="26" t="str">
        <f>+'S3'!Z5</f>
        <v/>
      </c>
    </row>
    <row r="6" spans="1:55" x14ac:dyDescent="0.3">
      <c r="C6" t="str">
        <f>+'S3'!AB6</f>
        <v/>
      </c>
      <c r="D6" t="str">
        <f>+IFERROR(VLOOKUP(F6,Sheet2!F:G,2,0),"")</f>
        <v/>
      </c>
      <c r="E6" t="str">
        <f>+IFERROR(VLOOKUP(C6,'S3'!E:F,2,0),"")</f>
        <v/>
      </c>
      <c r="F6" s="30" t="str">
        <f>+IFERROR(VLOOKUP(C6,Sheet2!C:F,4,0),"")</f>
        <v/>
      </c>
      <c r="G6" t="str">
        <f>+IFERROR(VLOOKUP(F6,Sheet2!F:H,3,0),"")</f>
        <v/>
      </c>
      <c r="K6" s="28" t="str">
        <f>+'S3'!AC6</f>
        <v/>
      </c>
      <c r="L6">
        <f>IF('S3'!J6&lt;&gt;"",'S3'!J6,"")</f>
        <v>68181864</v>
      </c>
      <c r="M6" t="str">
        <f>IF('S3'!K6&lt;&gt;"",'S3'!K6,"")</f>
        <v>CLOSEUP KĐR Tinh Thể Băng Tuyết 180g/36 ống</v>
      </c>
      <c r="N6" t="str">
        <f>+IFERROR(VLOOKUP(L6,Sheet3!A:C,3,0)," ")</f>
        <v>Tuyp</v>
      </c>
      <c r="O6" s="19"/>
      <c r="P6" s="19"/>
      <c r="Q6">
        <f>+'S3'!N6</f>
        <v>360</v>
      </c>
      <c r="R6" s="25">
        <f>+'S3'!T6</f>
        <v>29224.999999999996</v>
      </c>
      <c r="S6" s="9"/>
      <c r="T6" s="9"/>
      <c r="U6">
        <f t="shared" si="0"/>
        <v>10520999.999999998</v>
      </c>
      <c r="V6" s="12" t="str">
        <f>+'S3'!X6</f>
        <v/>
      </c>
      <c r="W6" s="34" t="str">
        <f>+'S3'!Y6</f>
        <v/>
      </c>
      <c r="Y6" s="12" t="str">
        <f t="shared" si="1"/>
        <v/>
      </c>
      <c r="Z6" s="27" t="str">
        <f t="shared" si="2"/>
        <v/>
      </c>
      <c r="AA6" s="22">
        <v>0</v>
      </c>
      <c r="AB6" s="26" t="str">
        <f>+'S3'!Z6</f>
        <v/>
      </c>
    </row>
    <row r="7" spans="1:55" x14ac:dyDescent="0.3">
      <c r="C7" t="str">
        <f>+'S3'!AB7</f>
        <v/>
      </c>
      <c r="D7" t="str">
        <f>+IFERROR(VLOOKUP(F7,Sheet2!F:G,2,0),"")</f>
        <v/>
      </c>
      <c r="E7" t="str">
        <f>+IFERROR(VLOOKUP(C7,'S3'!E:F,2,0),"")</f>
        <v/>
      </c>
      <c r="F7" s="30" t="str">
        <f>+IFERROR(VLOOKUP(C7,Sheet2!C:F,4,0),"")</f>
        <v/>
      </c>
      <c r="G7" t="str">
        <f>+IFERROR(VLOOKUP(F7,Sheet2!F:H,3,0),"")</f>
        <v/>
      </c>
      <c r="K7" s="28" t="str">
        <f>+'S3'!AC7</f>
        <v/>
      </c>
      <c r="L7">
        <f>IF('S3'!J7&lt;&gt;"",'S3'!J7,"")</f>
        <v>62758282</v>
      </c>
      <c r="M7" t="str">
        <f>IF('S3'!K7&lt;&gt;"",'S3'!K7,"")</f>
        <v>CLOSEUP KĐR Bạc Hà Thơm Mát 180g/36 ống</v>
      </c>
      <c r="N7" t="str">
        <f>+IFERROR(VLOOKUP(L7,Sheet3!A:C,3,0)," ")</f>
        <v>ống</v>
      </c>
      <c r="O7" s="19"/>
      <c r="P7" s="19"/>
      <c r="Q7">
        <f>+'S3'!N7</f>
        <v>360</v>
      </c>
      <c r="R7" s="25">
        <f>+'S3'!T7</f>
        <v>29224.999999999996</v>
      </c>
      <c r="S7" s="9"/>
      <c r="T7" s="9"/>
      <c r="U7">
        <f t="shared" si="0"/>
        <v>10520999.999999998</v>
      </c>
      <c r="V7" s="12" t="str">
        <f>+'S3'!X7</f>
        <v/>
      </c>
      <c r="W7" s="34" t="str">
        <f>+'S3'!Y7</f>
        <v/>
      </c>
      <c r="Y7" s="12" t="str">
        <f t="shared" si="1"/>
        <v/>
      </c>
      <c r="Z7" s="27" t="str">
        <f t="shared" si="2"/>
        <v/>
      </c>
      <c r="AA7" s="22">
        <v>0</v>
      </c>
      <c r="AB7" s="26" t="str">
        <f>+'S3'!Z7</f>
        <v/>
      </c>
    </row>
    <row r="8" spans="1:55" x14ac:dyDescent="0.3">
      <c r="C8" t="str">
        <f>+'S3'!AB8</f>
        <v/>
      </c>
      <c r="D8" t="str">
        <f>+IFERROR(VLOOKUP(F8,Sheet2!F:G,2,0),"")</f>
        <v/>
      </c>
      <c r="E8" t="str">
        <f>+IFERROR(VLOOKUP(C8,'S3'!E:F,2,0),"")</f>
        <v/>
      </c>
      <c r="F8" s="30" t="str">
        <f>+IFERROR(VLOOKUP(C8,Sheet2!C:F,4,0),"")</f>
        <v/>
      </c>
      <c r="G8" t="str">
        <f>+IFERROR(VLOOKUP(F8,Sheet2!F:H,3,0),"")</f>
        <v/>
      </c>
      <c r="K8" s="28" t="str">
        <f>+'S3'!AC8</f>
        <v/>
      </c>
      <c r="L8">
        <f>IF('S3'!J8&lt;&gt;"",'S3'!J8,"")</f>
        <v>65591283</v>
      </c>
      <c r="M8" t="str">
        <f>IF('S3'!K8&lt;&gt;"",'S3'!K8,"")</f>
        <v>P/S KĐR Trắng Răng Than Hoạt Tính &amp; Tre 180g/36 ống</v>
      </c>
      <c r="N8" t="str">
        <f>+IFERROR(VLOOKUP(L8,Sheet3!A:C,3,0)," ")</f>
        <v>ống</v>
      </c>
      <c r="O8" s="19"/>
      <c r="P8" s="19"/>
      <c r="Q8">
        <f>+'S3'!N8</f>
        <v>180</v>
      </c>
      <c r="R8" s="25">
        <f>+'S3'!T8</f>
        <v>28206.481481481478</v>
      </c>
      <c r="S8" s="9"/>
      <c r="T8" s="9"/>
      <c r="U8">
        <f t="shared" si="0"/>
        <v>5077166.666666666</v>
      </c>
      <c r="V8" s="12" t="str">
        <f>+'S3'!X8</f>
        <v/>
      </c>
      <c r="W8" s="34" t="str">
        <f>+'S3'!Y8</f>
        <v/>
      </c>
      <c r="Y8" s="12" t="str">
        <f t="shared" si="1"/>
        <v/>
      </c>
      <c r="Z8" s="27" t="str">
        <f t="shared" si="2"/>
        <v/>
      </c>
      <c r="AA8" s="22">
        <v>0</v>
      </c>
      <c r="AB8" s="26" t="str">
        <f>+'S3'!Z8</f>
        <v/>
      </c>
    </row>
    <row r="9" spans="1:55" x14ac:dyDescent="0.3">
      <c r="C9" t="str">
        <f>+'S3'!AB9</f>
        <v/>
      </c>
      <c r="D9" t="str">
        <f>+IFERROR(VLOOKUP(F9,Sheet2!F:G,2,0),"")</f>
        <v/>
      </c>
      <c r="E9" t="str">
        <f>+IFERROR(VLOOKUP(C9,'S3'!E:F,2,0),"")</f>
        <v/>
      </c>
      <c r="F9" s="30" t="str">
        <f>+IFERROR(VLOOKUP(C9,Sheet2!C:F,4,0),"")</f>
        <v/>
      </c>
      <c r="G9" t="str">
        <f>+IFERROR(VLOOKUP(F9,Sheet2!F:H,3,0),"")</f>
        <v/>
      </c>
      <c r="K9" s="28" t="str">
        <f>+'S3'!AC9</f>
        <v/>
      </c>
      <c r="L9">
        <f>IF('S3'!J9&lt;&gt;"",'S3'!J9,"")</f>
        <v>65591284</v>
      </c>
      <c r="M9" t="str">
        <f>IF('S3'!K9&lt;&gt;"",'S3'!K9,"")</f>
        <v>P/S KĐR Ngừa Sâu Răng Vượt Trội 180g/36 ống</v>
      </c>
      <c r="N9" t="str">
        <f>+IFERROR(VLOOKUP(L9,Sheet3!A:C,3,0)," ")</f>
        <v>ống</v>
      </c>
      <c r="Q9">
        <f>+'S3'!N9</f>
        <v>360</v>
      </c>
      <c r="R9" s="25">
        <f>+'S3'!T9</f>
        <v>21953.703703703701</v>
      </c>
      <c r="U9">
        <f t="shared" si="0"/>
        <v>7903333.3333333321</v>
      </c>
      <c r="V9" s="12" t="str">
        <f>+'S3'!X9</f>
        <v/>
      </c>
      <c r="W9" s="34" t="str">
        <f>+'S3'!Y9</f>
        <v/>
      </c>
      <c r="Y9" s="12" t="str">
        <f t="shared" si="1"/>
        <v/>
      </c>
      <c r="Z9" s="27" t="str">
        <f t="shared" si="2"/>
        <v/>
      </c>
      <c r="AA9" s="22">
        <v>0</v>
      </c>
      <c r="AB9" s="26" t="str">
        <f>+'S3'!Z9</f>
        <v/>
      </c>
    </row>
    <row r="10" spans="1:55" x14ac:dyDescent="0.3">
      <c r="C10" t="str">
        <f>+'S3'!AB10</f>
        <v/>
      </c>
      <c r="D10" t="str">
        <f>+IFERROR(VLOOKUP(F10,Sheet2!F:G,2,0),"")</f>
        <v/>
      </c>
      <c r="E10" t="str">
        <f>+IFERROR(VLOOKUP(C10,'S3'!E:F,2,0),"")</f>
        <v/>
      </c>
      <c r="F10" s="30" t="str">
        <f>+IFERROR(VLOOKUP(C10,Sheet2!C:F,4,0),"")</f>
        <v/>
      </c>
      <c r="G10" t="str">
        <f>+IFERROR(VLOOKUP(F10,Sheet2!F:H,3,0),"")</f>
        <v/>
      </c>
      <c r="K10" s="28" t="str">
        <f>+'S3'!AC10</f>
        <v/>
      </c>
      <c r="L10">
        <f>IF('S3'!J10&lt;&gt;"",'S3'!J10,"")</f>
        <v>65591301</v>
      </c>
      <c r="M10" t="str">
        <f>IF('S3'!K10&lt;&gt;"",'S3'!K10,"")</f>
        <v>P/S KĐR Ngừa Sâu Răng Vượt Trội 100g/60 ống</v>
      </c>
      <c r="N10" t="str">
        <f>+IFERROR(VLOOKUP(L10,Sheet3!A:C,3,0)," ")</f>
        <v>ống</v>
      </c>
      <c r="Q10">
        <f>+'S3'!N10</f>
        <v>600</v>
      </c>
      <c r="R10" s="25">
        <f>+'S3'!T10</f>
        <v>13415.740740740739</v>
      </c>
      <c r="U10">
        <f t="shared" si="0"/>
        <v>8049444.4444444431</v>
      </c>
      <c r="V10" s="12" t="str">
        <f>+'S3'!X10</f>
        <v/>
      </c>
      <c r="W10" s="34" t="str">
        <f>+'S3'!Y10</f>
        <v/>
      </c>
      <c r="Y10" s="12" t="str">
        <f t="shared" si="1"/>
        <v/>
      </c>
      <c r="Z10" s="27" t="str">
        <f t="shared" si="2"/>
        <v/>
      </c>
      <c r="AA10" s="22">
        <v>0</v>
      </c>
      <c r="AB10" s="26" t="str">
        <f>+'S3'!Z10</f>
        <v/>
      </c>
    </row>
    <row r="11" spans="1:55" x14ac:dyDescent="0.3">
      <c r="C11" t="str">
        <f>+'S3'!AB11</f>
        <v/>
      </c>
      <c r="D11" t="str">
        <f>+IFERROR(VLOOKUP(F11,Sheet2!F:G,2,0),"")</f>
        <v/>
      </c>
      <c r="E11" t="str">
        <f>+IFERROR(VLOOKUP(C11,'S3'!E:F,2,0),"")</f>
        <v/>
      </c>
      <c r="F11" s="30" t="str">
        <f>+IFERROR(VLOOKUP(C11,Sheet2!C:F,4,0),"")</f>
        <v/>
      </c>
      <c r="G11" t="str">
        <f>+IFERROR(VLOOKUP(F11,Sheet2!F:H,3,0),"")</f>
        <v/>
      </c>
      <c r="K11" s="28" t="str">
        <f>+'S3'!AC11</f>
        <v/>
      </c>
      <c r="L11">
        <f>IF('S3'!J11&lt;&gt;"",'S3'!J11,"")</f>
        <v>65251314</v>
      </c>
      <c r="M11" t="str">
        <f>IF('S3'!K11&lt;&gt;"",'S3'!K11,"")</f>
        <v>KNORR Hạt Nêm Từ Thịt 1.8kg/6 gói</v>
      </c>
      <c r="N11" t="str">
        <f>+IFERROR(VLOOKUP(L11,Sheet3!A:C,3,0)," ")</f>
        <v>gói</v>
      </c>
      <c r="Q11">
        <f>+'S3'!N11</f>
        <v>60</v>
      </c>
      <c r="R11" s="25">
        <f>+'S3'!T11</f>
        <v>77258.333333333328</v>
      </c>
      <c r="U11">
        <f t="shared" si="0"/>
        <v>4635500</v>
      </c>
      <c r="V11" s="12" t="str">
        <f>+'S3'!X11</f>
        <v/>
      </c>
      <c r="W11" s="34" t="str">
        <f>+'S3'!Y11</f>
        <v/>
      </c>
      <c r="Y11" s="12" t="str">
        <f t="shared" si="1"/>
        <v/>
      </c>
      <c r="Z11" s="27" t="str">
        <f t="shared" si="2"/>
        <v/>
      </c>
      <c r="AA11" s="22">
        <v>0</v>
      </c>
      <c r="AB11" s="26" t="str">
        <f>+'S3'!Z11</f>
        <v/>
      </c>
    </row>
    <row r="12" spans="1:55" x14ac:dyDescent="0.3">
      <c r="C12" t="str">
        <f>+'S3'!AB12</f>
        <v/>
      </c>
      <c r="D12" t="str">
        <f>+IFERROR(VLOOKUP(F12,Sheet2!F:G,2,0),"")</f>
        <v/>
      </c>
      <c r="E12" t="str">
        <f>+IFERROR(VLOOKUP(C12,'S3'!E:F,2,0),"")</f>
        <v/>
      </c>
      <c r="F12" s="30" t="str">
        <f>+IFERROR(VLOOKUP(C12,Sheet2!C:F,4,0),"")</f>
        <v/>
      </c>
      <c r="G12" t="str">
        <f>+IFERROR(VLOOKUP(F12,Sheet2!F:H,3,0),"")</f>
        <v/>
      </c>
      <c r="K12" s="28" t="str">
        <f>+'S3'!AC12</f>
        <v/>
      </c>
      <c r="L12">
        <f>IF('S3'!J12&lt;&gt;"",'S3'!J12,"")</f>
        <v>65252542</v>
      </c>
      <c r="M12" t="str">
        <f>IF('S3'!K12&lt;&gt;"",'S3'!K12,"")</f>
        <v>KNORR Hạt Nêm Từ Thịt 900g/8 gói</v>
      </c>
      <c r="N12" t="str">
        <f>+IFERROR(VLOOKUP(L12,Sheet3!A:C,3,0)," ")</f>
        <v>gói</v>
      </c>
      <c r="Q12">
        <f>+'S3'!N12</f>
        <v>160</v>
      </c>
      <c r="R12" s="25">
        <f>+'S3'!T12</f>
        <v>53125</v>
      </c>
      <c r="U12">
        <f t="shared" si="0"/>
        <v>8500000</v>
      </c>
      <c r="V12" s="12" t="str">
        <f>+'S3'!X12</f>
        <v/>
      </c>
      <c r="W12" s="34" t="str">
        <f>+'S3'!Y12</f>
        <v/>
      </c>
      <c r="Y12" s="12" t="str">
        <f t="shared" si="1"/>
        <v/>
      </c>
      <c r="Z12" s="27" t="str">
        <f t="shared" si="2"/>
        <v/>
      </c>
      <c r="AA12" s="22">
        <v>0</v>
      </c>
      <c r="AB12" s="26" t="str">
        <f>+'S3'!Z12</f>
        <v/>
      </c>
    </row>
    <row r="13" spans="1:55" x14ac:dyDescent="0.3">
      <c r="C13" t="str">
        <f>+'S3'!AB13</f>
        <v/>
      </c>
      <c r="D13" t="str">
        <f>+IFERROR(VLOOKUP(F13,Sheet2!F:G,2,0),"")</f>
        <v/>
      </c>
      <c r="E13" t="str">
        <f>+IFERROR(VLOOKUP(C13,'S3'!E:F,2,0),"")</f>
        <v/>
      </c>
      <c r="F13" s="30" t="str">
        <f>+IFERROR(VLOOKUP(C13,Sheet2!C:F,4,0),"")</f>
        <v/>
      </c>
      <c r="G13" t="str">
        <f>+IFERROR(VLOOKUP(F13,Sheet2!F:H,3,0),"")</f>
        <v/>
      </c>
      <c r="K13" s="28" t="str">
        <f>+'S3'!AC13</f>
        <v/>
      </c>
      <c r="L13" t="str">
        <f>IF('S3'!J13&lt;&gt;"",'S3'!J13,"")</f>
        <v/>
      </c>
      <c r="M13" t="str">
        <f>IF('S3'!K13&lt;&gt;"",'S3'!K13,"")</f>
        <v/>
      </c>
      <c r="N13">
        <f>+IFERROR(VLOOKUP(L13,Sheet3!A:C,3,0)," ")</f>
        <v>0</v>
      </c>
      <c r="Q13">
        <f>+'S3'!N13</f>
        <v>0</v>
      </c>
      <c r="R13" s="25">
        <f>+'S3'!T13</f>
        <v>0</v>
      </c>
      <c r="U13">
        <f t="shared" si="0"/>
        <v>0</v>
      </c>
      <c r="V13" s="12" t="str">
        <f>+'S3'!X13</f>
        <v/>
      </c>
      <c r="W13" s="34" t="str">
        <f>+'S3'!Y13</f>
        <v/>
      </c>
      <c r="Y13" s="12" t="str">
        <f t="shared" si="1"/>
        <v/>
      </c>
      <c r="Z13" s="27" t="str">
        <f t="shared" si="2"/>
        <v/>
      </c>
      <c r="AA13" s="22">
        <v>0</v>
      </c>
      <c r="AB13" s="26" t="str">
        <f>+'S3'!Z13</f>
        <v/>
      </c>
    </row>
    <row r="14" spans="1:55" x14ac:dyDescent="0.3">
      <c r="C14" t="str">
        <f>+'S3'!AB14</f>
        <v/>
      </c>
      <c r="D14" t="str">
        <f>+IFERROR(VLOOKUP(F14,Sheet2!F:G,2,0),"")</f>
        <v/>
      </c>
      <c r="E14" t="str">
        <f>+IFERROR(VLOOKUP(C14,'S3'!E:F,2,0),"")</f>
        <v/>
      </c>
      <c r="F14" s="30" t="str">
        <f>+IFERROR(VLOOKUP(C14,Sheet2!C:F,4,0),"")</f>
        <v/>
      </c>
      <c r="G14" t="str">
        <f>+IFERROR(VLOOKUP(F14,Sheet2!F:H,3,0),"")</f>
        <v/>
      </c>
      <c r="K14" s="28" t="str">
        <f>+'S3'!AC14</f>
        <v/>
      </c>
      <c r="L14" t="str">
        <f>IF('S3'!J14&lt;&gt;"",'S3'!J14,"")</f>
        <v/>
      </c>
      <c r="M14" t="str">
        <f>IF('S3'!K14&lt;&gt;"",'S3'!K14,"")</f>
        <v/>
      </c>
      <c r="N14">
        <f>+IFERROR(VLOOKUP(L14,Sheet3!A:C,3,0)," ")</f>
        <v>0</v>
      </c>
      <c r="Q14">
        <f>+'S3'!N14</f>
        <v>0</v>
      </c>
      <c r="R14" s="25">
        <f>+'S3'!T14</f>
        <v>0</v>
      </c>
      <c r="U14">
        <f t="shared" si="0"/>
        <v>0</v>
      </c>
      <c r="V14" s="12" t="str">
        <f>+'S3'!X14</f>
        <v/>
      </c>
      <c r="W14" s="34" t="str">
        <f>+'S3'!Y14</f>
        <v/>
      </c>
      <c r="Y14" s="12" t="str">
        <f t="shared" si="1"/>
        <v/>
      </c>
      <c r="Z14" s="27" t="str">
        <f t="shared" si="2"/>
        <v/>
      </c>
      <c r="AA14" s="22">
        <v>0</v>
      </c>
      <c r="AB14" s="26" t="str">
        <f>+'S3'!Z14</f>
        <v/>
      </c>
    </row>
    <row r="15" spans="1:55" x14ac:dyDescent="0.3">
      <c r="C15" t="str">
        <f>+'S3'!AB15</f>
        <v/>
      </c>
      <c r="D15" t="str">
        <f>+IFERROR(VLOOKUP(F15,Sheet2!F:G,2,0),"")</f>
        <v/>
      </c>
      <c r="E15" t="str">
        <f>+IFERROR(VLOOKUP(C15,'S3'!E:F,2,0),"")</f>
        <v/>
      </c>
      <c r="F15" s="30" t="str">
        <f>+IFERROR(VLOOKUP(C15,Sheet2!C:F,4,0),"")</f>
        <v/>
      </c>
      <c r="G15" t="str">
        <f>+IFERROR(VLOOKUP(F15,Sheet2!F:H,3,0),"")</f>
        <v/>
      </c>
      <c r="K15" s="28" t="str">
        <f>+'S3'!AC15</f>
        <v/>
      </c>
      <c r="L15" t="str">
        <f>IF('S3'!J15&lt;&gt;"",'S3'!J15,"")</f>
        <v/>
      </c>
      <c r="M15" t="str">
        <f>IF('S3'!K15&lt;&gt;"",'S3'!K15,"")</f>
        <v/>
      </c>
      <c r="N15">
        <f>+IFERROR(VLOOKUP(L15,Sheet3!A:C,3,0)," ")</f>
        <v>0</v>
      </c>
      <c r="Q15">
        <f>+'S3'!N15</f>
        <v>0</v>
      </c>
      <c r="R15" s="25">
        <f>+'S3'!T15</f>
        <v>0</v>
      </c>
      <c r="U15">
        <f t="shared" si="0"/>
        <v>0</v>
      </c>
      <c r="V15" s="12" t="str">
        <f>+'S3'!X15</f>
        <v/>
      </c>
      <c r="W15" s="34" t="str">
        <f>+'S3'!Y15</f>
        <v/>
      </c>
      <c r="Y15" s="12" t="str">
        <f t="shared" si="1"/>
        <v/>
      </c>
      <c r="Z15" s="27" t="str">
        <f t="shared" si="2"/>
        <v/>
      </c>
      <c r="AA15" s="22">
        <v>0</v>
      </c>
      <c r="AB15" s="26" t="str">
        <f>+'S3'!Z15</f>
        <v/>
      </c>
    </row>
    <row r="16" spans="1:55" x14ac:dyDescent="0.3">
      <c r="C16" t="str">
        <f>+'S3'!AB16</f>
        <v/>
      </c>
      <c r="D16" t="str">
        <f>+IFERROR(VLOOKUP(F16,Sheet2!F:G,2,0),"")</f>
        <v/>
      </c>
      <c r="E16" t="str">
        <f>+IFERROR(VLOOKUP(C16,'S3'!E:F,2,0),"")</f>
        <v/>
      </c>
      <c r="F16" s="30" t="str">
        <f>+IFERROR(VLOOKUP(C16,Sheet2!C:F,4,0),"")</f>
        <v/>
      </c>
      <c r="G16" t="str">
        <f>+IFERROR(VLOOKUP(F16,Sheet2!F:H,3,0),"")</f>
        <v/>
      </c>
      <c r="K16" s="28" t="str">
        <f>+'S3'!AC16</f>
        <v/>
      </c>
      <c r="L16" t="str">
        <f>IF('S3'!J16&lt;&gt;"",'S3'!J16,"")</f>
        <v/>
      </c>
      <c r="M16" t="str">
        <f>IF('S3'!K16&lt;&gt;"",'S3'!K16,"")</f>
        <v/>
      </c>
      <c r="N16">
        <f>+IFERROR(VLOOKUP(L16,Sheet3!A:C,3,0)," ")</f>
        <v>0</v>
      </c>
      <c r="Q16">
        <f>+'S3'!N16</f>
        <v>0</v>
      </c>
      <c r="R16" s="25">
        <f>+'S3'!T16</f>
        <v>0</v>
      </c>
      <c r="U16">
        <f t="shared" si="0"/>
        <v>0</v>
      </c>
      <c r="V16" s="12" t="str">
        <f>+'S3'!X16</f>
        <v/>
      </c>
      <c r="W16" s="34" t="str">
        <f>+'S3'!Y16</f>
        <v/>
      </c>
      <c r="Y16" s="12" t="str">
        <f t="shared" si="1"/>
        <v/>
      </c>
      <c r="Z16" s="27" t="str">
        <f t="shared" si="2"/>
        <v/>
      </c>
      <c r="AA16" s="22">
        <v>0</v>
      </c>
      <c r="AB16" s="26" t="str">
        <f>+'S3'!Z16</f>
        <v/>
      </c>
    </row>
    <row r="17" spans="3:28" x14ac:dyDescent="0.3">
      <c r="C17" t="str">
        <f>+'S3'!AB17</f>
        <v/>
      </c>
      <c r="D17" t="str">
        <f>+IFERROR(VLOOKUP(F17,Sheet2!F:G,2,0),"")</f>
        <v/>
      </c>
      <c r="E17" t="str">
        <f>+IFERROR(VLOOKUP(C17,'S3'!E:F,2,0),"")</f>
        <v/>
      </c>
      <c r="F17" s="30" t="str">
        <f>+IFERROR(VLOOKUP(C17,Sheet2!C:F,4,0),"")</f>
        <v/>
      </c>
      <c r="G17" t="str">
        <f>+IFERROR(VLOOKUP(F17,Sheet2!F:H,3,0),"")</f>
        <v/>
      </c>
      <c r="K17" s="28" t="str">
        <f>+'S3'!AC17</f>
        <v/>
      </c>
      <c r="L17" t="str">
        <f>IF('S3'!J17&lt;&gt;"",'S3'!J17,"")</f>
        <v/>
      </c>
      <c r="M17" t="str">
        <f>IF('S3'!K17&lt;&gt;"",'S3'!K17,"")</f>
        <v/>
      </c>
      <c r="N17">
        <f>+IFERROR(VLOOKUP(L17,Sheet3!A:C,3,0)," ")</f>
        <v>0</v>
      </c>
      <c r="Q17">
        <f>+'S3'!N17</f>
        <v>0</v>
      </c>
      <c r="R17" s="25">
        <f>+'S3'!T17</f>
        <v>0</v>
      </c>
      <c r="U17">
        <f t="shared" si="0"/>
        <v>0</v>
      </c>
      <c r="V17" s="12" t="str">
        <f>+'S3'!X17</f>
        <v/>
      </c>
      <c r="W17" s="34" t="str">
        <f>+'S3'!Y17</f>
        <v/>
      </c>
      <c r="Y17" s="12" t="str">
        <f t="shared" si="1"/>
        <v/>
      </c>
      <c r="Z17" s="27" t="str">
        <f t="shared" si="2"/>
        <v/>
      </c>
      <c r="AA17" s="22">
        <v>0</v>
      </c>
      <c r="AB17" s="26" t="str">
        <f>+'S3'!Z17</f>
        <v/>
      </c>
    </row>
    <row r="18" spans="3:28" x14ac:dyDescent="0.3">
      <c r="C18" t="str">
        <f>+'S3'!AB18</f>
        <v/>
      </c>
      <c r="D18" t="str">
        <f>+IFERROR(VLOOKUP(F18,Sheet2!F:G,2,0),"")</f>
        <v/>
      </c>
      <c r="E18" t="str">
        <f>+IFERROR(VLOOKUP(C18,'S3'!E:F,2,0),"")</f>
        <v/>
      </c>
      <c r="F18" s="30" t="str">
        <f>+IFERROR(VLOOKUP(C18,Sheet2!C:F,4,0),"")</f>
        <v/>
      </c>
      <c r="G18" t="str">
        <f>+IFERROR(VLOOKUP(F18,Sheet2!F:H,3,0),"")</f>
        <v/>
      </c>
      <c r="K18" s="28" t="str">
        <f>+'S3'!AC18</f>
        <v/>
      </c>
      <c r="L18" t="str">
        <f>IF('S3'!J18&lt;&gt;"",'S3'!J18,"")</f>
        <v/>
      </c>
      <c r="M18" t="str">
        <f>IF('S3'!K18&lt;&gt;"",'S3'!K18,"")</f>
        <v/>
      </c>
      <c r="N18">
        <f>+IFERROR(VLOOKUP(L18,Sheet3!A:C,3,0)," ")</f>
        <v>0</v>
      </c>
      <c r="Q18">
        <f>+'S3'!N18</f>
        <v>0</v>
      </c>
      <c r="R18" s="25">
        <f>+'S3'!T18</f>
        <v>0</v>
      </c>
      <c r="U18">
        <f t="shared" si="0"/>
        <v>0</v>
      </c>
      <c r="V18" s="12" t="str">
        <f>+'S3'!X18</f>
        <v/>
      </c>
      <c r="W18" s="34" t="str">
        <f>+'S3'!Y18</f>
        <v/>
      </c>
      <c r="Y18" s="12" t="str">
        <f t="shared" si="1"/>
        <v/>
      </c>
      <c r="Z18" s="27" t="str">
        <f t="shared" si="2"/>
        <v/>
      </c>
      <c r="AA18" s="22">
        <v>0</v>
      </c>
      <c r="AB18" s="26" t="str">
        <f>+'S3'!Z18</f>
        <v/>
      </c>
    </row>
    <row r="19" spans="3:28" x14ac:dyDescent="0.3">
      <c r="C19" t="str">
        <f>+'S3'!AB19</f>
        <v/>
      </c>
      <c r="D19" t="str">
        <f>+IFERROR(VLOOKUP(F19,Sheet2!F:G,2,0),"")</f>
        <v/>
      </c>
      <c r="E19" t="str">
        <f>+IFERROR(VLOOKUP(C19,'S3'!E:F,2,0),"")</f>
        <v/>
      </c>
      <c r="F19" s="30" t="str">
        <f>+IFERROR(VLOOKUP(C19,Sheet2!C:F,4,0),"")</f>
        <v/>
      </c>
      <c r="G19" t="str">
        <f>+IFERROR(VLOOKUP(F19,Sheet2!F:H,3,0),"")</f>
        <v/>
      </c>
      <c r="K19" s="28" t="str">
        <f>+'S3'!AC19</f>
        <v/>
      </c>
      <c r="L19" t="str">
        <f>IF('S3'!J19&lt;&gt;"",'S3'!J19,"")</f>
        <v/>
      </c>
      <c r="M19" t="str">
        <f>IF('S3'!K19&lt;&gt;"",'S3'!K19,"")</f>
        <v/>
      </c>
      <c r="N19">
        <f>+IFERROR(VLOOKUP(L19,Sheet3!A:C,3,0)," ")</f>
        <v>0</v>
      </c>
      <c r="Q19">
        <f>+'S3'!N19</f>
        <v>0</v>
      </c>
      <c r="R19" s="25">
        <f>+'S3'!T19</f>
        <v>0</v>
      </c>
      <c r="U19">
        <f t="shared" si="0"/>
        <v>0</v>
      </c>
      <c r="V19" s="12" t="str">
        <f>+'S3'!X19</f>
        <v/>
      </c>
      <c r="W19" s="34" t="str">
        <f>+'S3'!Y19</f>
        <v/>
      </c>
      <c r="Y19" s="12" t="str">
        <f t="shared" si="1"/>
        <v/>
      </c>
      <c r="Z19" s="27" t="str">
        <f t="shared" si="2"/>
        <v/>
      </c>
      <c r="AA19" s="22">
        <v>0</v>
      </c>
      <c r="AB19" s="26" t="str">
        <f>+'S3'!Z19</f>
        <v/>
      </c>
    </row>
    <row r="20" spans="3:28" x14ac:dyDescent="0.3">
      <c r="C20" t="str">
        <f>+'S3'!AB20</f>
        <v/>
      </c>
      <c r="D20" t="str">
        <f>+IFERROR(VLOOKUP(F20,Sheet2!F:G,2,0),"")</f>
        <v/>
      </c>
      <c r="E20" t="str">
        <f>+IFERROR(VLOOKUP(C20,'S3'!E:F,2,0),"")</f>
        <v/>
      </c>
      <c r="F20" s="30" t="str">
        <f>+IFERROR(VLOOKUP(C20,Sheet2!C:F,4,0),"")</f>
        <v/>
      </c>
      <c r="G20" t="str">
        <f>+IFERROR(VLOOKUP(F20,Sheet2!F:H,3,0),"")</f>
        <v/>
      </c>
      <c r="K20" s="28" t="str">
        <f>+'S3'!AC20</f>
        <v/>
      </c>
      <c r="L20" t="str">
        <f>IF('S3'!J20&lt;&gt;"",'S3'!J20,"")</f>
        <v/>
      </c>
      <c r="M20" t="str">
        <f>IF('S3'!K20&lt;&gt;"",'S3'!K20,"")</f>
        <v/>
      </c>
      <c r="N20">
        <f>+IFERROR(VLOOKUP(L20,Sheet3!A:C,3,0)," ")</f>
        <v>0</v>
      </c>
      <c r="Q20">
        <f>+'S3'!N20</f>
        <v>0</v>
      </c>
      <c r="R20" s="25">
        <f>+'S3'!T20</f>
        <v>0</v>
      </c>
      <c r="U20">
        <f t="shared" si="0"/>
        <v>0</v>
      </c>
      <c r="V20" s="12" t="str">
        <f>+'S3'!X20</f>
        <v/>
      </c>
      <c r="W20" s="34" t="str">
        <f>+'S3'!Y20</f>
        <v/>
      </c>
      <c r="Y20" s="12" t="str">
        <f t="shared" si="1"/>
        <v/>
      </c>
      <c r="Z20" s="27" t="str">
        <f t="shared" si="2"/>
        <v/>
      </c>
      <c r="AA20" s="22">
        <v>0</v>
      </c>
      <c r="AB20" s="26" t="str">
        <f>+'S3'!Z20</f>
        <v/>
      </c>
    </row>
    <row r="21" spans="3:28" x14ac:dyDescent="0.3">
      <c r="C21" t="str">
        <f>+'S3'!AB21</f>
        <v/>
      </c>
      <c r="D21" t="str">
        <f>+IFERROR(VLOOKUP(F21,Sheet2!F:G,2,0),"")</f>
        <v/>
      </c>
      <c r="E21" t="str">
        <f>+IFERROR(VLOOKUP(C21,'S3'!E:F,2,0),"")</f>
        <v/>
      </c>
      <c r="F21" s="30" t="str">
        <f>+IFERROR(VLOOKUP(C21,Sheet2!C:F,4,0),"")</f>
        <v/>
      </c>
      <c r="G21" t="str">
        <f>+IFERROR(VLOOKUP(F21,Sheet2!F:H,3,0),"")</f>
        <v/>
      </c>
      <c r="K21" s="28" t="str">
        <f>+'S3'!AC21</f>
        <v/>
      </c>
      <c r="L21" t="str">
        <f>IF('S3'!J21&lt;&gt;"",'S3'!J21,"")</f>
        <v/>
      </c>
      <c r="M21" t="str">
        <f>IF('S3'!K21&lt;&gt;"",'S3'!K21,"")</f>
        <v/>
      </c>
      <c r="N21">
        <f>+IFERROR(VLOOKUP(L21,Sheet3!A:C,3,0)," ")</f>
        <v>0</v>
      </c>
      <c r="Q21">
        <f>+'S3'!N21</f>
        <v>0</v>
      </c>
      <c r="R21" s="25">
        <f>+'S3'!T21</f>
        <v>0</v>
      </c>
      <c r="U21">
        <f t="shared" si="0"/>
        <v>0</v>
      </c>
      <c r="V21" s="12" t="str">
        <f>+'S3'!X21</f>
        <v/>
      </c>
      <c r="W21" s="34" t="str">
        <f>+'S3'!Y21</f>
        <v/>
      </c>
      <c r="Y21" s="12" t="str">
        <f t="shared" si="1"/>
        <v/>
      </c>
      <c r="Z21" s="27" t="str">
        <f t="shared" si="2"/>
        <v/>
      </c>
      <c r="AA21" s="22">
        <v>0</v>
      </c>
      <c r="AB21" s="26" t="str">
        <f>+'S3'!Z21</f>
        <v/>
      </c>
    </row>
    <row r="22" spans="3:28" x14ac:dyDescent="0.3">
      <c r="C22" t="str">
        <f>+'S3'!AB22</f>
        <v/>
      </c>
      <c r="D22" t="str">
        <f>+IFERROR(VLOOKUP(F22,Sheet2!F:G,2,0),"")</f>
        <v/>
      </c>
      <c r="E22" t="str">
        <f>+IFERROR(VLOOKUP(C22,'S3'!E:F,2,0),"")</f>
        <v/>
      </c>
      <c r="F22" s="30" t="str">
        <f>+IFERROR(VLOOKUP(C22,Sheet2!C:F,4,0),"")</f>
        <v/>
      </c>
      <c r="G22" t="str">
        <f>+IFERROR(VLOOKUP(F22,Sheet2!F:H,3,0),"")</f>
        <v/>
      </c>
      <c r="K22" s="28" t="str">
        <f>+'S3'!AC22</f>
        <v/>
      </c>
      <c r="L22" t="str">
        <f>IF('S3'!J22&lt;&gt;"",'S3'!J22,"")</f>
        <v/>
      </c>
      <c r="M22" t="str">
        <f>IF('S3'!K22&lt;&gt;"",'S3'!K22,"")</f>
        <v/>
      </c>
      <c r="N22">
        <f>+IFERROR(VLOOKUP(L22,Sheet3!A:C,3,0)," ")</f>
        <v>0</v>
      </c>
      <c r="Q22">
        <f>+'S3'!N22</f>
        <v>0</v>
      </c>
      <c r="R22" s="25">
        <f>+'S3'!T22</f>
        <v>0</v>
      </c>
      <c r="U22">
        <f t="shared" si="0"/>
        <v>0</v>
      </c>
      <c r="V22" s="12" t="str">
        <f>+'S3'!X22</f>
        <v/>
      </c>
      <c r="W22" s="34" t="str">
        <f>+'S3'!Y22</f>
        <v/>
      </c>
      <c r="Y22" s="12" t="str">
        <f t="shared" si="1"/>
        <v/>
      </c>
      <c r="Z22" s="27" t="str">
        <f t="shared" si="2"/>
        <v/>
      </c>
      <c r="AA22" s="22">
        <v>0</v>
      </c>
      <c r="AB22" s="26" t="str">
        <f>+'S3'!Z22</f>
        <v/>
      </c>
    </row>
    <row r="23" spans="3:28" x14ac:dyDescent="0.3">
      <c r="C23" t="str">
        <f>+'S3'!AB23</f>
        <v/>
      </c>
      <c r="D23" t="str">
        <f>+IFERROR(VLOOKUP(F23,Sheet2!F:G,2,0),"")</f>
        <v/>
      </c>
      <c r="E23" t="str">
        <f>+IFERROR(VLOOKUP(C23,'S3'!E:F,2,0),"")</f>
        <v/>
      </c>
      <c r="F23" s="30" t="str">
        <f>+IFERROR(VLOOKUP(C23,Sheet2!C:F,4,0),"")</f>
        <v/>
      </c>
      <c r="G23" t="str">
        <f>+IFERROR(VLOOKUP(F23,Sheet2!F:H,3,0),"")</f>
        <v/>
      </c>
      <c r="K23" s="28" t="str">
        <f>+'S3'!AC23</f>
        <v/>
      </c>
      <c r="L23" t="str">
        <f>IF('S3'!J23&lt;&gt;"",'S3'!J23,"")</f>
        <v/>
      </c>
      <c r="M23" t="str">
        <f>IF('S3'!K23&lt;&gt;"",'S3'!K23,"")</f>
        <v/>
      </c>
      <c r="N23">
        <f>+IFERROR(VLOOKUP(L23,Sheet3!A:C,3,0)," ")</f>
        <v>0</v>
      </c>
      <c r="Q23">
        <f>+'S3'!N23</f>
        <v>0</v>
      </c>
      <c r="R23" s="25">
        <f>+'S3'!T23</f>
        <v>0</v>
      </c>
      <c r="U23">
        <f t="shared" si="0"/>
        <v>0</v>
      </c>
      <c r="V23" s="12" t="str">
        <f>+'S3'!X23</f>
        <v/>
      </c>
      <c r="W23" s="34" t="str">
        <f>+'S3'!Y23</f>
        <v/>
      </c>
      <c r="Y23" s="12" t="str">
        <f t="shared" si="1"/>
        <v/>
      </c>
      <c r="Z23" s="27" t="str">
        <f t="shared" si="2"/>
        <v/>
      </c>
      <c r="AA23" s="22">
        <v>0</v>
      </c>
      <c r="AB23" s="26" t="str">
        <f>+'S3'!Z23</f>
        <v/>
      </c>
    </row>
    <row r="24" spans="3:28" x14ac:dyDescent="0.3">
      <c r="C24" t="str">
        <f>+'S3'!AB24</f>
        <v/>
      </c>
      <c r="D24" t="str">
        <f>+IFERROR(VLOOKUP(F24,Sheet2!F:G,2,0),"")</f>
        <v/>
      </c>
      <c r="E24" t="str">
        <f>+IFERROR(VLOOKUP(C24,'S3'!E:F,2,0),"")</f>
        <v/>
      </c>
      <c r="F24" s="30" t="str">
        <f>+IFERROR(VLOOKUP(C24,Sheet2!C:F,4,0),"")</f>
        <v/>
      </c>
      <c r="G24" t="str">
        <f>+IFERROR(VLOOKUP(F24,Sheet2!F:H,3,0),"")</f>
        <v/>
      </c>
      <c r="K24" s="28" t="str">
        <f>+'S3'!AC24</f>
        <v/>
      </c>
      <c r="L24" t="str">
        <f>IF('S3'!J24&lt;&gt;"",'S3'!J24,"")</f>
        <v/>
      </c>
      <c r="M24" t="str">
        <f>IF('S3'!K24&lt;&gt;"",'S3'!K24,"")</f>
        <v/>
      </c>
      <c r="N24">
        <f>+IFERROR(VLOOKUP(L24,Sheet3!A:C,3,0)," ")</f>
        <v>0</v>
      </c>
      <c r="Q24">
        <f>+'S3'!N24</f>
        <v>0</v>
      </c>
      <c r="R24" s="25">
        <f>+'S3'!T24</f>
        <v>0</v>
      </c>
      <c r="U24">
        <f t="shared" si="0"/>
        <v>0</v>
      </c>
      <c r="V24" s="12" t="str">
        <f>+'S3'!X24</f>
        <v/>
      </c>
      <c r="W24" s="34" t="str">
        <f>+'S3'!Y24</f>
        <v/>
      </c>
      <c r="Y24" s="12" t="str">
        <f t="shared" si="1"/>
        <v/>
      </c>
      <c r="Z24" s="27" t="str">
        <f t="shared" si="2"/>
        <v/>
      </c>
      <c r="AA24" s="22">
        <v>0</v>
      </c>
      <c r="AB24" s="26" t="str">
        <f>+'S3'!Z24</f>
        <v/>
      </c>
    </row>
    <row r="25" spans="3:28" x14ac:dyDescent="0.3">
      <c r="C25" t="str">
        <f>+'S3'!AB25</f>
        <v/>
      </c>
      <c r="D25" t="str">
        <f>+IFERROR(VLOOKUP(F25,Sheet2!F:G,2,0),"")</f>
        <v/>
      </c>
      <c r="E25" t="str">
        <f>+IFERROR(VLOOKUP(C25,'S3'!E:F,2,0),"")</f>
        <v/>
      </c>
      <c r="F25" s="30" t="str">
        <f>+IFERROR(VLOOKUP(C25,Sheet2!C:F,4,0),"")</f>
        <v/>
      </c>
      <c r="G25" t="str">
        <f>+IFERROR(VLOOKUP(F25,Sheet2!F:H,3,0),"")</f>
        <v/>
      </c>
      <c r="K25" s="28" t="str">
        <f>+'S3'!AC25</f>
        <v/>
      </c>
      <c r="L25" t="str">
        <f>IF('S3'!J25&lt;&gt;"",'S3'!J25,"")</f>
        <v/>
      </c>
      <c r="M25" t="str">
        <f>IF('S3'!K25&lt;&gt;"",'S3'!K25,"")</f>
        <v/>
      </c>
      <c r="N25">
        <f>+IFERROR(VLOOKUP(L25,Sheet3!A:C,3,0)," ")</f>
        <v>0</v>
      </c>
      <c r="Q25">
        <f>+'S3'!N25</f>
        <v>0</v>
      </c>
      <c r="R25" s="25">
        <f>+'S3'!T25</f>
        <v>0</v>
      </c>
      <c r="U25">
        <f t="shared" si="0"/>
        <v>0</v>
      </c>
      <c r="V25" s="12" t="str">
        <f>+'S3'!X25</f>
        <v/>
      </c>
      <c r="W25" s="34" t="str">
        <f>+'S3'!Y25</f>
        <v/>
      </c>
      <c r="Y25" s="12" t="str">
        <f t="shared" si="1"/>
        <v/>
      </c>
      <c r="Z25" s="27" t="str">
        <f t="shared" si="2"/>
        <v/>
      </c>
      <c r="AA25" s="22">
        <v>0</v>
      </c>
      <c r="AB25" s="26" t="str">
        <f>+'S3'!Z25</f>
        <v/>
      </c>
    </row>
    <row r="26" spans="3:28" x14ac:dyDescent="0.3">
      <c r="C26" t="str">
        <f>+'S3'!AB26</f>
        <v/>
      </c>
      <c r="D26" t="str">
        <f>+IFERROR(VLOOKUP(F26,Sheet2!F:G,2,0),"")</f>
        <v/>
      </c>
      <c r="E26" t="str">
        <f>+IFERROR(VLOOKUP(C26,'S3'!E:F,2,0),"")</f>
        <v/>
      </c>
      <c r="F26" s="30" t="str">
        <f>+IFERROR(VLOOKUP(C26,Sheet2!C:F,4,0),"")</f>
        <v/>
      </c>
      <c r="G26" t="str">
        <f>+IFERROR(VLOOKUP(F26,Sheet2!F:H,3,0),"")</f>
        <v/>
      </c>
      <c r="K26" s="28" t="str">
        <f>+'S3'!AC26</f>
        <v/>
      </c>
      <c r="L26" t="str">
        <f>IF('S3'!J26&lt;&gt;"",'S3'!J26,"")</f>
        <v/>
      </c>
      <c r="M26" t="str">
        <f>IF('S3'!K26&lt;&gt;"",'S3'!K26,"")</f>
        <v/>
      </c>
      <c r="N26">
        <f>+IFERROR(VLOOKUP(L26,Sheet3!A:C,3,0)," ")</f>
        <v>0</v>
      </c>
      <c r="Q26">
        <f>+'S3'!N26</f>
        <v>0</v>
      </c>
      <c r="R26" s="25">
        <f>+'S3'!T26</f>
        <v>0</v>
      </c>
      <c r="U26">
        <f t="shared" si="0"/>
        <v>0</v>
      </c>
      <c r="V26" s="12" t="str">
        <f>+'S3'!X26</f>
        <v/>
      </c>
      <c r="W26" s="34" t="str">
        <f>+'S3'!Y26</f>
        <v/>
      </c>
      <c r="Y26" s="12" t="str">
        <f t="shared" si="1"/>
        <v/>
      </c>
      <c r="Z26" s="27" t="str">
        <f t="shared" si="2"/>
        <v/>
      </c>
      <c r="AA26" s="22">
        <v>0</v>
      </c>
      <c r="AB26" s="26" t="str">
        <f>+'S3'!Z26</f>
        <v/>
      </c>
    </row>
    <row r="27" spans="3:28" x14ac:dyDescent="0.3">
      <c r="C27" t="str">
        <f>+'S3'!AB27</f>
        <v/>
      </c>
      <c r="D27" t="str">
        <f>+IFERROR(VLOOKUP(F27,Sheet2!F:G,2,0),"")</f>
        <v/>
      </c>
      <c r="E27" t="str">
        <f>+IFERROR(VLOOKUP(C27,'S3'!E:F,2,0),"")</f>
        <v/>
      </c>
      <c r="F27" s="30" t="str">
        <f>+IFERROR(VLOOKUP(C27,Sheet2!C:F,4,0),"")</f>
        <v/>
      </c>
      <c r="G27" t="str">
        <f>+IFERROR(VLOOKUP(F27,Sheet2!F:H,3,0),"")</f>
        <v/>
      </c>
      <c r="K27" s="28" t="str">
        <f>+'S3'!AC27</f>
        <v/>
      </c>
      <c r="L27" t="str">
        <f>IF('S3'!J27&lt;&gt;"",'S3'!J27,"")</f>
        <v/>
      </c>
      <c r="M27" t="str">
        <f>IF('S3'!K27&lt;&gt;"",'S3'!K27,"")</f>
        <v/>
      </c>
      <c r="N27">
        <f>+IFERROR(VLOOKUP(L27,Sheet3!A:C,3,0)," ")</f>
        <v>0</v>
      </c>
      <c r="Q27">
        <f>+'S3'!N27</f>
        <v>0</v>
      </c>
      <c r="R27" s="25">
        <f>+'S3'!T27</f>
        <v>0</v>
      </c>
      <c r="U27">
        <f t="shared" si="0"/>
        <v>0</v>
      </c>
      <c r="V27" s="12" t="str">
        <f>+'S3'!X27</f>
        <v/>
      </c>
      <c r="W27" s="34" t="str">
        <f>+'S3'!Y27</f>
        <v/>
      </c>
      <c r="Y27" s="12" t="str">
        <f t="shared" si="1"/>
        <v/>
      </c>
      <c r="Z27" s="27" t="str">
        <f t="shared" si="2"/>
        <v/>
      </c>
      <c r="AA27" s="22">
        <v>0</v>
      </c>
      <c r="AB27" s="26" t="str">
        <f>+'S3'!Z27</f>
        <v/>
      </c>
    </row>
    <row r="28" spans="3:28" x14ac:dyDescent="0.3">
      <c r="C28" t="str">
        <f>+'S3'!AB28</f>
        <v/>
      </c>
      <c r="D28" t="str">
        <f>+IFERROR(VLOOKUP(F28,Sheet2!F:G,2,0),"")</f>
        <v/>
      </c>
      <c r="E28" t="str">
        <f>+IFERROR(VLOOKUP(C28,'S3'!E:F,2,0),"")</f>
        <v/>
      </c>
      <c r="F28" s="30" t="str">
        <f>+IFERROR(VLOOKUP(C28,Sheet2!C:F,4,0),"")</f>
        <v/>
      </c>
      <c r="G28" t="str">
        <f>+IFERROR(VLOOKUP(F28,Sheet2!F:H,3,0),"")</f>
        <v/>
      </c>
      <c r="K28" s="28" t="str">
        <f>+'S3'!AC28</f>
        <v/>
      </c>
      <c r="L28" t="str">
        <f>IF('S3'!J28&lt;&gt;"",'S3'!J28,"")</f>
        <v/>
      </c>
      <c r="M28" t="str">
        <f>IF('S3'!K28&lt;&gt;"",'S3'!K28,"")</f>
        <v/>
      </c>
      <c r="N28">
        <f>+IFERROR(VLOOKUP(L28,Sheet3!A:C,3,0)," ")</f>
        <v>0</v>
      </c>
      <c r="Q28">
        <f>+'S3'!N28</f>
        <v>0</v>
      </c>
      <c r="R28" s="25">
        <f>+'S3'!T28</f>
        <v>0</v>
      </c>
      <c r="U28">
        <f t="shared" si="0"/>
        <v>0</v>
      </c>
      <c r="V28" s="12" t="str">
        <f>+'S3'!X28</f>
        <v/>
      </c>
      <c r="W28" s="34" t="str">
        <f>+'S3'!Y28</f>
        <v/>
      </c>
      <c r="Y28" s="12" t="str">
        <f t="shared" si="1"/>
        <v/>
      </c>
      <c r="Z28" s="27" t="str">
        <f t="shared" si="2"/>
        <v/>
      </c>
      <c r="AA28" s="22">
        <v>0</v>
      </c>
      <c r="AB28" s="26" t="str">
        <f>+'S3'!Z28</f>
        <v/>
      </c>
    </row>
    <row r="29" spans="3:28" x14ac:dyDescent="0.3">
      <c r="C29" t="str">
        <f>+'S3'!AB29</f>
        <v/>
      </c>
      <c r="D29" t="str">
        <f>+IFERROR(VLOOKUP(F29,Sheet2!F:G,2,0),"")</f>
        <v/>
      </c>
      <c r="E29" t="str">
        <f>+IFERROR(VLOOKUP(C29,'S3'!E:F,2,0),"")</f>
        <v/>
      </c>
      <c r="F29" s="30" t="str">
        <f>+IFERROR(VLOOKUP(C29,Sheet2!C:F,4,0),"")</f>
        <v/>
      </c>
      <c r="G29" t="str">
        <f>+IFERROR(VLOOKUP(F29,Sheet2!F:H,3,0),"")</f>
        <v/>
      </c>
      <c r="K29" s="28" t="str">
        <f>+'S3'!AC29</f>
        <v/>
      </c>
      <c r="L29" t="str">
        <f>IF('S3'!J29&lt;&gt;"",'S3'!J29,"")</f>
        <v/>
      </c>
      <c r="M29" t="str">
        <f>IF('S3'!K29&lt;&gt;"",'S3'!K29,"")</f>
        <v/>
      </c>
      <c r="N29">
        <f>+IFERROR(VLOOKUP(L29,Sheet3!A:C,3,0)," ")</f>
        <v>0</v>
      </c>
      <c r="Q29">
        <f>+'S3'!N29</f>
        <v>0</v>
      </c>
      <c r="R29" s="25">
        <f>+'S3'!T29</f>
        <v>0</v>
      </c>
      <c r="U29">
        <f t="shared" si="0"/>
        <v>0</v>
      </c>
      <c r="V29" s="12" t="str">
        <f>+'S3'!X29</f>
        <v/>
      </c>
      <c r="W29" s="34" t="str">
        <f>+'S3'!Y29</f>
        <v/>
      </c>
      <c r="Y29" s="12" t="str">
        <f t="shared" si="1"/>
        <v/>
      </c>
      <c r="Z29" s="27" t="str">
        <f t="shared" si="2"/>
        <v/>
      </c>
      <c r="AA29" s="22">
        <v>0</v>
      </c>
      <c r="AB29" s="26" t="str">
        <f>+'S3'!Z29</f>
        <v/>
      </c>
    </row>
    <row r="30" spans="3:28" x14ac:dyDescent="0.3">
      <c r="C30" t="str">
        <f>+'S3'!AB30</f>
        <v/>
      </c>
      <c r="D30" t="str">
        <f>+IFERROR(VLOOKUP(F30,Sheet2!F:G,2,0),"")</f>
        <v/>
      </c>
      <c r="E30" t="str">
        <f>+IFERROR(VLOOKUP(C30,'S3'!E:F,2,0),"")</f>
        <v/>
      </c>
      <c r="F30" s="30" t="str">
        <f>+IFERROR(VLOOKUP(C30,Sheet2!C:F,4,0),"")</f>
        <v/>
      </c>
      <c r="G30" t="str">
        <f>+IFERROR(VLOOKUP(F30,Sheet2!F:H,3,0),"")</f>
        <v/>
      </c>
      <c r="K30" s="28" t="str">
        <f>+'S3'!AC30</f>
        <v/>
      </c>
      <c r="L30" t="str">
        <f>IF('S3'!J30&lt;&gt;"",'S3'!J30,"")</f>
        <v/>
      </c>
      <c r="M30" t="str">
        <f>IF('S3'!K30&lt;&gt;"",'S3'!K30,"")</f>
        <v/>
      </c>
      <c r="N30">
        <f>+IFERROR(VLOOKUP(L30,Sheet3!A:C,3,0)," ")</f>
        <v>0</v>
      </c>
      <c r="Q30">
        <f>+'S3'!N30</f>
        <v>0</v>
      </c>
      <c r="R30" s="25">
        <f>+'S3'!T30</f>
        <v>0</v>
      </c>
      <c r="U30">
        <f t="shared" si="0"/>
        <v>0</v>
      </c>
      <c r="V30" s="12" t="str">
        <f>+'S3'!X30</f>
        <v/>
      </c>
      <c r="W30" s="34" t="str">
        <f>+'S3'!Y30</f>
        <v/>
      </c>
      <c r="Y30" s="12" t="str">
        <f t="shared" si="1"/>
        <v/>
      </c>
      <c r="Z30" s="27" t="str">
        <f t="shared" si="2"/>
        <v/>
      </c>
      <c r="AA30" s="22">
        <v>0</v>
      </c>
      <c r="AB30" s="26" t="str">
        <f>+'S3'!Z30</f>
        <v/>
      </c>
    </row>
    <row r="31" spans="3:28" x14ac:dyDescent="0.3">
      <c r="C31" t="str">
        <f>+'S3'!AB31</f>
        <v/>
      </c>
      <c r="D31" t="str">
        <f>+IFERROR(VLOOKUP(F31,Sheet2!F:G,2,0),"")</f>
        <v/>
      </c>
      <c r="E31" t="str">
        <f>+IFERROR(VLOOKUP(C31,'S3'!E:F,2,0),"")</f>
        <v/>
      </c>
      <c r="F31" s="30" t="str">
        <f>+IFERROR(VLOOKUP(C31,Sheet2!C:F,4,0),"")</f>
        <v/>
      </c>
      <c r="G31" t="str">
        <f>+IFERROR(VLOOKUP(F31,Sheet2!F:H,3,0),"")</f>
        <v/>
      </c>
      <c r="K31" s="28" t="str">
        <f>+'S3'!AC31</f>
        <v/>
      </c>
      <c r="L31" t="str">
        <f>IF('S3'!J31&lt;&gt;"",'S3'!J31,"")</f>
        <v/>
      </c>
      <c r="M31" t="str">
        <f>IF('S3'!K31&lt;&gt;"",'S3'!K31,"")</f>
        <v/>
      </c>
      <c r="N31">
        <f>+IFERROR(VLOOKUP(L31,Sheet3!A:C,3,0)," ")</f>
        <v>0</v>
      </c>
      <c r="Q31">
        <f>+'S3'!N31</f>
        <v>0</v>
      </c>
      <c r="R31" s="25">
        <f>+'S3'!T31</f>
        <v>0</v>
      </c>
      <c r="U31">
        <f t="shared" si="0"/>
        <v>0</v>
      </c>
      <c r="V31" s="12" t="str">
        <f>+'S3'!X31</f>
        <v/>
      </c>
      <c r="W31" s="34" t="str">
        <f>+'S3'!Y31</f>
        <v/>
      </c>
      <c r="Y31" s="12" t="str">
        <f t="shared" si="1"/>
        <v/>
      </c>
      <c r="Z31" s="27" t="str">
        <f t="shared" si="2"/>
        <v/>
      </c>
      <c r="AA31" s="22">
        <v>0</v>
      </c>
      <c r="AB31" s="26" t="str">
        <f>+'S3'!Z31</f>
        <v/>
      </c>
    </row>
    <row r="32" spans="3:28" x14ac:dyDescent="0.3">
      <c r="C32" t="str">
        <f>+'S3'!AB32</f>
        <v/>
      </c>
      <c r="D32" t="str">
        <f>+IFERROR(VLOOKUP(F32,Sheet2!F:G,2,0),"")</f>
        <v/>
      </c>
      <c r="E32" t="str">
        <f>+IFERROR(VLOOKUP(C32,'S3'!E:F,2,0),"")</f>
        <v/>
      </c>
      <c r="F32" s="30" t="str">
        <f>+IFERROR(VLOOKUP(C32,Sheet2!C:F,4,0),"")</f>
        <v/>
      </c>
      <c r="G32" t="str">
        <f>+IFERROR(VLOOKUP(F32,Sheet2!F:H,3,0),"")</f>
        <v/>
      </c>
      <c r="K32" s="28" t="str">
        <f>+'S3'!AC32</f>
        <v/>
      </c>
      <c r="L32" t="str">
        <f>IF('S3'!J32&lt;&gt;"",'S3'!J32,"")</f>
        <v/>
      </c>
      <c r="M32" t="str">
        <f>IF('S3'!K32&lt;&gt;"",'S3'!K32,"")</f>
        <v/>
      </c>
      <c r="N32">
        <f>+IFERROR(VLOOKUP(L32,Sheet3!A:C,3,0)," ")</f>
        <v>0</v>
      </c>
      <c r="Q32">
        <f>+'S3'!N32</f>
        <v>0</v>
      </c>
      <c r="R32" s="25">
        <f>+'S3'!T32</f>
        <v>0</v>
      </c>
      <c r="U32">
        <f t="shared" si="0"/>
        <v>0</v>
      </c>
      <c r="V32" s="12" t="str">
        <f>+'S3'!X32</f>
        <v/>
      </c>
      <c r="W32" s="34" t="str">
        <f>+'S3'!Y32</f>
        <v/>
      </c>
      <c r="Y32" s="12" t="str">
        <f t="shared" si="1"/>
        <v/>
      </c>
      <c r="Z32" s="27" t="str">
        <f t="shared" si="2"/>
        <v/>
      </c>
      <c r="AA32" s="22">
        <v>0</v>
      </c>
      <c r="AB32" s="26" t="str">
        <f>+'S3'!Z32</f>
        <v/>
      </c>
    </row>
    <row r="33" spans="3:28" x14ac:dyDescent="0.3">
      <c r="C33" t="str">
        <f>+'S3'!AB33</f>
        <v/>
      </c>
      <c r="D33" t="str">
        <f>+IFERROR(VLOOKUP(F33,Sheet2!F:G,2,0),"")</f>
        <v/>
      </c>
      <c r="E33" t="str">
        <f>+IFERROR(VLOOKUP(C33,'S3'!E:F,2,0),"")</f>
        <v/>
      </c>
      <c r="F33" s="30" t="str">
        <f>+IFERROR(VLOOKUP(C33,Sheet2!C:F,4,0),"")</f>
        <v/>
      </c>
      <c r="G33" t="str">
        <f>+IFERROR(VLOOKUP(F33,Sheet2!F:H,3,0),"")</f>
        <v/>
      </c>
      <c r="K33" s="28" t="str">
        <f>+'S3'!AC33</f>
        <v/>
      </c>
      <c r="L33" t="str">
        <f>IF('S3'!J33&lt;&gt;"",'S3'!J33,"")</f>
        <v/>
      </c>
      <c r="M33" t="str">
        <f>IF('S3'!K33&lt;&gt;"",'S3'!K33,"")</f>
        <v/>
      </c>
      <c r="N33">
        <f>+IFERROR(VLOOKUP(L33,Sheet3!A:C,3,0)," ")</f>
        <v>0</v>
      </c>
      <c r="Q33">
        <f>+'S3'!N33</f>
        <v>0</v>
      </c>
      <c r="R33" s="25">
        <f>+'S3'!T33</f>
        <v>0</v>
      </c>
      <c r="U33">
        <f t="shared" si="0"/>
        <v>0</v>
      </c>
      <c r="V33" s="12" t="str">
        <f>+'S3'!X33</f>
        <v/>
      </c>
      <c r="W33" s="34" t="str">
        <f>+'S3'!Y33</f>
        <v/>
      </c>
      <c r="Y33" s="12" t="str">
        <f t="shared" si="1"/>
        <v/>
      </c>
      <c r="Z33" s="27" t="str">
        <f t="shared" si="2"/>
        <v/>
      </c>
      <c r="AA33" s="22">
        <v>0</v>
      </c>
      <c r="AB33" s="26" t="str">
        <f>+'S3'!Z33</f>
        <v/>
      </c>
    </row>
    <row r="34" spans="3:28" x14ac:dyDescent="0.3">
      <c r="C34" t="str">
        <f>+'S3'!AB34</f>
        <v/>
      </c>
      <c r="D34" t="str">
        <f>+IFERROR(VLOOKUP(F34,Sheet2!F:G,2,0),"")</f>
        <v/>
      </c>
      <c r="E34" t="str">
        <f>+IFERROR(VLOOKUP(C34,'S3'!E:F,2,0),"")</f>
        <v/>
      </c>
      <c r="F34" s="30" t="str">
        <f>+IFERROR(VLOOKUP(C34,Sheet2!C:F,4,0),"")</f>
        <v/>
      </c>
      <c r="G34" t="str">
        <f>+IFERROR(VLOOKUP(F34,Sheet2!F:H,3,0),"")</f>
        <v/>
      </c>
      <c r="K34" s="28" t="str">
        <f>+'S3'!AC34</f>
        <v/>
      </c>
      <c r="L34" t="str">
        <f>IF('S3'!J34&lt;&gt;"",'S3'!J34,"")</f>
        <v/>
      </c>
      <c r="M34" t="str">
        <f>IF('S3'!K34&lt;&gt;"",'S3'!K34,"")</f>
        <v/>
      </c>
      <c r="N34">
        <f>+IFERROR(VLOOKUP(L34,Sheet3!A:C,3,0)," ")</f>
        <v>0</v>
      </c>
      <c r="Q34">
        <f>+'S3'!N34</f>
        <v>0</v>
      </c>
      <c r="R34" s="25">
        <f>+'S3'!T34</f>
        <v>0</v>
      </c>
      <c r="U34">
        <f t="shared" si="0"/>
        <v>0</v>
      </c>
      <c r="V34" s="12" t="str">
        <f>+'S3'!X34</f>
        <v/>
      </c>
      <c r="W34" s="34" t="str">
        <f>+'S3'!Y34</f>
        <v/>
      </c>
      <c r="Y34" s="12" t="str">
        <f t="shared" si="1"/>
        <v/>
      </c>
      <c r="Z34" s="27" t="str">
        <f t="shared" si="2"/>
        <v/>
      </c>
      <c r="AA34" s="22">
        <v>0</v>
      </c>
      <c r="AB34" s="26" t="str">
        <f>+'S3'!Z34</f>
        <v/>
      </c>
    </row>
    <row r="35" spans="3:28" x14ac:dyDescent="0.3">
      <c r="C35" t="str">
        <f>+'S3'!AB35</f>
        <v/>
      </c>
      <c r="D35" t="str">
        <f>+IFERROR(VLOOKUP(F35,Sheet2!F:G,2,0),"")</f>
        <v/>
      </c>
      <c r="E35" t="str">
        <f>+IFERROR(VLOOKUP(C35,'S3'!E:F,2,0),"")</f>
        <v/>
      </c>
      <c r="F35" s="30" t="str">
        <f>+IFERROR(VLOOKUP(C35,Sheet2!C:F,4,0),"")</f>
        <v/>
      </c>
      <c r="G35" t="str">
        <f>+IFERROR(VLOOKUP(F35,Sheet2!F:H,3,0),"")</f>
        <v/>
      </c>
      <c r="K35" s="28" t="str">
        <f>+'S3'!AC35</f>
        <v/>
      </c>
      <c r="L35" t="str">
        <f>IF('S3'!J35&lt;&gt;"",'S3'!J35,"")</f>
        <v/>
      </c>
      <c r="M35" t="str">
        <f>IF('S3'!K35&lt;&gt;"",'S3'!K35,"")</f>
        <v/>
      </c>
      <c r="N35">
        <f>+IFERROR(VLOOKUP(L35,Sheet3!A:C,3,0)," ")</f>
        <v>0</v>
      </c>
      <c r="Q35">
        <f>+'S3'!N35</f>
        <v>0</v>
      </c>
      <c r="R35" s="25">
        <f>+'S3'!T35</f>
        <v>0</v>
      </c>
      <c r="U35">
        <f t="shared" si="0"/>
        <v>0</v>
      </c>
      <c r="V35" s="12" t="str">
        <f>+'S3'!X35</f>
        <v/>
      </c>
      <c r="W35" s="34" t="str">
        <f>+'S3'!Y35</f>
        <v/>
      </c>
      <c r="Y35" s="12" t="str">
        <f t="shared" si="1"/>
        <v/>
      </c>
      <c r="Z35" s="27" t="str">
        <f t="shared" si="2"/>
        <v/>
      </c>
      <c r="AA35" s="22">
        <v>0</v>
      </c>
      <c r="AB35" s="26" t="str">
        <f>+'S3'!Z35</f>
        <v/>
      </c>
    </row>
    <row r="36" spans="3:28" x14ac:dyDescent="0.3">
      <c r="C36" t="str">
        <f>+'S3'!AB36</f>
        <v/>
      </c>
      <c r="D36" t="str">
        <f>+IFERROR(VLOOKUP(F36,Sheet2!F:G,2,0),"")</f>
        <v/>
      </c>
      <c r="E36" t="str">
        <f>+IFERROR(VLOOKUP(C36,'S3'!E:F,2,0),"")</f>
        <v/>
      </c>
      <c r="F36" s="30" t="str">
        <f>+IFERROR(VLOOKUP(C36,Sheet2!C:F,4,0),"")</f>
        <v/>
      </c>
      <c r="G36" t="str">
        <f>+IFERROR(VLOOKUP(F36,Sheet2!F:H,3,0),"")</f>
        <v/>
      </c>
      <c r="K36" s="28" t="str">
        <f>+'S3'!AC36</f>
        <v/>
      </c>
      <c r="L36" t="str">
        <f>IF('S3'!J36&lt;&gt;"",'S3'!J36,"")</f>
        <v/>
      </c>
      <c r="M36" t="str">
        <f>IF('S3'!K36&lt;&gt;"",'S3'!K36,"")</f>
        <v/>
      </c>
      <c r="N36">
        <f>+IFERROR(VLOOKUP(L36,Sheet3!A:C,3,0)," ")</f>
        <v>0</v>
      </c>
      <c r="Q36">
        <f>+'S3'!N36</f>
        <v>0</v>
      </c>
      <c r="R36" s="25">
        <f>+'S3'!T36</f>
        <v>0</v>
      </c>
      <c r="U36">
        <f t="shared" si="0"/>
        <v>0</v>
      </c>
      <c r="V36" s="12" t="str">
        <f>+'S3'!X36</f>
        <v/>
      </c>
      <c r="W36" s="34" t="str">
        <f>+'S3'!Y36</f>
        <v/>
      </c>
      <c r="Y36" s="12" t="str">
        <f t="shared" si="1"/>
        <v/>
      </c>
      <c r="Z36" s="27" t="str">
        <f t="shared" si="2"/>
        <v/>
      </c>
      <c r="AA36" s="22">
        <v>0</v>
      </c>
      <c r="AB36" s="26" t="str">
        <f>+'S3'!Z36</f>
        <v/>
      </c>
    </row>
    <row r="37" spans="3:28" x14ac:dyDescent="0.3">
      <c r="C37" t="str">
        <f>+'S3'!AB37</f>
        <v/>
      </c>
      <c r="D37" t="str">
        <f>+IFERROR(VLOOKUP(F37,Sheet2!F:G,2,0),"")</f>
        <v/>
      </c>
      <c r="E37" t="str">
        <f>+IFERROR(VLOOKUP(C37,'S3'!E:F,2,0),"")</f>
        <v/>
      </c>
      <c r="F37" s="30" t="str">
        <f>+IFERROR(VLOOKUP(C37,Sheet2!C:F,4,0),"")</f>
        <v/>
      </c>
      <c r="G37" t="str">
        <f>+IFERROR(VLOOKUP(F37,Sheet2!F:H,3,0),"")</f>
        <v/>
      </c>
      <c r="K37" s="28" t="str">
        <f>+'S3'!AC37</f>
        <v/>
      </c>
      <c r="L37" t="str">
        <f>IF('S3'!J37&lt;&gt;"",'S3'!J37,"")</f>
        <v/>
      </c>
      <c r="M37" t="str">
        <f>IF('S3'!K37&lt;&gt;"",'S3'!K37,"")</f>
        <v/>
      </c>
      <c r="N37">
        <f>+IFERROR(VLOOKUP(L37,Sheet3!A:C,3,0)," ")</f>
        <v>0</v>
      </c>
      <c r="Q37">
        <f>+'S3'!N37</f>
        <v>0</v>
      </c>
      <c r="R37" s="25">
        <f>+'S3'!T37</f>
        <v>0</v>
      </c>
      <c r="U37">
        <f t="shared" si="0"/>
        <v>0</v>
      </c>
      <c r="V37" s="12" t="str">
        <f>+'S3'!X37</f>
        <v/>
      </c>
      <c r="W37" s="34" t="str">
        <f>+'S3'!Y37</f>
        <v/>
      </c>
      <c r="Y37" s="12" t="str">
        <f t="shared" si="1"/>
        <v/>
      </c>
      <c r="Z37" s="27" t="str">
        <f t="shared" si="2"/>
        <v/>
      </c>
      <c r="AA37" s="22">
        <v>0</v>
      </c>
      <c r="AB37" s="26" t="str">
        <f>+'S3'!Z37</f>
        <v/>
      </c>
    </row>
    <row r="38" spans="3:28" x14ac:dyDescent="0.3">
      <c r="C38" t="str">
        <f>+'S3'!AB38</f>
        <v/>
      </c>
      <c r="D38" t="str">
        <f>+IFERROR(VLOOKUP(F38,Sheet2!F:G,2,0),"")</f>
        <v/>
      </c>
      <c r="E38" t="str">
        <f>+IFERROR(VLOOKUP(C38,'S3'!E:F,2,0),"")</f>
        <v/>
      </c>
      <c r="F38" s="30" t="str">
        <f>+IFERROR(VLOOKUP(C38,Sheet2!C:F,4,0),"")</f>
        <v/>
      </c>
      <c r="G38" t="str">
        <f>+IFERROR(VLOOKUP(F38,Sheet2!F:H,3,0),"")</f>
        <v/>
      </c>
      <c r="K38" s="28" t="str">
        <f>+'S3'!AC38</f>
        <v/>
      </c>
      <c r="L38" t="str">
        <f>IF('S3'!J38&lt;&gt;"",'S3'!J38,"")</f>
        <v/>
      </c>
      <c r="M38" t="str">
        <f>IF('S3'!K38&lt;&gt;"",'S3'!K38,"")</f>
        <v/>
      </c>
      <c r="N38">
        <f>+IFERROR(VLOOKUP(L38,Sheet3!A:C,3,0)," ")</f>
        <v>0</v>
      </c>
      <c r="Q38">
        <f>+'S3'!N38</f>
        <v>0</v>
      </c>
      <c r="R38" s="25">
        <f>+'S3'!T38</f>
        <v>0</v>
      </c>
      <c r="U38">
        <f t="shared" si="0"/>
        <v>0</v>
      </c>
      <c r="V38" s="12" t="str">
        <f>+'S3'!X38</f>
        <v/>
      </c>
      <c r="W38" s="34" t="str">
        <f>+'S3'!Y38</f>
        <v/>
      </c>
      <c r="Y38" s="12" t="str">
        <f t="shared" si="1"/>
        <v/>
      </c>
      <c r="Z38" s="27" t="str">
        <f t="shared" si="2"/>
        <v/>
      </c>
      <c r="AA38" s="22">
        <v>0</v>
      </c>
      <c r="AB38" s="26" t="str">
        <f>+'S3'!Z38</f>
        <v/>
      </c>
    </row>
    <row r="39" spans="3:28" x14ac:dyDescent="0.3">
      <c r="C39" t="str">
        <f>+'S3'!AB39</f>
        <v/>
      </c>
      <c r="D39" t="str">
        <f>+IFERROR(VLOOKUP(F39,Sheet2!F:G,2,0),"")</f>
        <v/>
      </c>
      <c r="E39" t="str">
        <f>+IFERROR(VLOOKUP(C39,'S3'!E:F,2,0),"")</f>
        <v/>
      </c>
      <c r="F39" s="30" t="str">
        <f>+IFERROR(VLOOKUP(C39,Sheet2!C:F,4,0),"")</f>
        <v/>
      </c>
      <c r="G39" t="str">
        <f>+IFERROR(VLOOKUP(F39,Sheet2!F:H,3,0),"")</f>
        <v/>
      </c>
      <c r="K39" s="28" t="str">
        <f>+'S3'!AC39</f>
        <v/>
      </c>
      <c r="L39" t="str">
        <f>IF('S3'!J39&lt;&gt;"",'S3'!J39,"")</f>
        <v/>
      </c>
      <c r="M39" t="str">
        <f>IF('S3'!K39&lt;&gt;"",'S3'!K39,"")</f>
        <v/>
      </c>
      <c r="N39">
        <f>+IFERROR(VLOOKUP(L39,Sheet3!A:C,3,0)," ")</f>
        <v>0</v>
      </c>
      <c r="Q39">
        <f>+'S3'!N39</f>
        <v>0</v>
      </c>
      <c r="R39" s="25">
        <f>+'S3'!T39</f>
        <v>0</v>
      </c>
      <c r="U39">
        <f t="shared" si="0"/>
        <v>0</v>
      </c>
      <c r="V39" s="12" t="str">
        <f>+'S3'!X39</f>
        <v/>
      </c>
      <c r="W39" s="34" t="str">
        <f>+'S3'!Y39</f>
        <v/>
      </c>
      <c r="Y39" s="12" t="str">
        <f t="shared" si="1"/>
        <v/>
      </c>
      <c r="Z39" s="27" t="str">
        <f t="shared" si="2"/>
        <v/>
      </c>
      <c r="AA39" s="22">
        <v>0</v>
      </c>
      <c r="AB39" s="26" t="str">
        <f>+'S3'!Z39</f>
        <v/>
      </c>
    </row>
    <row r="40" spans="3:28" x14ac:dyDescent="0.3">
      <c r="C40" t="str">
        <f>+'S3'!AB40</f>
        <v/>
      </c>
      <c r="D40" t="str">
        <f>+IFERROR(VLOOKUP(F40,Sheet2!F:G,2,0),"")</f>
        <v/>
      </c>
      <c r="E40" t="str">
        <f>+IFERROR(VLOOKUP(C40,'S3'!E:F,2,0),"")</f>
        <v/>
      </c>
      <c r="F40" s="30" t="str">
        <f>+IFERROR(VLOOKUP(C40,Sheet2!C:F,4,0),"")</f>
        <v/>
      </c>
      <c r="G40" t="str">
        <f>+IFERROR(VLOOKUP(F40,Sheet2!F:H,3,0),"")</f>
        <v/>
      </c>
      <c r="K40" s="28" t="str">
        <f>+'S3'!AC40</f>
        <v/>
      </c>
      <c r="L40" t="str">
        <f>IF('S3'!J40&lt;&gt;"",'S3'!J40,"")</f>
        <v/>
      </c>
      <c r="M40" t="str">
        <f>IF('S3'!K40&lt;&gt;"",'S3'!K40,"")</f>
        <v/>
      </c>
      <c r="N40">
        <f>+IFERROR(VLOOKUP(L40,Sheet3!A:C,3,0)," ")</f>
        <v>0</v>
      </c>
      <c r="Q40">
        <f>+'S3'!N40</f>
        <v>0</v>
      </c>
      <c r="R40" s="25">
        <f>+'S3'!T40</f>
        <v>0</v>
      </c>
      <c r="U40">
        <f t="shared" si="0"/>
        <v>0</v>
      </c>
      <c r="V40" s="12" t="str">
        <f>+'S3'!X40</f>
        <v/>
      </c>
      <c r="W40" s="34" t="str">
        <f>+'S3'!Y40</f>
        <v/>
      </c>
      <c r="Y40" s="12" t="str">
        <f t="shared" si="1"/>
        <v/>
      </c>
      <c r="Z40" s="27" t="str">
        <f t="shared" si="2"/>
        <v/>
      </c>
      <c r="AA40" s="22">
        <v>0</v>
      </c>
      <c r="AB40" s="26" t="str">
        <f>+'S3'!Z40</f>
        <v/>
      </c>
    </row>
    <row r="41" spans="3:28" x14ac:dyDescent="0.3">
      <c r="C41" t="str">
        <f>+'S3'!AB41</f>
        <v/>
      </c>
      <c r="D41" t="str">
        <f>+IFERROR(VLOOKUP(F41,Sheet2!F:G,2,0),"")</f>
        <v/>
      </c>
      <c r="E41" t="str">
        <f>+IFERROR(VLOOKUP(C41,'S3'!E:F,2,0),"")</f>
        <v/>
      </c>
      <c r="F41" s="30" t="str">
        <f>+IFERROR(VLOOKUP(C41,Sheet2!C:F,4,0),"")</f>
        <v/>
      </c>
      <c r="G41" t="str">
        <f>+IFERROR(VLOOKUP(F41,Sheet2!F:H,3,0),"")</f>
        <v/>
      </c>
      <c r="K41" s="28" t="str">
        <f>+'S3'!AC41</f>
        <v/>
      </c>
      <c r="L41" t="str">
        <f>IF('S3'!J41&lt;&gt;"",'S3'!J41,"")</f>
        <v/>
      </c>
      <c r="M41" t="str">
        <f>IF('S3'!K41&lt;&gt;"",'S3'!K41,"")</f>
        <v/>
      </c>
      <c r="N41">
        <f>+IFERROR(VLOOKUP(L41,Sheet3!A:C,3,0)," ")</f>
        <v>0</v>
      </c>
      <c r="Q41">
        <f>+'S3'!N41</f>
        <v>0</v>
      </c>
      <c r="R41" s="25">
        <f>+'S3'!T41</f>
        <v>0</v>
      </c>
      <c r="U41">
        <f t="shared" si="0"/>
        <v>0</v>
      </c>
      <c r="V41" s="12" t="str">
        <f>+'S3'!X41</f>
        <v/>
      </c>
      <c r="W41" s="34" t="str">
        <f>+'S3'!Y41</f>
        <v/>
      </c>
      <c r="Y41" s="12" t="str">
        <f t="shared" si="1"/>
        <v/>
      </c>
      <c r="Z41" s="27" t="str">
        <f t="shared" si="2"/>
        <v/>
      </c>
      <c r="AA41" s="22">
        <v>0</v>
      </c>
      <c r="AB41" s="26" t="str">
        <f>+'S3'!Z41</f>
        <v/>
      </c>
    </row>
    <row r="42" spans="3:28" x14ac:dyDescent="0.3">
      <c r="C42" t="str">
        <f>+'S3'!AB42</f>
        <v/>
      </c>
      <c r="D42" t="str">
        <f>+IFERROR(VLOOKUP(F42,Sheet2!F:G,2,0),"")</f>
        <v/>
      </c>
      <c r="E42" t="str">
        <f>+IFERROR(VLOOKUP(C42,'S3'!E:F,2,0),"")</f>
        <v/>
      </c>
      <c r="F42" s="30" t="str">
        <f>+IFERROR(VLOOKUP(C42,Sheet2!C:F,4,0),"")</f>
        <v/>
      </c>
      <c r="G42" t="str">
        <f>+IFERROR(VLOOKUP(F42,Sheet2!F:H,3,0),"")</f>
        <v/>
      </c>
      <c r="K42" s="28" t="str">
        <f>+'S3'!AC42</f>
        <v/>
      </c>
      <c r="L42" t="str">
        <f>IF('S3'!J42&lt;&gt;"",'S3'!J42,"")</f>
        <v/>
      </c>
      <c r="M42" t="str">
        <f>IF('S3'!K42&lt;&gt;"",'S3'!K42,"")</f>
        <v/>
      </c>
      <c r="N42">
        <f>+IFERROR(VLOOKUP(L42,Sheet3!A:C,3,0)," ")</f>
        <v>0</v>
      </c>
      <c r="Q42">
        <f>+'S3'!N42</f>
        <v>0</v>
      </c>
      <c r="R42" s="25">
        <f>+'S3'!T42</f>
        <v>0</v>
      </c>
      <c r="U42">
        <f t="shared" si="0"/>
        <v>0</v>
      </c>
      <c r="V42" s="12" t="str">
        <f>+'S3'!X42</f>
        <v/>
      </c>
      <c r="W42" s="34" t="str">
        <f>+'S3'!Y42</f>
        <v/>
      </c>
      <c r="Y42" s="12" t="str">
        <f t="shared" si="1"/>
        <v/>
      </c>
      <c r="Z42" s="27" t="str">
        <f t="shared" si="2"/>
        <v/>
      </c>
      <c r="AA42" s="22">
        <v>0</v>
      </c>
      <c r="AB42" s="26" t="str">
        <f>+'S3'!Z42</f>
        <v/>
      </c>
    </row>
    <row r="43" spans="3:28" x14ac:dyDescent="0.3">
      <c r="C43" t="str">
        <f>+'S3'!AB43</f>
        <v/>
      </c>
      <c r="D43" t="str">
        <f>+IFERROR(VLOOKUP(F43,Sheet2!F:G,2,0),"")</f>
        <v/>
      </c>
      <c r="E43" t="str">
        <f>+IFERROR(VLOOKUP(C43,'S3'!E:F,2,0),"")</f>
        <v/>
      </c>
      <c r="F43" s="30" t="str">
        <f>+IFERROR(VLOOKUP(C43,Sheet2!C:F,4,0),"")</f>
        <v/>
      </c>
      <c r="G43" t="str">
        <f>+IFERROR(VLOOKUP(F43,Sheet2!F:H,3,0),"")</f>
        <v/>
      </c>
      <c r="K43" s="28" t="str">
        <f>+'S3'!AC43</f>
        <v/>
      </c>
      <c r="L43" t="str">
        <f>IF('S3'!J43&lt;&gt;"",'S3'!J43,"")</f>
        <v/>
      </c>
      <c r="M43" t="str">
        <f>IF('S3'!K43&lt;&gt;"",'S3'!K43,"")</f>
        <v/>
      </c>
      <c r="N43">
        <f>+IFERROR(VLOOKUP(L43,Sheet3!A:C,3,0)," ")</f>
        <v>0</v>
      </c>
      <c r="Q43">
        <f>+'S3'!N43</f>
        <v>0</v>
      </c>
      <c r="R43" s="25">
        <f>+'S3'!T43</f>
        <v>0</v>
      </c>
      <c r="U43">
        <f t="shared" si="0"/>
        <v>0</v>
      </c>
      <c r="V43" s="12" t="str">
        <f>+'S3'!X43</f>
        <v/>
      </c>
      <c r="W43" s="34" t="str">
        <f>+'S3'!Y43</f>
        <v/>
      </c>
      <c r="Y43" s="12" t="str">
        <f t="shared" si="1"/>
        <v/>
      </c>
      <c r="Z43" s="27" t="str">
        <f t="shared" si="2"/>
        <v/>
      </c>
      <c r="AA43" s="22">
        <v>0</v>
      </c>
      <c r="AB43" s="26" t="str">
        <f>+'S3'!Z43</f>
        <v/>
      </c>
    </row>
    <row r="44" spans="3:28" x14ac:dyDescent="0.3">
      <c r="C44" t="str">
        <f>+'S3'!AB44</f>
        <v/>
      </c>
      <c r="D44" t="str">
        <f>+IFERROR(VLOOKUP(F44,Sheet2!F:G,2,0),"")</f>
        <v/>
      </c>
      <c r="E44" t="str">
        <f>+IFERROR(VLOOKUP(C44,'S3'!E:F,2,0),"")</f>
        <v/>
      </c>
      <c r="F44" s="30" t="str">
        <f>+IFERROR(VLOOKUP(C44,Sheet2!C:F,4,0),"")</f>
        <v/>
      </c>
      <c r="G44" t="str">
        <f>+IFERROR(VLOOKUP(F44,Sheet2!F:H,3,0),"")</f>
        <v/>
      </c>
      <c r="K44" s="28" t="str">
        <f>+'S3'!AC44</f>
        <v/>
      </c>
      <c r="L44" t="str">
        <f>IF('S3'!J44&lt;&gt;"",'S3'!J44,"")</f>
        <v/>
      </c>
      <c r="M44" t="str">
        <f>IF('S3'!K44&lt;&gt;"",'S3'!K44,"")</f>
        <v/>
      </c>
      <c r="N44">
        <f>+IFERROR(VLOOKUP(L44,Sheet3!A:C,3,0)," ")</f>
        <v>0</v>
      </c>
      <c r="Q44">
        <f>+'S3'!N44</f>
        <v>0</v>
      </c>
      <c r="R44" s="25">
        <f>+'S3'!T44</f>
        <v>0</v>
      </c>
      <c r="U44">
        <f t="shared" si="0"/>
        <v>0</v>
      </c>
      <c r="V44" s="12" t="str">
        <f>+'S3'!X44</f>
        <v/>
      </c>
      <c r="W44" s="34" t="str">
        <f>+'S3'!Y44</f>
        <v/>
      </c>
      <c r="Y44" s="12" t="str">
        <f t="shared" si="1"/>
        <v/>
      </c>
      <c r="Z44" s="27" t="str">
        <f t="shared" si="2"/>
        <v/>
      </c>
      <c r="AA44" s="22">
        <v>0</v>
      </c>
      <c r="AB44" s="26" t="str">
        <f>+'S3'!Z44</f>
        <v/>
      </c>
    </row>
    <row r="45" spans="3:28" x14ac:dyDescent="0.3">
      <c r="C45" t="str">
        <f>+'S3'!AB45</f>
        <v/>
      </c>
      <c r="D45" t="str">
        <f>+IFERROR(VLOOKUP(F45,Sheet2!F:G,2,0),"")</f>
        <v/>
      </c>
      <c r="E45" t="str">
        <f>+IFERROR(VLOOKUP(C45,'S3'!E:F,2,0),"")</f>
        <v/>
      </c>
      <c r="F45" s="30" t="str">
        <f>+IFERROR(VLOOKUP(C45,Sheet2!C:F,4,0),"")</f>
        <v/>
      </c>
      <c r="G45" t="str">
        <f>+IFERROR(VLOOKUP(F45,Sheet2!F:H,3,0),"")</f>
        <v/>
      </c>
      <c r="K45" s="28" t="str">
        <f>+'S3'!AC45</f>
        <v/>
      </c>
      <c r="L45" t="str">
        <f>IF('S3'!J45&lt;&gt;"",'S3'!J45,"")</f>
        <v/>
      </c>
      <c r="M45" t="str">
        <f>IF('S3'!K45&lt;&gt;"",'S3'!K45,"")</f>
        <v/>
      </c>
      <c r="N45">
        <f>+IFERROR(VLOOKUP(L45,Sheet3!A:C,3,0)," ")</f>
        <v>0</v>
      </c>
      <c r="Q45">
        <f>+'S3'!N45</f>
        <v>0</v>
      </c>
      <c r="R45" s="25">
        <f>+'S3'!T45</f>
        <v>0</v>
      </c>
      <c r="U45">
        <f t="shared" si="0"/>
        <v>0</v>
      </c>
      <c r="V45" s="12" t="str">
        <f>+'S3'!X45</f>
        <v/>
      </c>
      <c r="W45" s="34" t="str">
        <f>+'S3'!Y45</f>
        <v/>
      </c>
      <c r="Y45" s="12" t="str">
        <f t="shared" si="1"/>
        <v/>
      </c>
      <c r="Z45" s="27" t="str">
        <f t="shared" si="2"/>
        <v/>
      </c>
      <c r="AA45" s="22">
        <v>0</v>
      </c>
      <c r="AB45" s="26" t="str">
        <f>+'S3'!Z45</f>
        <v/>
      </c>
    </row>
    <row r="46" spans="3:28" x14ac:dyDescent="0.3">
      <c r="C46" t="str">
        <f>+'S3'!AB46</f>
        <v/>
      </c>
      <c r="D46" t="str">
        <f>+IFERROR(VLOOKUP(F46,Sheet2!F:G,2,0),"")</f>
        <v/>
      </c>
      <c r="E46" t="str">
        <f>+IFERROR(VLOOKUP(C46,'S3'!E:F,2,0),"")</f>
        <v/>
      </c>
      <c r="F46" s="30" t="str">
        <f>+IFERROR(VLOOKUP(C46,Sheet2!C:F,4,0),"")</f>
        <v/>
      </c>
      <c r="G46" t="str">
        <f>+IFERROR(VLOOKUP(F46,Sheet2!F:H,3,0),"")</f>
        <v/>
      </c>
      <c r="K46" s="28" t="str">
        <f>+'S3'!AC46</f>
        <v/>
      </c>
      <c r="L46" t="str">
        <f>IF('S3'!J46&lt;&gt;"",'S3'!J46,"")</f>
        <v/>
      </c>
      <c r="M46" t="str">
        <f>IF('S3'!K46&lt;&gt;"",'S3'!K46,"")</f>
        <v/>
      </c>
      <c r="N46">
        <f>+IFERROR(VLOOKUP(L46,Sheet3!A:C,3,0)," ")</f>
        <v>0</v>
      </c>
      <c r="Q46">
        <f>+'S3'!N46</f>
        <v>0</v>
      </c>
      <c r="R46" s="25">
        <f>+'S3'!T46</f>
        <v>0</v>
      </c>
      <c r="U46">
        <f t="shared" si="0"/>
        <v>0</v>
      </c>
      <c r="V46" s="12" t="str">
        <f>+'S3'!X46</f>
        <v/>
      </c>
      <c r="W46" s="34" t="str">
        <f>+'S3'!Y46</f>
        <v/>
      </c>
      <c r="Y46" s="12" t="str">
        <f t="shared" si="1"/>
        <v/>
      </c>
      <c r="Z46" s="27" t="str">
        <f t="shared" si="2"/>
        <v/>
      </c>
      <c r="AA46" s="22">
        <v>0</v>
      </c>
      <c r="AB46" s="26" t="str">
        <f>+'S3'!Z46</f>
        <v/>
      </c>
    </row>
    <row r="47" spans="3:28" x14ac:dyDescent="0.3">
      <c r="C47" t="str">
        <f>+'S3'!AB47</f>
        <v/>
      </c>
      <c r="D47" t="str">
        <f>+IFERROR(VLOOKUP(F47,Sheet2!F:G,2,0),"")</f>
        <v/>
      </c>
      <c r="E47" t="str">
        <f>+IFERROR(VLOOKUP(C47,'S3'!E:F,2,0),"")</f>
        <v/>
      </c>
      <c r="F47" s="30" t="str">
        <f>+IFERROR(VLOOKUP(C47,Sheet2!C:F,4,0),"")</f>
        <v/>
      </c>
      <c r="G47" t="str">
        <f>+IFERROR(VLOOKUP(F47,Sheet2!F:H,3,0),"")</f>
        <v/>
      </c>
      <c r="K47" s="28" t="str">
        <f>+'S3'!AC47</f>
        <v/>
      </c>
      <c r="L47" t="str">
        <f>IF('S3'!J47&lt;&gt;"",'S3'!J47,"")</f>
        <v/>
      </c>
      <c r="M47" t="str">
        <f>IF('S3'!K47&lt;&gt;"",'S3'!K47,"")</f>
        <v/>
      </c>
      <c r="N47">
        <f>+IFERROR(VLOOKUP(L47,Sheet3!A:C,3,0)," ")</f>
        <v>0</v>
      </c>
      <c r="Q47">
        <f>+'S3'!N47</f>
        <v>0</v>
      </c>
      <c r="R47" s="25">
        <f>+'S3'!T47</f>
        <v>0</v>
      </c>
      <c r="U47">
        <f t="shared" si="0"/>
        <v>0</v>
      </c>
      <c r="V47" s="12" t="str">
        <f>+'S3'!X47</f>
        <v/>
      </c>
      <c r="W47" s="34" t="str">
        <f>+'S3'!Y47</f>
        <v/>
      </c>
      <c r="Y47" s="12" t="str">
        <f t="shared" si="1"/>
        <v/>
      </c>
      <c r="Z47" s="27" t="str">
        <f t="shared" si="2"/>
        <v/>
      </c>
      <c r="AA47" s="22">
        <v>0</v>
      </c>
      <c r="AB47" s="26" t="str">
        <f>+'S3'!Z47</f>
        <v/>
      </c>
    </row>
    <row r="48" spans="3:28" x14ac:dyDescent="0.3">
      <c r="C48" t="str">
        <f>+'S3'!AB48</f>
        <v/>
      </c>
      <c r="D48" t="str">
        <f>+IFERROR(VLOOKUP(F48,Sheet2!F:G,2,0),"")</f>
        <v/>
      </c>
      <c r="E48" t="str">
        <f>+IFERROR(VLOOKUP(C48,'S3'!E:F,2,0),"")</f>
        <v/>
      </c>
      <c r="F48" s="30" t="str">
        <f>+IFERROR(VLOOKUP(C48,Sheet2!C:F,4,0),"")</f>
        <v/>
      </c>
      <c r="G48" t="str">
        <f>+IFERROR(VLOOKUP(F48,Sheet2!F:H,3,0),"")</f>
        <v/>
      </c>
      <c r="K48" s="28" t="str">
        <f>+'S3'!AC48</f>
        <v/>
      </c>
      <c r="L48" t="str">
        <f>IF('S3'!J48&lt;&gt;"",'S3'!J48,"")</f>
        <v/>
      </c>
      <c r="M48" t="str">
        <f>IF('S3'!K48&lt;&gt;"",'S3'!K48,"")</f>
        <v/>
      </c>
      <c r="N48">
        <f>+IFERROR(VLOOKUP(L48,Sheet3!A:C,3,0)," ")</f>
        <v>0</v>
      </c>
      <c r="Q48">
        <f>+'S3'!N48</f>
        <v>0</v>
      </c>
      <c r="R48" s="25">
        <f>+'S3'!T48</f>
        <v>0</v>
      </c>
      <c r="U48">
        <f t="shared" si="0"/>
        <v>0</v>
      </c>
      <c r="V48" s="12" t="str">
        <f>+'S3'!X48</f>
        <v/>
      </c>
      <c r="W48" s="34" t="str">
        <f>+'S3'!Y48</f>
        <v/>
      </c>
      <c r="Y48" s="12" t="str">
        <f t="shared" si="1"/>
        <v/>
      </c>
      <c r="Z48" s="27" t="str">
        <f t="shared" si="2"/>
        <v/>
      </c>
      <c r="AA48" s="22">
        <v>0</v>
      </c>
      <c r="AB48" s="26" t="str">
        <f>+'S3'!Z48</f>
        <v/>
      </c>
    </row>
    <row r="49" spans="3:28" x14ac:dyDescent="0.3">
      <c r="C49" t="str">
        <f>+'S3'!AB49</f>
        <v/>
      </c>
      <c r="D49" t="str">
        <f>+IFERROR(VLOOKUP(F49,Sheet2!F:G,2,0),"")</f>
        <v/>
      </c>
      <c r="E49" t="str">
        <f>+IFERROR(VLOOKUP(C49,'S3'!E:F,2,0),"")</f>
        <v/>
      </c>
      <c r="F49" s="30" t="str">
        <f>+IFERROR(VLOOKUP(C49,Sheet2!C:F,4,0),"")</f>
        <v/>
      </c>
      <c r="G49" t="str">
        <f>+IFERROR(VLOOKUP(F49,Sheet2!F:H,3,0),"")</f>
        <v/>
      </c>
      <c r="K49" s="28" t="str">
        <f>+'S3'!AC49</f>
        <v/>
      </c>
      <c r="L49" t="str">
        <f>IF('S3'!J49&lt;&gt;"",'S3'!J49,"")</f>
        <v/>
      </c>
      <c r="M49" t="str">
        <f>IF('S3'!K49&lt;&gt;"",'S3'!K49,"")</f>
        <v/>
      </c>
      <c r="N49">
        <f>+IFERROR(VLOOKUP(L49,Sheet3!A:C,3,0)," ")</f>
        <v>0</v>
      </c>
      <c r="Q49">
        <f>+'S3'!N49</f>
        <v>0</v>
      </c>
      <c r="R49" s="25">
        <f>+'S3'!T49</f>
        <v>0</v>
      </c>
      <c r="U49">
        <f t="shared" si="0"/>
        <v>0</v>
      </c>
      <c r="V49" s="12" t="str">
        <f>+'S3'!X49</f>
        <v/>
      </c>
      <c r="W49" s="34" t="str">
        <f>+'S3'!Y49</f>
        <v/>
      </c>
      <c r="Y49" s="12" t="str">
        <f t="shared" si="1"/>
        <v/>
      </c>
      <c r="Z49" s="27" t="str">
        <f t="shared" si="2"/>
        <v/>
      </c>
      <c r="AA49" s="22">
        <v>0</v>
      </c>
      <c r="AB49" s="26" t="str">
        <f>+'S3'!Z49</f>
        <v/>
      </c>
    </row>
    <row r="50" spans="3:28" x14ac:dyDescent="0.3">
      <c r="C50" t="str">
        <f>+'S3'!AB50</f>
        <v/>
      </c>
      <c r="D50" t="str">
        <f>+IFERROR(VLOOKUP(F50,Sheet2!F:G,2,0),"")</f>
        <v/>
      </c>
      <c r="E50" t="str">
        <f>+IFERROR(VLOOKUP(C50,'S3'!E:F,2,0),"")</f>
        <v/>
      </c>
      <c r="F50" s="30" t="str">
        <f>+IFERROR(VLOOKUP(C50,Sheet2!C:F,4,0),"")</f>
        <v/>
      </c>
      <c r="G50" t="str">
        <f>+IFERROR(VLOOKUP(F50,Sheet2!F:H,3,0),"")</f>
        <v/>
      </c>
      <c r="K50" s="28" t="str">
        <f>+'S3'!AC50</f>
        <v/>
      </c>
      <c r="L50" t="str">
        <f>IF('S3'!J50&lt;&gt;"",'S3'!J50,"")</f>
        <v/>
      </c>
      <c r="M50" t="str">
        <f>IF('S3'!K50&lt;&gt;"",'S3'!K50,"")</f>
        <v/>
      </c>
      <c r="N50">
        <f>+IFERROR(VLOOKUP(L50,Sheet3!A:C,3,0)," ")</f>
        <v>0</v>
      </c>
      <c r="Q50">
        <f>+'S3'!N50</f>
        <v>0</v>
      </c>
      <c r="R50" s="25">
        <f>+'S3'!T50</f>
        <v>0</v>
      </c>
      <c r="U50">
        <f t="shared" si="0"/>
        <v>0</v>
      </c>
      <c r="V50" s="12" t="str">
        <f>+'S3'!X50</f>
        <v/>
      </c>
      <c r="W50" s="34" t="str">
        <f>+'S3'!Y50</f>
        <v/>
      </c>
      <c r="Y50" s="12" t="str">
        <f t="shared" si="1"/>
        <v/>
      </c>
      <c r="Z50" s="27" t="str">
        <f t="shared" si="2"/>
        <v/>
      </c>
      <c r="AA50" s="22">
        <v>0</v>
      </c>
      <c r="AB50" s="26" t="str">
        <f>+'S3'!Z50</f>
        <v/>
      </c>
    </row>
    <row r="51" spans="3:28" x14ac:dyDescent="0.3">
      <c r="C51" t="str">
        <f>+'S3'!AB51</f>
        <v/>
      </c>
      <c r="D51" t="str">
        <f>+IFERROR(VLOOKUP(F51,Sheet2!F:G,2,0),"")</f>
        <v/>
      </c>
      <c r="E51" t="str">
        <f>+IFERROR(VLOOKUP(C51,'S3'!E:F,2,0),"")</f>
        <v/>
      </c>
      <c r="F51" s="30" t="str">
        <f>+IFERROR(VLOOKUP(C51,Sheet2!C:F,4,0),"")</f>
        <v/>
      </c>
      <c r="G51" t="str">
        <f>+IFERROR(VLOOKUP(F51,Sheet2!F:H,3,0),"")</f>
        <v/>
      </c>
      <c r="K51" s="28" t="str">
        <f>+'S3'!AC51</f>
        <v/>
      </c>
      <c r="L51" t="str">
        <f>IF('S3'!J51&lt;&gt;"",'S3'!J51,"")</f>
        <v/>
      </c>
      <c r="M51" t="str">
        <f>IF('S3'!K51&lt;&gt;"",'S3'!K51,"")</f>
        <v/>
      </c>
      <c r="N51">
        <f>+IFERROR(VLOOKUP(L51,Sheet3!A:C,3,0)," ")</f>
        <v>0</v>
      </c>
      <c r="Q51">
        <f>+'S3'!N51</f>
        <v>0</v>
      </c>
      <c r="R51" s="25">
        <f>+'S3'!T51</f>
        <v>0</v>
      </c>
      <c r="U51">
        <f t="shared" si="0"/>
        <v>0</v>
      </c>
      <c r="V51" s="12" t="str">
        <f>+'S3'!X51</f>
        <v/>
      </c>
      <c r="W51" s="34" t="str">
        <f>+'S3'!Y51</f>
        <v/>
      </c>
      <c r="Y51" s="12" t="str">
        <f t="shared" si="1"/>
        <v/>
      </c>
      <c r="Z51" s="27" t="str">
        <f t="shared" si="2"/>
        <v/>
      </c>
      <c r="AA51" s="22">
        <v>0</v>
      </c>
      <c r="AB51" s="26" t="str">
        <f>+'S3'!Z51</f>
        <v/>
      </c>
    </row>
    <row r="52" spans="3:28" x14ac:dyDescent="0.3">
      <c r="C52" t="str">
        <f>+'S3'!AB52</f>
        <v/>
      </c>
      <c r="D52" t="str">
        <f>+IFERROR(VLOOKUP(F52,Sheet2!F:G,2,0),"")</f>
        <v/>
      </c>
      <c r="E52" t="str">
        <f>+IFERROR(VLOOKUP(C52,'S3'!E:F,2,0),"")</f>
        <v/>
      </c>
      <c r="F52" s="30" t="str">
        <f>+IFERROR(VLOOKUP(C52,Sheet2!C:F,4,0),"")</f>
        <v/>
      </c>
      <c r="G52" t="str">
        <f>+IFERROR(VLOOKUP(F52,Sheet2!F:H,3,0),"")</f>
        <v/>
      </c>
      <c r="K52" s="28" t="str">
        <f>+'S3'!AC52</f>
        <v/>
      </c>
      <c r="L52" t="str">
        <f>IF('S3'!J52&lt;&gt;"",'S3'!J52,"")</f>
        <v/>
      </c>
      <c r="M52" t="str">
        <f>IF('S3'!K52&lt;&gt;"",'S3'!K52,"")</f>
        <v/>
      </c>
      <c r="N52">
        <f>+IFERROR(VLOOKUP(L52,Sheet3!A:C,3,0)," ")</f>
        <v>0</v>
      </c>
      <c r="Q52">
        <f>+'S3'!N52</f>
        <v>0</v>
      </c>
      <c r="R52" s="25">
        <f>+'S3'!T52</f>
        <v>0</v>
      </c>
      <c r="U52">
        <f t="shared" ref="U52:U115" si="3">+R52*Q52</f>
        <v>0</v>
      </c>
      <c r="V52" s="12" t="str">
        <f>+'S3'!X52</f>
        <v/>
      </c>
      <c r="W52" s="34" t="str">
        <f>+'S3'!Y52</f>
        <v/>
      </c>
      <c r="Y52" s="12" t="str">
        <f t="shared" si="1"/>
        <v/>
      </c>
      <c r="Z52" s="27" t="str">
        <f t="shared" ref="Z52:Z115" si="4">IFERROR(ROUND(V52+Y52,0),"")</f>
        <v/>
      </c>
      <c r="AA52" s="22">
        <v>0</v>
      </c>
      <c r="AB52" s="26" t="str">
        <f>+'S3'!Z52</f>
        <v/>
      </c>
    </row>
    <row r="53" spans="3:28" x14ac:dyDescent="0.3">
      <c r="C53" t="str">
        <f>+'S3'!AB53</f>
        <v/>
      </c>
      <c r="D53" t="str">
        <f>+IFERROR(VLOOKUP(F53,Sheet2!F:G,2,0),"")</f>
        <v/>
      </c>
      <c r="E53" t="str">
        <f>+IFERROR(VLOOKUP(C53,'S3'!E:F,2,0),"")</f>
        <v/>
      </c>
      <c r="F53" s="30" t="str">
        <f>+IFERROR(VLOOKUP(C53,Sheet2!C:F,4,0),"")</f>
        <v/>
      </c>
      <c r="G53" t="str">
        <f>+IFERROR(VLOOKUP(F53,Sheet2!F:H,3,0),"")</f>
        <v/>
      </c>
      <c r="K53" s="28" t="str">
        <f>+'S3'!AC53</f>
        <v/>
      </c>
      <c r="L53" t="str">
        <f>IF('S3'!J53&lt;&gt;"",'S3'!J53,"")</f>
        <v/>
      </c>
      <c r="M53" t="str">
        <f>IF('S3'!K53&lt;&gt;"",'S3'!K53,"")</f>
        <v/>
      </c>
      <c r="N53">
        <f>+IFERROR(VLOOKUP(L53,Sheet3!A:C,3,0)," ")</f>
        <v>0</v>
      </c>
      <c r="Q53">
        <f>+'S3'!N53</f>
        <v>0</v>
      </c>
      <c r="R53" s="25">
        <f>+'S3'!T53</f>
        <v>0</v>
      </c>
      <c r="U53">
        <f t="shared" si="3"/>
        <v>0</v>
      </c>
      <c r="V53" s="12" t="str">
        <f>+'S3'!X53</f>
        <v/>
      </c>
      <c r="W53" s="34" t="str">
        <f>+'S3'!Y53</f>
        <v/>
      </c>
      <c r="Y53" s="12" t="str">
        <f t="shared" si="1"/>
        <v/>
      </c>
      <c r="Z53" s="27" t="str">
        <f t="shared" si="4"/>
        <v/>
      </c>
      <c r="AA53" s="22">
        <v>0</v>
      </c>
      <c r="AB53" s="26" t="str">
        <f>+'S3'!Z53</f>
        <v/>
      </c>
    </row>
    <row r="54" spans="3:28" x14ac:dyDescent="0.3">
      <c r="C54" t="str">
        <f>+'S3'!AB54</f>
        <v/>
      </c>
      <c r="D54" t="str">
        <f>+IFERROR(VLOOKUP(F54,Sheet2!F:G,2,0),"")</f>
        <v/>
      </c>
      <c r="E54" t="str">
        <f>+IFERROR(VLOOKUP(C54,'S3'!E:F,2,0),"")</f>
        <v/>
      </c>
      <c r="F54" s="30" t="str">
        <f>+IFERROR(VLOOKUP(C54,Sheet2!C:F,4,0),"")</f>
        <v/>
      </c>
      <c r="G54" t="str">
        <f>+IFERROR(VLOOKUP(F54,Sheet2!F:H,3,0),"")</f>
        <v/>
      </c>
      <c r="K54" s="28" t="str">
        <f>+'S3'!AC54</f>
        <v/>
      </c>
      <c r="L54" t="str">
        <f>IF('S3'!J54&lt;&gt;"",'S3'!J54,"")</f>
        <v/>
      </c>
      <c r="M54" t="str">
        <f>IF('S3'!K54&lt;&gt;"",'S3'!K54,"")</f>
        <v/>
      </c>
      <c r="N54">
        <f>+IFERROR(VLOOKUP(L54,Sheet3!A:C,3,0)," ")</f>
        <v>0</v>
      </c>
      <c r="Q54">
        <f>+'S3'!N54</f>
        <v>0</v>
      </c>
      <c r="R54" s="25">
        <f>+'S3'!T54</f>
        <v>0</v>
      </c>
      <c r="U54">
        <f t="shared" si="3"/>
        <v>0</v>
      </c>
      <c r="V54" s="12" t="str">
        <f>+'S3'!X54</f>
        <v/>
      </c>
      <c r="W54" s="34" t="str">
        <f>+'S3'!Y54</f>
        <v/>
      </c>
      <c r="Y54" s="12" t="str">
        <f t="shared" si="1"/>
        <v/>
      </c>
      <c r="Z54" s="27" t="str">
        <f t="shared" si="4"/>
        <v/>
      </c>
      <c r="AA54" s="22">
        <v>0</v>
      </c>
      <c r="AB54" s="26" t="str">
        <f>+'S3'!Z54</f>
        <v/>
      </c>
    </row>
    <row r="55" spans="3:28" x14ac:dyDescent="0.3">
      <c r="C55" t="str">
        <f>+'S3'!AB55</f>
        <v/>
      </c>
      <c r="D55" t="str">
        <f>+IFERROR(VLOOKUP(F55,Sheet2!F:G,2,0),"")</f>
        <v/>
      </c>
      <c r="E55" t="str">
        <f>+IFERROR(VLOOKUP(C55,'S3'!E:F,2,0),"")</f>
        <v/>
      </c>
      <c r="F55" s="30" t="str">
        <f>+IFERROR(VLOOKUP(C55,Sheet2!C:F,4,0),"")</f>
        <v/>
      </c>
      <c r="G55" t="str">
        <f>+IFERROR(VLOOKUP(F55,Sheet2!F:H,3,0),"")</f>
        <v/>
      </c>
      <c r="K55" s="28" t="str">
        <f>+'S3'!AC55</f>
        <v/>
      </c>
      <c r="L55" t="str">
        <f>IF('S3'!J55&lt;&gt;"",'S3'!J55,"")</f>
        <v/>
      </c>
      <c r="M55" t="str">
        <f>IF('S3'!K55&lt;&gt;"",'S3'!K55,"")</f>
        <v/>
      </c>
      <c r="N55">
        <f>+IFERROR(VLOOKUP(L55,Sheet3!A:C,3,0)," ")</f>
        <v>0</v>
      </c>
      <c r="Q55">
        <f>+'S3'!N55</f>
        <v>0</v>
      </c>
      <c r="R55" s="25">
        <f>+'S3'!T55</f>
        <v>0</v>
      </c>
      <c r="U55">
        <f t="shared" si="3"/>
        <v>0</v>
      </c>
      <c r="V55" s="12" t="str">
        <f>+'S3'!X55</f>
        <v/>
      </c>
      <c r="W55" s="34" t="str">
        <f>+'S3'!Y55</f>
        <v/>
      </c>
      <c r="Y55" s="12" t="str">
        <f t="shared" si="1"/>
        <v/>
      </c>
      <c r="Z55" s="27" t="str">
        <f t="shared" si="4"/>
        <v/>
      </c>
      <c r="AA55" s="22">
        <v>0</v>
      </c>
      <c r="AB55" s="26" t="str">
        <f>+'S3'!Z55</f>
        <v/>
      </c>
    </row>
    <row r="56" spans="3:28" x14ac:dyDescent="0.3">
      <c r="C56" t="str">
        <f>+'S3'!AB56</f>
        <v/>
      </c>
      <c r="D56" t="str">
        <f>+IFERROR(VLOOKUP(F56,Sheet2!F:G,2,0),"")</f>
        <v/>
      </c>
      <c r="E56" t="str">
        <f>+IFERROR(VLOOKUP(C56,'S3'!E:F,2,0),"")</f>
        <v/>
      </c>
      <c r="F56" s="30" t="str">
        <f>+IFERROR(VLOOKUP(C56,Sheet2!C:F,4,0),"")</f>
        <v/>
      </c>
      <c r="G56" t="str">
        <f>+IFERROR(VLOOKUP(F56,Sheet2!F:H,3,0),"")</f>
        <v/>
      </c>
      <c r="K56" s="28" t="str">
        <f>+'S3'!AC56</f>
        <v/>
      </c>
      <c r="L56" t="str">
        <f>IF('S3'!J56&lt;&gt;"",'S3'!J56,"")</f>
        <v/>
      </c>
      <c r="M56" t="str">
        <f>IF('S3'!K56&lt;&gt;"",'S3'!K56,"")</f>
        <v/>
      </c>
      <c r="N56">
        <f>+IFERROR(VLOOKUP(L56,Sheet3!A:C,3,0)," ")</f>
        <v>0</v>
      </c>
      <c r="Q56">
        <f>+'S3'!N56</f>
        <v>0</v>
      </c>
      <c r="R56" s="25">
        <f>+'S3'!T56</f>
        <v>0</v>
      </c>
      <c r="U56">
        <f t="shared" si="3"/>
        <v>0</v>
      </c>
      <c r="V56" s="12" t="str">
        <f>+'S3'!X56</f>
        <v/>
      </c>
      <c r="W56" s="34" t="str">
        <f>+'S3'!Y56</f>
        <v/>
      </c>
      <c r="Y56" s="12" t="str">
        <f t="shared" si="1"/>
        <v/>
      </c>
      <c r="Z56" s="27" t="str">
        <f t="shared" si="4"/>
        <v/>
      </c>
      <c r="AA56" s="22">
        <v>0</v>
      </c>
      <c r="AB56" s="26" t="str">
        <f>+'S3'!Z56</f>
        <v/>
      </c>
    </row>
    <row r="57" spans="3:28" x14ac:dyDescent="0.3">
      <c r="C57" t="str">
        <f>+'S3'!AB57</f>
        <v/>
      </c>
      <c r="D57" t="str">
        <f>+IFERROR(VLOOKUP(F57,Sheet2!F:G,2,0),"")</f>
        <v/>
      </c>
      <c r="E57" t="str">
        <f>+IFERROR(VLOOKUP(C57,'S3'!E:F,2,0),"")</f>
        <v/>
      </c>
      <c r="F57" s="30" t="str">
        <f>+IFERROR(VLOOKUP(C57,Sheet2!C:F,4,0),"")</f>
        <v/>
      </c>
      <c r="G57" t="str">
        <f>+IFERROR(VLOOKUP(F57,Sheet2!F:H,3,0),"")</f>
        <v/>
      </c>
      <c r="K57" s="28" t="str">
        <f>+'S3'!AC57</f>
        <v/>
      </c>
      <c r="L57" t="str">
        <f>IF('S3'!J57&lt;&gt;"",'S3'!J57,"")</f>
        <v/>
      </c>
      <c r="M57" t="str">
        <f>IF('S3'!K57&lt;&gt;"",'S3'!K57,"")</f>
        <v/>
      </c>
      <c r="N57">
        <f>+IFERROR(VLOOKUP(L57,Sheet3!A:C,3,0)," ")</f>
        <v>0</v>
      </c>
      <c r="Q57">
        <f>+'S3'!N57</f>
        <v>0</v>
      </c>
      <c r="R57" s="25">
        <f>+'S3'!T57</f>
        <v>0</v>
      </c>
      <c r="U57">
        <f t="shared" si="3"/>
        <v>0</v>
      </c>
      <c r="V57" s="12" t="str">
        <f>+'S3'!X57</f>
        <v/>
      </c>
      <c r="W57" s="34" t="str">
        <f>+'S3'!Y57</f>
        <v/>
      </c>
      <c r="Y57" s="12" t="str">
        <f t="shared" si="1"/>
        <v/>
      </c>
      <c r="Z57" s="27" t="str">
        <f t="shared" si="4"/>
        <v/>
      </c>
      <c r="AA57" s="22">
        <v>0</v>
      </c>
      <c r="AB57" s="26" t="str">
        <f>+'S3'!Z57</f>
        <v/>
      </c>
    </row>
    <row r="58" spans="3:28" x14ac:dyDescent="0.3">
      <c r="C58" t="str">
        <f>+'S3'!AB58</f>
        <v/>
      </c>
      <c r="D58" t="str">
        <f>+IFERROR(VLOOKUP(F58,Sheet2!F:G,2,0),"")</f>
        <v/>
      </c>
      <c r="E58" t="str">
        <f>+IFERROR(VLOOKUP(C58,'S3'!E:F,2,0),"")</f>
        <v/>
      </c>
      <c r="F58" s="30" t="str">
        <f>+IFERROR(VLOOKUP(C58,Sheet2!C:F,4,0),"")</f>
        <v/>
      </c>
      <c r="G58" t="str">
        <f>+IFERROR(VLOOKUP(F58,Sheet2!F:H,3,0),"")</f>
        <v/>
      </c>
      <c r="K58" s="28" t="str">
        <f>+'S3'!AC58</f>
        <v/>
      </c>
      <c r="L58" t="str">
        <f>IF('S3'!J58&lt;&gt;"",'S3'!J58,"")</f>
        <v/>
      </c>
      <c r="M58" t="str">
        <f>IF('S3'!K58&lt;&gt;"",'S3'!K58,"")</f>
        <v/>
      </c>
      <c r="N58">
        <f>+IFERROR(VLOOKUP(L58,Sheet3!A:C,3,0)," ")</f>
        <v>0</v>
      </c>
      <c r="Q58">
        <f>+'S3'!N58</f>
        <v>0</v>
      </c>
      <c r="R58" s="25">
        <f>+'S3'!T58</f>
        <v>0</v>
      </c>
      <c r="U58">
        <f t="shared" si="3"/>
        <v>0</v>
      </c>
      <c r="V58" s="12" t="str">
        <f>+'S3'!X58</f>
        <v/>
      </c>
      <c r="W58" s="34" t="str">
        <f>+'S3'!Y58</f>
        <v/>
      </c>
      <c r="Y58" s="12" t="str">
        <f t="shared" si="1"/>
        <v/>
      </c>
      <c r="Z58" s="27" t="str">
        <f t="shared" si="4"/>
        <v/>
      </c>
      <c r="AA58" s="22">
        <v>0</v>
      </c>
      <c r="AB58" s="26" t="str">
        <f>+'S3'!Z58</f>
        <v/>
      </c>
    </row>
    <row r="59" spans="3:28" x14ac:dyDescent="0.3">
      <c r="C59" t="str">
        <f>+'S3'!AB59</f>
        <v/>
      </c>
      <c r="D59" t="str">
        <f>+IFERROR(VLOOKUP(F59,Sheet2!F:G,2,0),"")</f>
        <v/>
      </c>
      <c r="E59" t="str">
        <f>+IFERROR(VLOOKUP(C59,'S3'!E:F,2,0),"")</f>
        <v/>
      </c>
      <c r="F59" s="30" t="str">
        <f>+IFERROR(VLOOKUP(C59,Sheet2!C:F,4,0),"")</f>
        <v/>
      </c>
      <c r="G59" t="str">
        <f>+IFERROR(VLOOKUP(F59,Sheet2!F:H,3,0),"")</f>
        <v/>
      </c>
      <c r="K59" s="28" t="str">
        <f>+'S3'!AC59</f>
        <v/>
      </c>
      <c r="L59" t="str">
        <f>IF('S3'!J59&lt;&gt;"",'S3'!J59,"")</f>
        <v/>
      </c>
      <c r="M59" t="str">
        <f>IF('S3'!K59&lt;&gt;"",'S3'!K59,"")</f>
        <v/>
      </c>
      <c r="N59">
        <f>+IFERROR(VLOOKUP(L59,Sheet3!A:C,3,0)," ")</f>
        <v>0</v>
      </c>
      <c r="Q59">
        <f>+'S3'!N59</f>
        <v>0</v>
      </c>
      <c r="R59" s="25">
        <f>+'S3'!T59</f>
        <v>0</v>
      </c>
      <c r="U59">
        <f t="shared" si="3"/>
        <v>0</v>
      </c>
      <c r="V59" s="12" t="str">
        <f>+'S3'!X59</f>
        <v/>
      </c>
      <c r="W59" s="34" t="str">
        <f>+'S3'!Y59</f>
        <v/>
      </c>
      <c r="Y59" s="12" t="str">
        <f t="shared" si="1"/>
        <v/>
      </c>
      <c r="Z59" s="27" t="str">
        <f t="shared" si="4"/>
        <v/>
      </c>
      <c r="AA59" s="22">
        <v>0</v>
      </c>
      <c r="AB59" s="26" t="str">
        <f>+'S3'!Z59</f>
        <v/>
      </c>
    </row>
    <row r="60" spans="3:28" x14ac:dyDescent="0.3">
      <c r="C60" t="str">
        <f>+'S3'!AB60</f>
        <v/>
      </c>
      <c r="D60" t="str">
        <f>+IFERROR(VLOOKUP(F60,Sheet2!F:G,2,0),"")</f>
        <v/>
      </c>
      <c r="E60" t="str">
        <f>+IFERROR(VLOOKUP(C60,'S3'!E:F,2,0),"")</f>
        <v/>
      </c>
      <c r="F60" s="30" t="str">
        <f>+IFERROR(VLOOKUP(C60,Sheet2!C:F,4,0),"")</f>
        <v/>
      </c>
      <c r="G60" t="str">
        <f>+IFERROR(VLOOKUP(F60,Sheet2!F:H,3,0),"")</f>
        <v/>
      </c>
      <c r="K60" s="28" t="str">
        <f>+'S3'!AC60</f>
        <v/>
      </c>
      <c r="L60" t="str">
        <f>IF('S3'!J60&lt;&gt;"",'S3'!J60,"")</f>
        <v/>
      </c>
      <c r="M60" t="str">
        <f>IF('S3'!K60&lt;&gt;"",'S3'!K60,"")</f>
        <v/>
      </c>
      <c r="N60">
        <f>+IFERROR(VLOOKUP(L60,Sheet3!A:C,3,0)," ")</f>
        <v>0</v>
      </c>
      <c r="Q60">
        <f>+'S3'!N60</f>
        <v>0</v>
      </c>
      <c r="R60" s="25">
        <f>+'S3'!T60</f>
        <v>0</v>
      </c>
      <c r="U60">
        <f t="shared" si="3"/>
        <v>0</v>
      </c>
      <c r="V60" s="12" t="str">
        <f>+'S3'!X60</f>
        <v/>
      </c>
      <c r="W60" s="34" t="str">
        <f>+'S3'!Y60</f>
        <v/>
      </c>
      <c r="Y60" s="12" t="str">
        <f t="shared" si="1"/>
        <v/>
      </c>
      <c r="Z60" s="27" t="str">
        <f t="shared" si="4"/>
        <v/>
      </c>
      <c r="AA60" s="22">
        <v>0</v>
      </c>
      <c r="AB60" s="26" t="str">
        <f>+'S3'!Z60</f>
        <v/>
      </c>
    </row>
    <row r="61" spans="3:28" x14ac:dyDescent="0.3">
      <c r="C61" t="str">
        <f>+'S3'!AB61</f>
        <v/>
      </c>
      <c r="D61" t="str">
        <f>+IFERROR(VLOOKUP(F61,Sheet2!F:G,2,0),"")</f>
        <v/>
      </c>
      <c r="E61" t="str">
        <f>+IFERROR(VLOOKUP(C61,'S3'!E:F,2,0),"")</f>
        <v/>
      </c>
      <c r="F61" s="30" t="str">
        <f>+IFERROR(VLOOKUP(C61,Sheet2!C:F,4,0),"")</f>
        <v/>
      </c>
      <c r="G61" t="str">
        <f>+IFERROR(VLOOKUP(F61,Sheet2!F:H,3,0),"")</f>
        <v/>
      </c>
      <c r="K61" s="28" t="str">
        <f>+'S3'!AC61</f>
        <v/>
      </c>
      <c r="L61" t="str">
        <f>IF('S3'!J61&lt;&gt;"",'S3'!J61,"")</f>
        <v/>
      </c>
      <c r="M61" t="str">
        <f>IF('S3'!K61&lt;&gt;"",'S3'!K61,"")</f>
        <v/>
      </c>
      <c r="N61">
        <f>+IFERROR(VLOOKUP(L61,Sheet3!A:C,3,0)," ")</f>
        <v>0</v>
      </c>
      <c r="Q61">
        <f>+'S3'!N61</f>
        <v>0</v>
      </c>
      <c r="R61" s="25">
        <f>+'S3'!T61</f>
        <v>0</v>
      </c>
      <c r="U61">
        <f t="shared" si="3"/>
        <v>0</v>
      </c>
      <c r="V61" s="12" t="str">
        <f>+'S3'!X61</f>
        <v/>
      </c>
      <c r="W61" s="34" t="str">
        <f>+'S3'!Y61</f>
        <v/>
      </c>
      <c r="Y61" s="12" t="str">
        <f t="shared" si="1"/>
        <v/>
      </c>
      <c r="Z61" s="27" t="str">
        <f t="shared" si="4"/>
        <v/>
      </c>
      <c r="AA61" s="22">
        <v>0</v>
      </c>
      <c r="AB61" s="26" t="str">
        <f>+'S3'!Z61</f>
        <v/>
      </c>
    </row>
    <row r="62" spans="3:28" x14ac:dyDescent="0.3">
      <c r="C62" t="str">
        <f>+'S3'!AB62</f>
        <v/>
      </c>
      <c r="D62" t="str">
        <f>+IFERROR(VLOOKUP(F62,Sheet2!F:G,2,0),"")</f>
        <v/>
      </c>
      <c r="E62" t="str">
        <f>+IFERROR(VLOOKUP(C62,'S3'!E:F,2,0),"")</f>
        <v/>
      </c>
      <c r="F62" s="30" t="str">
        <f>+IFERROR(VLOOKUP(C62,Sheet2!C:F,4,0),"")</f>
        <v/>
      </c>
      <c r="G62" t="str">
        <f>+IFERROR(VLOOKUP(F62,Sheet2!F:H,3,0),"")</f>
        <v/>
      </c>
      <c r="K62" s="28" t="str">
        <f>+'S3'!AC62</f>
        <v/>
      </c>
      <c r="L62" t="str">
        <f>IF('S3'!J62&lt;&gt;"",'S3'!J62,"")</f>
        <v/>
      </c>
      <c r="M62" t="str">
        <f>IF('S3'!K62&lt;&gt;"",'S3'!K62,"")</f>
        <v/>
      </c>
      <c r="N62">
        <f>+IFERROR(VLOOKUP(L62,Sheet3!A:C,3,0)," ")</f>
        <v>0</v>
      </c>
      <c r="Q62">
        <f>+'S3'!N62</f>
        <v>0</v>
      </c>
      <c r="R62" s="25">
        <f>+'S3'!T62</f>
        <v>0</v>
      </c>
      <c r="U62">
        <f t="shared" si="3"/>
        <v>0</v>
      </c>
      <c r="V62" s="12" t="str">
        <f>+'S3'!X62</f>
        <v/>
      </c>
      <c r="W62" s="34" t="str">
        <f>+'S3'!Y62</f>
        <v/>
      </c>
      <c r="Y62" s="12" t="str">
        <f t="shared" si="1"/>
        <v/>
      </c>
      <c r="Z62" s="27" t="str">
        <f t="shared" si="4"/>
        <v/>
      </c>
      <c r="AA62" s="22">
        <v>0</v>
      </c>
      <c r="AB62" s="26" t="str">
        <f>+'S3'!Z62</f>
        <v/>
      </c>
    </row>
    <row r="63" spans="3:28" x14ac:dyDescent="0.3">
      <c r="C63" t="str">
        <f>+'S3'!AB63</f>
        <v/>
      </c>
      <c r="D63" t="str">
        <f>+IFERROR(VLOOKUP(F63,Sheet2!F:G,2,0),"")</f>
        <v/>
      </c>
      <c r="E63" t="str">
        <f>+IFERROR(VLOOKUP(C63,'S3'!E:F,2,0),"")</f>
        <v/>
      </c>
      <c r="F63" s="30" t="str">
        <f>+IFERROR(VLOOKUP(C63,Sheet2!C:F,4,0),"")</f>
        <v/>
      </c>
      <c r="G63" t="str">
        <f>+IFERROR(VLOOKUP(F63,Sheet2!F:H,3,0),"")</f>
        <v/>
      </c>
      <c r="K63" s="28" t="str">
        <f>+'S3'!AC63</f>
        <v/>
      </c>
      <c r="L63" t="str">
        <f>IF('S3'!J63&lt;&gt;"",'S3'!J63,"")</f>
        <v/>
      </c>
      <c r="M63" t="str">
        <f>IF('S3'!K63&lt;&gt;"",'S3'!K63,"")</f>
        <v/>
      </c>
      <c r="N63">
        <f>+IFERROR(VLOOKUP(L63,Sheet3!A:C,3,0)," ")</f>
        <v>0</v>
      </c>
      <c r="Q63">
        <f>+'S3'!N63</f>
        <v>0</v>
      </c>
      <c r="R63" s="25">
        <f>+'S3'!T63</f>
        <v>0</v>
      </c>
      <c r="U63">
        <f t="shared" si="3"/>
        <v>0</v>
      </c>
      <c r="V63" s="12" t="str">
        <f>+'S3'!X63</f>
        <v/>
      </c>
      <c r="W63" s="34" t="str">
        <f>+'S3'!Y63</f>
        <v/>
      </c>
      <c r="Y63" s="12" t="str">
        <f t="shared" si="1"/>
        <v/>
      </c>
      <c r="Z63" s="27" t="str">
        <f t="shared" si="4"/>
        <v/>
      </c>
      <c r="AA63" s="22">
        <v>0</v>
      </c>
      <c r="AB63" s="26" t="str">
        <f>+'S3'!Z63</f>
        <v/>
      </c>
    </row>
    <row r="64" spans="3:28" x14ac:dyDescent="0.3">
      <c r="C64" t="str">
        <f>+'S3'!AB64</f>
        <v/>
      </c>
      <c r="D64" t="str">
        <f>+IFERROR(VLOOKUP(F64,Sheet2!F:G,2,0),"")</f>
        <v/>
      </c>
      <c r="E64" t="str">
        <f>+IFERROR(VLOOKUP(C64,'S3'!E:F,2,0),"")</f>
        <v/>
      </c>
      <c r="F64" s="30" t="str">
        <f>+IFERROR(VLOOKUP(C64,Sheet2!C:F,4,0),"")</f>
        <v/>
      </c>
      <c r="G64" t="str">
        <f>+IFERROR(VLOOKUP(F64,Sheet2!F:H,3,0),"")</f>
        <v/>
      </c>
      <c r="K64" s="28" t="str">
        <f>+'S3'!AC64</f>
        <v/>
      </c>
      <c r="L64" t="str">
        <f>IF('S3'!J64&lt;&gt;"",'S3'!J64,"")</f>
        <v/>
      </c>
      <c r="M64" t="str">
        <f>IF('S3'!K64&lt;&gt;"",'S3'!K64,"")</f>
        <v/>
      </c>
      <c r="N64">
        <f>+IFERROR(VLOOKUP(L64,Sheet3!A:C,3,0)," ")</f>
        <v>0</v>
      </c>
      <c r="Q64">
        <f>+'S3'!N64</f>
        <v>0</v>
      </c>
      <c r="R64" s="25">
        <f>+'S3'!T64</f>
        <v>0</v>
      </c>
      <c r="U64">
        <f t="shared" si="3"/>
        <v>0</v>
      </c>
      <c r="V64" s="12" t="str">
        <f>+'S3'!X64</f>
        <v/>
      </c>
      <c r="W64" s="34" t="str">
        <f>+'S3'!Y64</f>
        <v/>
      </c>
      <c r="Y64" s="12" t="str">
        <f t="shared" si="1"/>
        <v/>
      </c>
      <c r="Z64" s="27" t="str">
        <f t="shared" si="4"/>
        <v/>
      </c>
      <c r="AA64" s="22">
        <v>0</v>
      </c>
      <c r="AB64" s="26" t="str">
        <f>+'S3'!Z64</f>
        <v/>
      </c>
    </row>
    <row r="65" spans="3:28" x14ac:dyDescent="0.3">
      <c r="C65" t="str">
        <f>+'S3'!AB65</f>
        <v/>
      </c>
      <c r="D65" t="str">
        <f>+IFERROR(VLOOKUP(F65,Sheet2!F:G,2,0),"")</f>
        <v/>
      </c>
      <c r="E65" t="str">
        <f>+IFERROR(VLOOKUP(C65,'S3'!E:F,2,0),"")</f>
        <v/>
      </c>
      <c r="F65" s="30" t="str">
        <f>+IFERROR(VLOOKUP(C65,Sheet2!C:F,4,0),"")</f>
        <v/>
      </c>
      <c r="G65" t="str">
        <f>+IFERROR(VLOOKUP(F65,Sheet2!F:H,3,0),"")</f>
        <v/>
      </c>
      <c r="K65" s="28" t="str">
        <f>+'S3'!AC65</f>
        <v/>
      </c>
      <c r="L65" t="str">
        <f>IF('S3'!J65&lt;&gt;"",'S3'!J65,"")</f>
        <v/>
      </c>
      <c r="M65" t="str">
        <f>IF('S3'!K65&lt;&gt;"",'S3'!K65,"")</f>
        <v/>
      </c>
      <c r="N65">
        <f>+IFERROR(VLOOKUP(L65,Sheet3!A:C,3,0)," ")</f>
        <v>0</v>
      </c>
      <c r="Q65">
        <f>+'S3'!N65</f>
        <v>0</v>
      </c>
      <c r="R65" s="25">
        <f>+'S3'!T65</f>
        <v>0</v>
      </c>
      <c r="U65">
        <f t="shared" si="3"/>
        <v>0</v>
      </c>
      <c r="V65" s="12" t="str">
        <f>+'S3'!X65</f>
        <v/>
      </c>
      <c r="W65" s="34" t="str">
        <f>+'S3'!Y65</f>
        <v/>
      </c>
      <c r="Y65" s="12" t="str">
        <f t="shared" si="1"/>
        <v/>
      </c>
      <c r="Z65" s="27" t="str">
        <f t="shared" si="4"/>
        <v/>
      </c>
      <c r="AA65" s="22">
        <v>0</v>
      </c>
      <c r="AB65" s="26" t="str">
        <f>+'S3'!Z65</f>
        <v/>
      </c>
    </row>
    <row r="66" spans="3:28" x14ac:dyDescent="0.3">
      <c r="C66" t="str">
        <f>+'S3'!AB66</f>
        <v/>
      </c>
      <c r="D66" t="str">
        <f>+IFERROR(VLOOKUP(F66,Sheet2!F:G,2,0),"")</f>
        <v/>
      </c>
      <c r="E66" t="str">
        <f>+IFERROR(VLOOKUP(C66,'S3'!E:F,2,0),"")</f>
        <v/>
      </c>
      <c r="F66" s="30" t="str">
        <f>+IFERROR(VLOOKUP(C66,Sheet2!C:F,4,0),"")</f>
        <v/>
      </c>
      <c r="G66" t="str">
        <f>+IFERROR(VLOOKUP(F66,Sheet2!F:H,3,0),"")</f>
        <v/>
      </c>
      <c r="K66" s="28" t="str">
        <f>+'S3'!AC66</f>
        <v/>
      </c>
      <c r="L66" t="str">
        <f>IF('S3'!J66&lt;&gt;"",'S3'!J66,"")</f>
        <v/>
      </c>
      <c r="M66" t="str">
        <f>IF('S3'!K66&lt;&gt;"",'S3'!K66,"")</f>
        <v/>
      </c>
      <c r="N66">
        <f>+IFERROR(VLOOKUP(L66,Sheet3!A:C,3,0)," ")</f>
        <v>0</v>
      </c>
      <c r="Q66">
        <f>+'S3'!N66</f>
        <v>0</v>
      </c>
      <c r="R66" s="25">
        <f>+'S3'!T66</f>
        <v>0</v>
      </c>
      <c r="U66">
        <f t="shared" si="3"/>
        <v>0</v>
      </c>
      <c r="V66" s="12" t="str">
        <f>+'S3'!X66</f>
        <v/>
      </c>
      <c r="W66" s="34" t="str">
        <f>+'S3'!Y66</f>
        <v/>
      </c>
      <c r="Y66" s="12" t="str">
        <f t="shared" si="1"/>
        <v/>
      </c>
      <c r="Z66" s="27" t="str">
        <f t="shared" si="4"/>
        <v/>
      </c>
      <c r="AA66" s="22">
        <v>0</v>
      </c>
      <c r="AB66" s="26" t="str">
        <f>+'S3'!Z66</f>
        <v/>
      </c>
    </row>
    <row r="67" spans="3:28" x14ac:dyDescent="0.3">
      <c r="C67" t="str">
        <f>+'S3'!AB67</f>
        <v/>
      </c>
      <c r="D67" t="str">
        <f>+IFERROR(VLOOKUP(F67,Sheet2!F:G,2,0),"")</f>
        <v/>
      </c>
      <c r="E67" t="str">
        <f>+IFERROR(VLOOKUP(C67,'S3'!E:F,2,0),"")</f>
        <v/>
      </c>
      <c r="F67" s="30" t="str">
        <f>+IFERROR(VLOOKUP(C67,Sheet2!C:F,4,0),"")</f>
        <v/>
      </c>
      <c r="G67" t="str">
        <f>+IFERROR(VLOOKUP(F67,Sheet2!F:H,3,0),"")</f>
        <v/>
      </c>
      <c r="K67" s="28" t="str">
        <f>+'S3'!AC67</f>
        <v/>
      </c>
      <c r="L67" t="str">
        <f>IF('S3'!J67&lt;&gt;"",'S3'!J67,"")</f>
        <v/>
      </c>
      <c r="M67" t="str">
        <f>IF('S3'!K67&lt;&gt;"",'S3'!K67,"")</f>
        <v/>
      </c>
      <c r="N67">
        <f>+IFERROR(VLOOKUP(L67,Sheet3!A:C,3,0)," ")</f>
        <v>0</v>
      </c>
      <c r="Q67">
        <f>+'S3'!N67</f>
        <v>0</v>
      </c>
      <c r="R67" s="25">
        <f>+'S3'!T67</f>
        <v>0</v>
      </c>
      <c r="U67">
        <f t="shared" si="3"/>
        <v>0</v>
      </c>
      <c r="V67" s="12" t="str">
        <f>+'S3'!X67</f>
        <v/>
      </c>
      <c r="W67" s="34" t="str">
        <f>+'S3'!Y67</f>
        <v/>
      </c>
      <c r="Y67" s="12" t="str">
        <f t="shared" ref="Y67:Y130" si="5">IFERROR(W67%*V67,"")</f>
        <v/>
      </c>
      <c r="Z67" s="27" t="str">
        <f t="shared" si="4"/>
        <v/>
      </c>
      <c r="AA67" s="22">
        <v>0</v>
      </c>
      <c r="AB67" s="26" t="str">
        <f>+'S3'!Z67</f>
        <v/>
      </c>
    </row>
    <row r="68" spans="3:28" x14ac:dyDescent="0.3">
      <c r="C68" t="str">
        <f>+'S3'!AB68</f>
        <v/>
      </c>
      <c r="D68" t="str">
        <f>+IFERROR(VLOOKUP(F68,Sheet2!F:G,2,0),"")</f>
        <v/>
      </c>
      <c r="E68" t="str">
        <f>+IFERROR(VLOOKUP(C68,'S3'!E:F,2,0),"")</f>
        <v/>
      </c>
      <c r="F68" s="30" t="str">
        <f>+IFERROR(VLOOKUP(C68,Sheet2!C:F,4,0),"")</f>
        <v/>
      </c>
      <c r="G68" t="str">
        <f>+IFERROR(VLOOKUP(F68,Sheet2!F:H,3,0),"")</f>
        <v/>
      </c>
      <c r="K68" s="28" t="str">
        <f>+'S3'!AC68</f>
        <v/>
      </c>
      <c r="L68" t="str">
        <f>IF('S3'!J68&lt;&gt;"",'S3'!J68,"")</f>
        <v/>
      </c>
      <c r="M68" t="str">
        <f>IF('S3'!K68&lt;&gt;"",'S3'!K68,"")</f>
        <v/>
      </c>
      <c r="N68">
        <f>+IFERROR(VLOOKUP(L68,Sheet3!A:C,3,0)," ")</f>
        <v>0</v>
      </c>
      <c r="Q68">
        <f>+'S3'!N68</f>
        <v>0</v>
      </c>
      <c r="R68" s="25">
        <f>+'S3'!T68</f>
        <v>0</v>
      </c>
      <c r="U68">
        <f t="shared" si="3"/>
        <v>0</v>
      </c>
      <c r="V68" s="12" t="str">
        <f>+'S3'!X68</f>
        <v/>
      </c>
      <c r="W68" s="34" t="str">
        <f>+'S3'!Y68</f>
        <v/>
      </c>
      <c r="Y68" s="12" t="str">
        <f t="shared" si="5"/>
        <v/>
      </c>
      <c r="Z68" s="27" t="str">
        <f t="shared" si="4"/>
        <v/>
      </c>
      <c r="AA68" s="22">
        <v>0</v>
      </c>
      <c r="AB68" s="26" t="str">
        <f>+'S3'!Z68</f>
        <v/>
      </c>
    </row>
    <row r="69" spans="3:28" x14ac:dyDescent="0.3">
      <c r="C69" t="str">
        <f>+'S3'!AB69</f>
        <v/>
      </c>
      <c r="D69" t="str">
        <f>+IFERROR(VLOOKUP(F69,Sheet2!F:G,2,0),"")</f>
        <v/>
      </c>
      <c r="E69" t="str">
        <f>+IFERROR(VLOOKUP(C69,'S3'!E:F,2,0),"")</f>
        <v/>
      </c>
      <c r="F69" s="30" t="str">
        <f>+IFERROR(VLOOKUP(C69,Sheet2!C:F,4,0),"")</f>
        <v/>
      </c>
      <c r="G69" t="str">
        <f>+IFERROR(VLOOKUP(F69,Sheet2!F:H,3,0),"")</f>
        <v/>
      </c>
      <c r="K69" s="28" t="str">
        <f>+'S3'!AC69</f>
        <v/>
      </c>
      <c r="L69" t="str">
        <f>IF('S3'!J69&lt;&gt;"",'S3'!J69,"")</f>
        <v/>
      </c>
      <c r="M69" t="str">
        <f>IF('S3'!K69&lt;&gt;"",'S3'!K69,"")</f>
        <v/>
      </c>
      <c r="N69">
        <f>+IFERROR(VLOOKUP(L69,Sheet3!A:C,3,0)," ")</f>
        <v>0</v>
      </c>
      <c r="Q69">
        <f>+'S3'!N69</f>
        <v>0</v>
      </c>
      <c r="R69" s="25">
        <f>+'S3'!T69</f>
        <v>0</v>
      </c>
      <c r="U69">
        <f t="shared" si="3"/>
        <v>0</v>
      </c>
      <c r="V69" s="12" t="str">
        <f>+'S3'!X69</f>
        <v/>
      </c>
      <c r="W69" s="34" t="str">
        <f>+'S3'!Y69</f>
        <v/>
      </c>
      <c r="Y69" s="12" t="str">
        <f t="shared" si="5"/>
        <v/>
      </c>
      <c r="Z69" s="27" t="str">
        <f t="shared" si="4"/>
        <v/>
      </c>
      <c r="AA69" s="22">
        <v>0</v>
      </c>
      <c r="AB69" s="26" t="str">
        <f>+'S3'!Z69</f>
        <v/>
      </c>
    </row>
    <row r="70" spans="3:28" x14ac:dyDescent="0.3">
      <c r="C70" t="str">
        <f>+'S3'!AB70</f>
        <v/>
      </c>
      <c r="D70" t="str">
        <f>+IFERROR(VLOOKUP(F70,Sheet2!F:G,2,0),"")</f>
        <v/>
      </c>
      <c r="E70" t="str">
        <f>+IFERROR(VLOOKUP(C70,'S3'!E:F,2,0),"")</f>
        <v/>
      </c>
      <c r="F70" s="30" t="str">
        <f>+IFERROR(VLOOKUP(C70,Sheet2!C:F,4,0),"")</f>
        <v/>
      </c>
      <c r="G70" t="str">
        <f>+IFERROR(VLOOKUP(F70,Sheet2!F:H,3,0),"")</f>
        <v/>
      </c>
      <c r="K70" s="28" t="str">
        <f>+'S3'!AC70</f>
        <v/>
      </c>
      <c r="L70" t="str">
        <f>IF('S3'!J70&lt;&gt;"",'S3'!J70,"")</f>
        <v/>
      </c>
      <c r="M70" t="str">
        <f>IF('S3'!K70&lt;&gt;"",'S3'!K70,"")</f>
        <v/>
      </c>
      <c r="N70">
        <f>+IFERROR(VLOOKUP(L70,Sheet3!A:C,3,0)," ")</f>
        <v>0</v>
      </c>
      <c r="Q70">
        <f>+'S3'!N70</f>
        <v>0</v>
      </c>
      <c r="R70" s="25">
        <f>+'S3'!T70</f>
        <v>0</v>
      </c>
      <c r="U70">
        <f t="shared" si="3"/>
        <v>0</v>
      </c>
      <c r="V70" s="12" t="str">
        <f>+'S3'!X70</f>
        <v/>
      </c>
      <c r="W70" s="34" t="str">
        <f>+'S3'!Y70</f>
        <v/>
      </c>
      <c r="Y70" s="12" t="str">
        <f t="shared" si="5"/>
        <v/>
      </c>
      <c r="Z70" s="27" t="str">
        <f t="shared" si="4"/>
        <v/>
      </c>
      <c r="AA70" s="22">
        <v>0</v>
      </c>
      <c r="AB70" s="26" t="str">
        <f>+'S3'!Z70</f>
        <v/>
      </c>
    </row>
    <row r="71" spans="3:28" x14ac:dyDescent="0.3">
      <c r="C71" t="str">
        <f>+'S3'!AB71</f>
        <v/>
      </c>
      <c r="D71" t="str">
        <f>+IFERROR(VLOOKUP(F71,Sheet2!F:G,2,0),"")</f>
        <v/>
      </c>
      <c r="E71" t="str">
        <f>+IFERROR(VLOOKUP(C71,'S3'!E:F,2,0),"")</f>
        <v/>
      </c>
      <c r="F71" s="30" t="str">
        <f>+IFERROR(VLOOKUP(C71,Sheet2!C:F,4,0),"")</f>
        <v/>
      </c>
      <c r="G71" t="str">
        <f>+IFERROR(VLOOKUP(F71,Sheet2!F:H,3,0),"")</f>
        <v/>
      </c>
      <c r="K71" s="28" t="str">
        <f>+'S3'!AC71</f>
        <v/>
      </c>
      <c r="L71" t="str">
        <f>IF('S3'!J71&lt;&gt;"",'S3'!J71,"")</f>
        <v/>
      </c>
      <c r="M71" t="str">
        <f>IF('S3'!K71&lt;&gt;"",'S3'!K71,"")</f>
        <v/>
      </c>
      <c r="N71">
        <f>+IFERROR(VLOOKUP(L71,Sheet3!A:C,3,0)," ")</f>
        <v>0</v>
      </c>
      <c r="Q71">
        <f>+'S3'!N71</f>
        <v>0</v>
      </c>
      <c r="R71" s="25">
        <f>+'S3'!T71</f>
        <v>0</v>
      </c>
      <c r="U71">
        <f t="shared" si="3"/>
        <v>0</v>
      </c>
      <c r="V71" s="12" t="str">
        <f>+'S3'!X71</f>
        <v/>
      </c>
      <c r="W71" s="34" t="str">
        <f>+'S3'!Y71</f>
        <v/>
      </c>
      <c r="Y71" s="12" t="str">
        <f t="shared" si="5"/>
        <v/>
      </c>
      <c r="Z71" s="27" t="str">
        <f t="shared" si="4"/>
        <v/>
      </c>
      <c r="AA71" s="22">
        <v>0</v>
      </c>
      <c r="AB71" s="26" t="str">
        <f>+'S3'!Z71</f>
        <v/>
      </c>
    </row>
    <row r="72" spans="3:28" x14ac:dyDescent="0.3">
      <c r="C72" t="str">
        <f>+'S3'!AB72</f>
        <v/>
      </c>
      <c r="D72" t="str">
        <f>+IFERROR(VLOOKUP(F72,Sheet2!F:G,2,0),"")</f>
        <v/>
      </c>
      <c r="E72" t="str">
        <f>+IFERROR(VLOOKUP(C72,'S3'!E:F,2,0),"")</f>
        <v/>
      </c>
      <c r="F72" s="30" t="str">
        <f>+IFERROR(VLOOKUP(C72,Sheet2!C:F,4,0),"")</f>
        <v/>
      </c>
      <c r="G72" t="str">
        <f>+IFERROR(VLOOKUP(F72,Sheet2!F:H,3,0),"")</f>
        <v/>
      </c>
      <c r="K72" s="28" t="str">
        <f>+'S3'!AC72</f>
        <v/>
      </c>
      <c r="L72" t="str">
        <f>IF('S3'!J72&lt;&gt;"",'S3'!J72,"")</f>
        <v/>
      </c>
      <c r="M72" t="str">
        <f>IF('S3'!K72&lt;&gt;"",'S3'!K72,"")</f>
        <v/>
      </c>
      <c r="N72">
        <f>+IFERROR(VLOOKUP(L72,Sheet3!A:C,3,0)," ")</f>
        <v>0</v>
      </c>
      <c r="Q72">
        <f>+'S3'!N72</f>
        <v>0</v>
      </c>
      <c r="R72" s="25">
        <f>+'S3'!T72</f>
        <v>0</v>
      </c>
      <c r="U72">
        <f t="shared" si="3"/>
        <v>0</v>
      </c>
      <c r="V72" s="12" t="str">
        <f>+'S3'!X72</f>
        <v/>
      </c>
      <c r="W72" s="34" t="str">
        <f>+'S3'!Y72</f>
        <v/>
      </c>
      <c r="Y72" s="12" t="str">
        <f t="shared" si="5"/>
        <v/>
      </c>
      <c r="Z72" s="27" t="str">
        <f t="shared" si="4"/>
        <v/>
      </c>
      <c r="AA72" s="22">
        <v>0</v>
      </c>
      <c r="AB72" s="26" t="str">
        <f>+'S3'!Z72</f>
        <v/>
      </c>
    </row>
    <row r="73" spans="3:28" x14ac:dyDescent="0.3">
      <c r="C73" t="str">
        <f>+'S3'!AB73</f>
        <v/>
      </c>
      <c r="D73" t="str">
        <f>+IFERROR(VLOOKUP(F73,Sheet2!F:G,2,0),"")</f>
        <v/>
      </c>
      <c r="E73" t="str">
        <f>+IFERROR(VLOOKUP(C73,'S3'!E:F,2,0),"")</f>
        <v/>
      </c>
      <c r="F73" s="30" t="str">
        <f>+IFERROR(VLOOKUP(C73,Sheet2!C:F,4,0),"")</f>
        <v/>
      </c>
      <c r="G73" t="str">
        <f>+IFERROR(VLOOKUP(F73,Sheet2!F:H,3,0),"")</f>
        <v/>
      </c>
      <c r="K73" s="28" t="str">
        <f>+'S3'!AC73</f>
        <v/>
      </c>
      <c r="L73" t="str">
        <f>IF('S3'!J73&lt;&gt;"",'S3'!J73,"")</f>
        <v/>
      </c>
      <c r="M73" t="str">
        <f>IF('S3'!K73&lt;&gt;"",'S3'!K73,"")</f>
        <v/>
      </c>
      <c r="N73">
        <f>+IFERROR(VLOOKUP(L73,Sheet3!A:C,3,0)," ")</f>
        <v>0</v>
      </c>
      <c r="Q73">
        <f>+'S3'!N73</f>
        <v>0</v>
      </c>
      <c r="R73" s="25">
        <f>+'S3'!T73</f>
        <v>0</v>
      </c>
      <c r="U73">
        <f t="shared" si="3"/>
        <v>0</v>
      </c>
      <c r="V73" s="12" t="str">
        <f>+'S3'!X73</f>
        <v/>
      </c>
      <c r="W73" s="34" t="str">
        <f>+'S3'!Y73</f>
        <v/>
      </c>
      <c r="Y73" s="12" t="str">
        <f t="shared" si="5"/>
        <v/>
      </c>
      <c r="Z73" s="27" t="str">
        <f t="shared" si="4"/>
        <v/>
      </c>
      <c r="AA73" s="22">
        <v>0</v>
      </c>
      <c r="AB73" s="26" t="str">
        <f>+'S3'!Z73</f>
        <v/>
      </c>
    </row>
    <row r="74" spans="3:28" x14ac:dyDescent="0.3">
      <c r="C74" t="str">
        <f>+'S3'!AB74</f>
        <v/>
      </c>
      <c r="D74" t="str">
        <f>+IFERROR(VLOOKUP(F74,Sheet2!F:G,2,0),"")</f>
        <v/>
      </c>
      <c r="E74" t="str">
        <f>+IFERROR(VLOOKUP(C74,'S3'!E:F,2,0),"")</f>
        <v/>
      </c>
      <c r="F74" s="30" t="str">
        <f>+IFERROR(VLOOKUP(C74,Sheet2!C:F,4,0),"")</f>
        <v/>
      </c>
      <c r="G74" t="str">
        <f>+IFERROR(VLOOKUP(F74,Sheet2!F:H,3,0),"")</f>
        <v/>
      </c>
      <c r="K74" s="28" t="str">
        <f>+'S3'!AC74</f>
        <v/>
      </c>
      <c r="L74" t="str">
        <f>IF('S3'!J74&lt;&gt;"",'S3'!J74,"")</f>
        <v/>
      </c>
      <c r="M74" t="str">
        <f>IF('S3'!K74&lt;&gt;"",'S3'!K74,"")</f>
        <v/>
      </c>
      <c r="N74">
        <f>+IFERROR(VLOOKUP(L74,Sheet3!A:C,3,0)," ")</f>
        <v>0</v>
      </c>
      <c r="Q74">
        <f>+'S3'!N74</f>
        <v>0</v>
      </c>
      <c r="R74" s="25">
        <f>+'S3'!T74</f>
        <v>0</v>
      </c>
      <c r="U74">
        <f t="shared" si="3"/>
        <v>0</v>
      </c>
      <c r="V74" s="12" t="str">
        <f>+'S3'!X74</f>
        <v/>
      </c>
      <c r="W74" s="34" t="str">
        <f>+'S3'!Y74</f>
        <v/>
      </c>
      <c r="Y74" s="12" t="str">
        <f t="shared" si="5"/>
        <v/>
      </c>
      <c r="Z74" s="27" t="str">
        <f t="shared" si="4"/>
        <v/>
      </c>
      <c r="AA74" s="22">
        <v>0</v>
      </c>
      <c r="AB74" s="26" t="str">
        <f>+'S3'!Z74</f>
        <v/>
      </c>
    </row>
    <row r="75" spans="3:28" x14ac:dyDescent="0.3">
      <c r="C75" t="str">
        <f>+'S3'!AB75</f>
        <v/>
      </c>
      <c r="D75" t="str">
        <f>+IFERROR(VLOOKUP(F75,Sheet2!F:G,2,0),"")</f>
        <v/>
      </c>
      <c r="E75" t="str">
        <f>+IFERROR(VLOOKUP(C75,'S3'!E:F,2,0),"")</f>
        <v/>
      </c>
      <c r="F75" s="30" t="str">
        <f>+IFERROR(VLOOKUP(C75,Sheet2!C:F,4,0),"")</f>
        <v/>
      </c>
      <c r="G75" t="str">
        <f>+IFERROR(VLOOKUP(F75,Sheet2!F:H,3,0),"")</f>
        <v/>
      </c>
      <c r="K75" s="28" t="str">
        <f>+'S3'!AC75</f>
        <v/>
      </c>
      <c r="L75" t="str">
        <f>IF('S3'!J75&lt;&gt;"",'S3'!J75,"")</f>
        <v/>
      </c>
      <c r="M75" t="str">
        <f>IF('S3'!K75&lt;&gt;"",'S3'!K75,"")</f>
        <v/>
      </c>
      <c r="N75">
        <f>+IFERROR(VLOOKUP(L75,Sheet3!A:C,3,0)," ")</f>
        <v>0</v>
      </c>
      <c r="Q75">
        <f>+'S3'!N75</f>
        <v>0</v>
      </c>
      <c r="R75" s="25">
        <f>+'S3'!T75</f>
        <v>0</v>
      </c>
      <c r="U75">
        <f t="shared" si="3"/>
        <v>0</v>
      </c>
      <c r="V75" s="12" t="str">
        <f>+'S3'!X75</f>
        <v/>
      </c>
      <c r="W75" s="34" t="str">
        <f>+'S3'!Y75</f>
        <v/>
      </c>
      <c r="Y75" s="12" t="str">
        <f t="shared" si="5"/>
        <v/>
      </c>
      <c r="Z75" s="27" t="str">
        <f t="shared" si="4"/>
        <v/>
      </c>
      <c r="AA75" s="22">
        <v>0</v>
      </c>
      <c r="AB75" s="26" t="str">
        <f>+'S3'!Z75</f>
        <v/>
      </c>
    </row>
    <row r="76" spans="3:28" x14ac:dyDescent="0.3">
      <c r="C76" t="str">
        <f>+'S3'!AB76</f>
        <v/>
      </c>
      <c r="D76" t="str">
        <f>+IFERROR(VLOOKUP(F76,Sheet2!F:G,2,0),"")</f>
        <v/>
      </c>
      <c r="E76" t="str">
        <f>+IFERROR(VLOOKUP(C76,'S3'!E:F,2,0),"")</f>
        <v/>
      </c>
      <c r="F76" s="30" t="str">
        <f>+IFERROR(VLOOKUP(C76,Sheet2!C:F,4,0),"")</f>
        <v/>
      </c>
      <c r="G76" t="str">
        <f>+IFERROR(VLOOKUP(F76,Sheet2!F:H,3,0),"")</f>
        <v/>
      </c>
      <c r="K76" s="28" t="str">
        <f>+'S3'!AC76</f>
        <v/>
      </c>
      <c r="L76" t="str">
        <f>IF('S3'!J76&lt;&gt;"",'S3'!J76,"")</f>
        <v/>
      </c>
      <c r="M76" t="str">
        <f>IF('S3'!K76&lt;&gt;"",'S3'!K76,"")</f>
        <v/>
      </c>
      <c r="N76">
        <f>+IFERROR(VLOOKUP(L76,Sheet3!A:C,3,0)," ")</f>
        <v>0</v>
      </c>
      <c r="Q76">
        <f>+'S3'!N76</f>
        <v>0</v>
      </c>
      <c r="R76" s="25">
        <f>+'S3'!T76</f>
        <v>0</v>
      </c>
      <c r="U76">
        <f t="shared" si="3"/>
        <v>0</v>
      </c>
      <c r="V76" s="12" t="str">
        <f>+'S3'!X76</f>
        <v/>
      </c>
      <c r="W76" s="34" t="str">
        <f>+'S3'!Y76</f>
        <v/>
      </c>
      <c r="Y76" s="12" t="str">
        <f t="shared" si="5"/>
        <v/>
      </c>
      <c r="Z76" s="27" t="str">
        <f t="shared" si="4"/>
        <v/>
      </c>
      <c r="AA76" s="22">
        <v>0</v>
      </c>
      <c r="AB76" s="26" t="str">
        <f>+'S3'!Z76</f>
        <v/>
      </c>
    </row>
    <row r="77" spans="3:28" x14ac:dyDescent="0.3">
      <c r="C77" t="str">
        <f>+'S3'!AB77</f>
        <v/>
      </c>
      <c r="D77" t="str">
        <f>+IFERROR(VLOOKUP(F77,Sheet2!F:G,2,0),"")</f>
        <v/>
      </c>
      <c r="E77" t="str">
        <f>+IFERROR(VLOOKUP(C77,'S3'!E:F,2,0),"")</f>
        <v/>
      </c>
      <c r="F77" s="30" t="str">
        <f>+IFERROR(VLOOKUP(C77,Sheet2!C:F,4,0),"")</f>
        <v/>
      </c>
      <c r="G77" t="str">
        <f>+IFERROR(VLOOKUP(F77,Sheet2!F:H,3,0),"")</f>
        <v/>
      </c>
      <c r="K77" s="28" t="str">
        <f>+'S3'!AC77</f>
        <v/>
      </c>
      <c r="L77" t="str">
        <f>IF('S3'!J77&lt;&gt;"",'S3'!J77,"")</f>
        <v/>
      </c>
      <c r="M77" t="str">
        <f>IF('S3'!K77&lt;&gt;"",'S3'!K77,"")</f>
        <v/>
      </c>
      <c r="N77">
        <f>+IFERROR(VLOOKUP(L77,Sheet3!A:C,3,0)," ")</f>
        <v>0</v>
      </c>
      <c r="Q77">
        <f>+'S3'!N77</f>
        <v>0</v>
      </c>
      <c r="R77" s="25">
        <f>+'S3'!T77</f>
        <v>0</v>
      </c>
      <c r="U77">
        <f t="shared" si="3"/>
        <v>0</v>
      </c>
      <c r="V77" s="12" t="str">
        <f>+'S3'!X77</f>
        <v/>
      </c>
      <c r="W77" s="34" t="str">
        <f>+'S3'!Y77</f>
        <v/>
      </c>
      <c r="Y77" s="12" t="str">
        <f t="shared" si="5"/>
        <v/>
      </c>
      <c r="Z77" s="27" t="str">
        <f t="shared" si="4"/>
        <v/>
      </c>
      <c r="AA77" s="22">
        <v>0</v>
      </c>
      <c r="AB77" s="26" t="str">
        <f>+'S3'!Z77</f>
        <v/>
      </c>
    </row>
    <row r="78" spans="3:28" x14ac:dyDescent="0.3">
      <c r="C78" t="str">
        <f>+'S3'!AB78</f>
        <v/>
      </c>
      <c r="D78" t="str">
        <f>+IFERROR(VLOOKUP(F78,Sheet2!F:G,2,0),"")</f>
        <v/>
      </c>
      <c r="E78" t="str">
        <f>+IFERROR(VLOOKUP(C78,'S3'!E:F,2,0),"")</f>
        <v/>
      </c>
      <c r="F78" s="30" t="str">
        <f>+IFERROR(VLOOKUP(C78,Sheet2!C:F,4,0),"")</f>
        <v/>
      </c>
      <c r="G78" t="str">
        <f>+IFERROR(VLOOKUP(F78,Sheet2!F:H,3,0),"")</f>
        <v/>
      </c>
      <c r="K78" s="28" t="str">
        <f>+'S3'!AC78</f>
        <v/>
      </c>
      <c r="L78" t="str">
        <f>IF('S3'!J78&lt;&gt;"",'S3'!J78,"")</f>
        <v/>
      </c>
      <c r="M78" t="str">
        <f>IF('S3'!K78&lt;&gt;"",'S3'!K78,"")</f>
        <v/>
      </c>
      <c r="N78">
        <f>+IFERROR(VLOOKUP(L78,Sheet3!A:C,3,0)," ")</f>
        <v>0</v>
      </c>
      <c r="Q78">
        <f>+'S3'!N78</f>
        <v>0</v>
      </c>
      <c r="R78" s="25">
        <f>+'S3'!T78</f>
        <v>0</v>
      </c>
      <c r="U78">
        <f t="shared" si="3"/>
        <v>0</v>
      </c>
      <c r="V78" s="12" t="str">
        <f>+'S3'!X78</f>
        <v/>
      </c>
      <c r="W78" s="34" t="str">
        <f>+'S3'!Y78</f>
        <v/>
      </c>
      <c r="Y78" s="12" t="str">
        <f t="shared" si="5"/>
        <v/>
      </c>
      <c r="Z78" s="27" t="str">
        <f t="shared" si="4"/>
        <v/>
      </c>
      <c r="AA78" s="22">
        <v>0</v>
      </c>
      <c r="AB78" s="26" t="str">
        <f>+'S3'!Z78</f>
        <v/>
      </c>
    </row>
    <row r="79" spans="3:28" x14ac:dyDescent="0.3">
      <c r="C79" t="str">
        <f>+'S3'!AB79</f>
        <v/>
      </c>
      <c r="D79" t="str">
        <f>+IFERROR(VLOOKUP(F79,Sheet2!F:G,2,0),"")</f>
        <v/>
      </c>
      <c r="E79" t="str">
        <f>+IFERROR(VLOOKUP(C79,'S3'!E:F,2,0),"")</f>
        <v/>
      </c>
      <c r="F79" s="30" t="str">
        <f>+IFERROR(VLOOKUP(C79,Sheet2!C:F,4,0),"")</f>
        <v/>
      </c>
      <c r="G79" t="str">
        <f>+IFERROR(VLOOKUP(F79,Sheet2!F:H,3,0),"")</f>
        <v/>
      </c>
      <c r="K79" s="28" t="str">
        <f>+'S3'!AC79</f>
        <v/>
      </c>
      <c r="L79" t="str">
        <f>IF('S3'!J79&lt;&gt;"",'S3'!J79,"")</f>
        <v/>
      </c>
      <c r="M79" t="str">
        <f>IF('S3'!K79&lt;&gt;"",'S3'!K79,"")</f>
        <v/>
      </c>
      <c r="N79">
        <f>+IFERROR(VLOOKUP(L79,Sheet3!A:C,3,0)," ")</f>
        <v>0</v>
      </c>
      <c r="Q79">
        <f>+'S3'!N79</f>
        <v>0</v>
      </c>
      <c r="R79" s="25">
        <f>+'S3'!T79</f>
        <v>0</v>
      </c>
      <c r="U79">
        <f t="shared" si="3"/>
        <v>0</v>
      </c>
      <c r="V79" s="12" t="str">
        <f>+'S3'!X79</f>
        <v/>
      </c>
      <c r="W79" s="34" t="str">
        <f>+'S3'!Y79</f>
        <v/>
      </c>
      <c r="Y79" s="12" t="str">
        <f t="shared" si="5"/>
        <v/>
      </c>
      <c r="Z79" s="27" t="str">
        <f t="shared" si="4"/>
        <v/>
      </c>
      <c r="AA79" s="22">
        <v>0</v>
      </c>
      <c r="AB79" s="26" t="str">
        <f>+'S3'!Z79</f>
        <v/>
      </c>
    </row>
    <row r="80" spans="3:28" x14ac:dyDescent="0.3">
      <c r="C80" t="str">
        <f>+'S3'!AB80</f>
        <v/>
      </c>
      <c r="D80" t="str">
        <f>+IFERROR(VLOOKUP(F80,Sheet2!F:G,2,0),"")</f>
        <v/>
      </c>
      <c r="E80" t="str">
        <f>+IFERROR(VLOOKUP(C80,'S3'!E:F,2,0),"")</f>
        <v/>
      </c>
      <c r="F80" s="30" t="str">
        <f>+IFERROR(VLOOKUP(C80,Sheet2!C:F,4,0),"")</f>
        <v/>
      </c>
      <c r="G80" t="str">
        <f>+IFERROR(VLOOKUP(F80,Sheet2!F:H,3,0),"")</f>
        <v/>
      </c>
      <c r="K80" s="28" t="str">
        <f>+'S3'!AC80</f>
        <v/>
      </c>
      <c r="L80" t="str">
        <f>IF('S3'!J80&lt;&gt;"",'S3'!J80,"")</f>
        <v/>
      </c>
      <c r="M80" t="str">
        <f>IF('S3'!K80&lt;&gt;"",'S3'!K80,"")</f>
        <v/>
      </c>
      <c r="N80">
        <f>+IFERROR(VLOOKUP(L80,Sheet3!A:C,3,0)," ")</f>
        <v>0</v>
      </c>
      <c r="Q80">
        <f>+'S3'!N80</f>
        <v>0</v>
      </c>
      <c r="R80" s="25">
        <f>+'S3'!T80</f>
        <v>0</v>
      </c>
      <c r="U80">
        <f t="shared" si="3"/>
        <v>0</v>
      </c>
      <c r="V80" s="12" t="str">
        <f>+'S3'!X80</f>
        <v/>
      </c>
      <c r="W80" s="34" t="str">
        <f>+'S3'!Y80</f>
        <v/>
      </c>
      <c r="Y80" s="12" t="str">
        <f t="shared" si="5"/>
        <v/>
      </c>
      <c r="Z80" s="27" t="str">
        <f t="shared" si="4"/>
        <v/>
      </c>
      <c r="AA80" s="22">
        <v>0</v>
      </c>
      <c r="AB80" s="26" t="str">
        <f>+'S3'!Z80</f>
        <v/>
      </c>
    </row>
    <row r="81" spans="3:28" x14ac:dyDescent="0.3">
      <c r="C81" t="str">
        <f>+'S3'!AB81</f>
        <v/>
      </c>
      <c r="D81" t="str">
        <f>+IFERROR(VLOOKUP(F81,Sheet2!F:G,2,0),"")</f>
        <v/>
      </c>
      <c r="E81" t="str">
        <f>+IFERROR(VLOOKUP(C81,'S3'!E:F,2,0),"")</f>
        <v/>
      </c>
      <c r="F81" s="30" t="str">
        <f>+IFERROR(VLOOKUP(C81,Sheet2!C:F,4,0),"")</f>
        <v/>
      </c>
      <c r="G81" t="str">
        <f>+IFERROR(VLOOKUP(F81,Sheet2!F:H,3,0),"")</f>
        <v/>
      </c>
      <c r="K81" s="28" t="str">
        <f>+'S3'!AC81</f>
        <v/>
      </c>
      <c r="L81" t="str">
        <f>IF('S3'!J81&lt;&gt;"",'S3'!J81,"")</f>
        <v/>
      </c>
      <c r="M81" t="str">
        <f>IF('S3'!K81&lt;&gt;"",'S3'!K81,"")</f>
        <v/>
      </c>
      <c r="N81">
        <f>+IFERROR(VLOOKUP(L81,Sheet3!A:C,3,0)," ")</f>
        <v>0</v>
      </c>
      <c r="Q81">
        <f>+'S3'!N81</f>
        <v>0</v>
      </c>
      <c r="R81" s="25">
        <f>+'S3'!T81</f>
        <v>0</v>
      </c>
      <c r="U81">
        <f t="shared" si="3"/>
        <v>0</v>
      </c>
      <c r="V81" s="12" t="str">
        <f>+'S3'!X81</f>
        <v/>
      </c>
      <c r="W81" s="34" t="str">
        <f>+'S3'!Y81</f>
        <v/>
      </c>
      <c r="Y81" s="12" t="str">
        <f t="shared" si="5"/>
        <v/>
      </c>
      <c r="Z81" s="27" t="str">
        <f t="shared" si="4"/>
        <v/>
      </c>
      <c r="AA81" s="22">
        <v>0</v>
      </c>
      <c r="AB81" s="26" t="str">
        <f>+'S3'!Z81</f>
        <v/>
      </c>
    </row>
    <row r="82" spans="3:28" x14ac:dyDescent="0.3">
      <c r="C82" t="str">
        <f>+'S3'!AB82</f>
        <v/>
      </c>
      <c r="D82" t="str">
        <f>+IFERROR(VLOOKUP(F82,Sheet2!F:G,2,0),"")</f>
        <v/>
      </c>
      <c r="E82" t="str">
        <f>+IFERROR(VLOOKUP(C82,'S3'!E:F,2,0),"")</f>
        <v/>
      </c>
      <c r="F82" s="30" t="str">
        <f>+IFERROR(VLOOKUP(C82,Sheet2!C:F,4,0),"")</f>
        <v/>
      </c>
      <c r="G82" t="str">
        <f>+IFERROR(VLOOKUP(F82,Sheet2!F:H,3,0),"")</f>
        <v/>
      </c>
      <c r="K82" s="28" t="str">
        <f>+'S3'!AC82</f>
        <v/>
      </c>
      <c r="L82" t="str">
        <f>IF('S3'!J82&lt;&gt;"",'S3'!J82,"")</f>
        <v/>
      </c>
      <c r="M82" t="str">
        <f>IF('S3'!K82&lt;&gt;"",'S3'!K82,"")</f>
        <v/>
      </c>
      <c r="N82">
        <f>+IFERROR(VLOOKUP(L82,Sheet3!A:C,3,0)," ")</f>
        <v>0</v>
      </c>
      <c r="Q82">
        <f>+'S3'!N82</f>
        <v>0</v>
      </c>
      <c r="R82" s="25">
        <f>+'S3'!T82</f>
        <v>0</v>
      </c>
      <c r="U82">
        <f t="shared" si="3"/>
        <v>0</v>
      </c>
      <c r="V82" s="12" t="str">
        <f>+'S3'!X82</f>
        <v/>
      </c>
      <c r="W82" s="34" t="str">
        <f>+'S3'!Y82</f>
        <v/>
      </c>
      <c r="Y82" s="12" t="str">
        <f t="shared" si="5"/>
        <v/>
      </c>
      <c r="Z82" s="27" t="str">
        <f t="shared" si="4"/>
        <v/>
      </c>
      <c r="AA82" s="22">
        <v>0</v>
      </c>
      <c r="AB82" s="26" t="str">
        <f>+'S3'!Z82</f>
        <v/>
      </c>
    </row>
    <row r="83" spans="3:28" x14ac:dyDescent="0.3">
      <c r="C83" t="str">
        <f>+'S3'!AB83</f>
        <v/>
      </c>
      <c r="D83" t="str">
        <f>+IFERROR(VLOOKUP(F83,Sheet2!F:G,2,0),"")</f>
        <v/>
      </c>
      <c r="E83" t="str">
        <f>+IFERROR(VLOOKUP(C83,'S3'!E:F,2,0),"")</f>
        <v/>
      </c>
      <c r="F83" s="30" t="str">
        <f>+IFERROR(VLOOKUP(C83,Sheet2!C:F,4,0),"")</f>
        <v/>
      </c>
      <c r="G83" t="str">
        <f>+IFERROR(VLOOKUP(F83,Sheet2!F:H,3,0),"")</f>
        <v/>
      </c>
      <c r="K83" s="28" t="str">
        <f>+'S3'!AC83</f>
        <v/>
      </c>
      <c r="L83" t="str">
        <f>IF('S3'!J83&lt;&gt;"",'S3'!J83,"")</f>
        <v/>
      </c>
      <c r="M83" t="str">
        <f>IF('S3'!K83&lt;&gt;"",'S3'!K83,"")</f>
        <v/>
      </c>
      <c r="N83">
        <f>+IFERROR(VLOOKUP(L83,Sheet3!A:C,3,0)," ")</f>
        <v>0</v>
      </c>
      <c r="Q83">
        <f>+'S3'!N83</f>
        <v>0</v>
      </c>
      <c r="R83" s="25">
        <f>+'S3'!T83</f>
        <v>0</v>
      </c>
      <c r="U83">
        <f t="shared" si="3"/>
        <v>0</v>
      </c>
      <c r="V83" s="12" t="str">
        <f>+'S3'!X83</f>
        <v/>
      </c>
      <c r="W83" s="34" t="str">
        <f>+'S3'!Y83</f>
        <v/>
      </c>
      <c r="Y83" s="12" t="str">
        <f t="shared" si="5"/>
        <v/>
      </c>
      <c r="Z83" s="27" t="str">
        <f t="shared" si="4"/>
        <v/>
      </c>
      <c r="AA83" s="22">
        <v>0</v>
      </c>
      <c r="AB83" s="26" t="str">
        <f>+'S3'!Z83</f>
        <v/>
      </c>
    </row>
    <row r="84" spans="3:28" x14ac:dyDescent="0.3">
      <c r="C84" t="str">
        <f>+'S3'!AB84</f>
        <v/>
      </c>
      <c r="D84" t="str">
        <f>+IFERROR(VLOOKUP(F84,Sheet2!F:G,2,0),"")</f>
        <v/>
      </c>
      <c r="E84" t="str">
        <f>+IFERROR(VLOOKUP(C84,'S3'!E:F,2,0),"")</f>
        <v/>
      </c>
      <c r="F84" s="30" t="str">
        <f>+IFERROR(VLOOKUP(C84,Sheet2!C:F,4,0),"")</f>
        <v/>
      </c>
      <c r="G84" t="str">
        <f>+IFERROR(VLOOKUP(F84,Sheet2!F:H,3,0),"")</f>
        <v/>
      </c>
      <c r="K84" s="28" t="str">
        <f>+'S3'!AC84</f>
        <v/>
      </c>
      <c r="L84" t="str">
        <f>IF('S3'!J84&lt;&gt;"",'S3'!J84,"")</f>
        <v/>
      </c>
      <c r="M84" t="str">
        <f>IF('S3'!K84&lt;&gt;"",'S3'!K84,"")</f>
        <v/>
      </c>
      <c r="N84">
        <f>+IFERROR(VLOOKUP(L84,Sheet3!A:C,3,0)," ")</f>
        <v>0</v>
      </c>
      <c r="Q84">
        <f>+'S3'!N84</f>
        <v>0</v>
      </c>
      <c r="R84" s="25">
        <f>+'S3'!T84</f>
        <v>0</v>
      </c>
      <c r="U84">
        <f t="shared" si="3"/>
        <v>0</v>
      </c>
      <c r="V84" s="12" t="str">
        <f>+'S3'!X84</f>
        <v/>
      </c>
      <c r="W84" s="34" t="str">
        <f>+'S3'!Y84</f>
        <v/>
      </c>
      <c r="Y84" s="12" t="str">
        <f t="shared" si="5"/>
        <v/>
      </c>
      <c r="Z84" s="27" t="str">
        <f t="shared" si="4"/>
        <v/>
      </c>
      <c r="AA84" s="22">
        <v>0</v>
      </c>
      <c r="AB84" s="26" t="str">
        <f>+'S3'!Z84</f>
        <v/>
      </c>
    </row>
    <row r="85" spans="3:28" x14ac:dyDescent="0.3">
      <c r="C85" t="str">
        <f>+'S3'!AB85</f>
        <v/>
      </c>
      <c r="D85" t="str">
        <f>+IFERROR(VLOOKUP(F85,Sheet2!F:G,2,0),"")</f>
        <v/>
      </c>
      <c r="E85" t="str">
        <f>+IFERROR(VLOOKUP(C85,'S3'!E:F,2,0),"")</f>
        <v/>
      </c>
      <c r="F85" s="30" t="str">
        <f>+IFERROR(VLOOKUP(C85,Sheet2!C:F,4,0),"")</f>
        <v/>
      </c>
      <c r="G85" t="str">
        <f>+IFERROR(VLOOKUP(F85,Sheet2!F:H,3,0),"")</f>
        <v/>
      </c>
      <c r="K85" s="28" t="str">
        <f>+'S3'!AC85</f>
        <v/>
      </c>
      <c r="L85" t="str">
        <f>IF('S3'!J85&lt;&gt;"",'S3'!J85,"")</f>
        <v/>
      </c>
      <c r="M85" t="str">
        <f>IF('S3'!K85&lt;&gt;"",'S3'!K85,"")</f>
        <v/>
      </c>
      <c r="N85">
        <f>+IFERROR(VLOOKUP(L85,Sheet3!A:C,3,0)," ")</f>
        <v>0</v>
      </c>
      <c r="Q85">
        <f>+'S3'!N85</f>
        <v>0</v>
      </c>
      <c r="R85" s="25">
        <f>+'S3'!T85</f>
        <v>0</v>
      </c>
      <c r="U85">
        <f t="shared" si="3"/>
        <v>0</v>
      </c>
      <c r="V85" s="12" t="str">
        <f>+'S3'!X85</f>
        <v/>
      </c>
      <c r="W85" s="34" t="str">
        <f>+'S3'!Y85</f>
        <v/>
      </c>
      <c r="Y85" s="12" t="str">
        <f t="shared" si="5"/>
        <v/>
      </c>
      <c r="Z85" s="27" t="str">
        <f t="shared" si="4"/>
        <v/>
      </c>
      <c r="AA85" s="22">
        <v>0</v>
      </c>
      <c r="AB85" s="26" t="str">
        <f>+'S3'!Z85</f>
        <v/>
      </c>
    </row>
    <row r="86" spans="3:28" x14ac:dyDescent="0.3">
      <c r="C86" t="str">
        <f>+'S3'!AB86</f>
        <v/>
      </c>
      <c r="D86" t="str">
        <f>+IFERROR(VLOOKUP(F86,Sheet2!F:G,2,0),"")</f>
        <v/>
      </c>
      <c r="E86" t="str">
        <f>+IFERROR(VLOOKUP(C86,'S3'!E:F,2,0),"")</f>
        <v/>
      </c>
      <c r="F86" s="30" t="str">
        <f>+IFERROR(VLOOKUP(C86,Sheet2!C:F,4,0),"")</f>
        <v/>
      </c>
      <c r="G86" t="str">
        <f>+IFERROR(VLOOKUP(F86,Sheet2!F:H,3,0),"")</f>
        <v/>
      </c>
      <c r="K86" s="28" t="str">
        <f>+'S3'!AC86</f>
        <v/>
      </c>
      <c r="L86" t="str">
        <f>IF('S3'!J86&lt;&gt;"",'S3'!J86,"")</f>
        <v/>
      </c>
      <c r="M86" t="str">
        <f>IF('S3'!K86&lt;&gt;"",'S3'!K86,"")</f>
        <v/>
      </c>
      <c r="N86">
        <f>+IFERROR(VLOOKUP(L86,Sheet3!A:C,3,0)," ")</f>
        <v>0</v>
      </c>
      <c r="Q86">
        <f>+'S3'!N86</f>
        <v>0</v>
      </c>
      <c r="R86" s="25">
        <f>+'S3'!T86</f>
        <v>0</v>
      </c>
      <c r="U86">
        <f t="shared" si="3"/>
        <v>0</v>
      </c>
      <c r="V86" s="12" t="str">
        <f>+'S3'!X86</f>
        <v/>
      </c>
      <c r="W86" s="34" t="str">
        <f>+'S3'!Y86</f>
        <v/>
      </c>
      <c r="Y86" s="12" t="str">
        <f t="shared" si="5"/>
        <v/>
      </c>
      <c r="Z86" s="27" t="str">
        <f t="shared" si="4"/>
        <v/>
      </c>
      <c r="AA86" s="22">
        <v>0</v>
      </c>
      <c r="AB86" s="26" t="str">
        <f>+'S3'!Z86</f>
        <v/>
      </c>
    </row>
    <row r="87" spans="3:28" x14ac:dyDescent="0.3">
      <c r="C87" t="str">
        <f>+'S3'!AB87</f>
        <v/>
      </c>
      <c r="D87" t="str">
        <f>+IFERROR(VLOOKUP(F87,Sheet2!F:G,2,0),"")</f>
        <v/>
      </c>
      <c r="E87" t="str">
        <f>+IFERROR(VLOOKUP(C87,'S3'!E:F,2,0),"")</f>
        <v/>
      </c>
      <c r="F87" s="30" t="str">
        <f>+IFERROR(VLOOKUP(C87,Sheet2!C:F,4,0),"")</f>
        <v/>
      </c>
      <c r="G87" t="str">
        <f>+IFERROR(VLOOKUP(F87,Sheet2!F:H,3,0),"")</f>
        <v/>
      </c>
      <c r="K87" s="28" t="str">
        <f>+'S3'!AC87</f>
        <v/>
      </c>
      <c r="L87" t="str">
        <f>IF('S3'!J87&lt;&gt;"",'S3'!J87,"")</f>
        <v/>
      </c>
      <c r="M87" t="str">
        <f>IF('S3'!K87&lt;&gt;"",'S3'!K87,"")</f>
        <v/>
      </c>
      <c r="N87">
        <f>+IFERROR(VLOOKUP(L87,Sheet3!A:C,3,0)," ")</f>
        <v>0</v>
      </c>
      <c r="Q87">
        <f>+'S3'!N87</f>
        <v>0</v>
      </c>
      <c r="R87" s="25">
        <f>+'S3'!T87</f>
        <v>0</v>
      </c>
      <c r="U87">
        <f t="shared" si="3"/>
        <v>0</v>
      </c>
      <c r="V87" s="12" t="str">
        <f>+'S3'!X87</f>
        <v/>
      </c>
      <c r="W87" s="34" t="str">
        <f>+'S3'!Y87</f>
        <v/>
      </c>
      <c r="Y87" s="12" t="str">
        <f t="shared" si="5"/>
        <v/>
      </c>
      <c r="Z87" s="27" t="str">
        <f t="shared" si="4"/>
        <v/>
      </c>
      <c r="AA87" s="22">
        <v>0</v>
      </c>
      <c r="AB87" s="26" t="str">
        <f>+'S3'!Z87</f>
        <v/>
      </c>
    </row>
    <row r="88" spans="3:28" x14ac:dyDescent="0.3">
      <c r="C88" t="str">
        <f>+'S3'!AB88</f>
        <v/>
      </c>
      <c r="D88" t="str">
        <f>+IFERROR(VLOOKUP(F88,Sheet2!F:G,2,0),"")</f>
        <v/>
      </c>
      <c r="E88" t="str">
        <f>+IFERROR(VLOOKUP(C88,'S3'!E:F,2,0),"")</f>
        <v/>
      </c>
      <c r="F88" s="30" t="str">
        <f>+IFERROR(VLOOKUP(C88,Sheet2!C:F,4,0),"")</f>
        <v/>
      </c>
      <c r="G88" t="str">
        <f>+IFERROR(VLOOKUP(F88,Sheet2!F:H,3,0),"")</f>
        <v/>
      </c>
      <c r="K88" s="28" t="str">
        <f>+'S3'!AC88</f>
        <v/>
      </c>
      <c r="L88" t="str">
        <f>IF('S3'!J88&lt;&gt;"",'S3'!J88,"")</f>
        <v/>
      </c>
      <c r="M88" t="str">
        <f>IF('S3'!K88&lt;&gt;"",'S3'!K88,"")</f>
        <v/>
      </c>
      <c r="N88">
        <f>+IFERROR(VLOOKUP(L88,Sheet3!A:C,3,0)," ")</f>
        <v>0</v>
      </c>
      <c r="Q88">
        <f>+'S3'!N88</f>
        <v>0</v>
      </c>
      <c r="R88" s="25">
        <f>+'S3'!T88</f>
        <v>0</v>
      </c>
      <c r="U88">
        <f t="shared" si="3"/>
        <v>0</v>
      </c>
      <c r="V88" s="12" t="str">
        <f>+'S3'!X88</f>
        <v/>
      </c>
      <c r="W88" s="34" t="str">
        <f>+'S3'!Y88</f>
        <v/>
      </c>
      <c r="Y88" s="12" t="str">
        <f t="shared" si="5"/>
        <v/>
      </c>
      <c r="Z88" s="27" t="str">
        <f t="shared" si="4"/>
        <v/>
      </c>
      <c r="AA88" s="22">
        <v>0</v>
      </c>
      <c r="AB88" s="26" t="str">
        <f>+'S3'!Z88</f>
        <v/>
      </c>
    </row>
    <row r="89" spans="3:28" x14ac:dyDescent="0.3">
      <c r="C89" t="str">
        <f>+'S3'!AB89</f>
        <v/>
      </c>
      <c r="D89" t="str">
        <f>+IFERROR(VLOOKUP(F89,Sheet2!F:G,2,0),"")</f>
        <v/>
      </c>
      <c r="E89" t="str">
        <f>+IFERROR(VLOOKUP(C89,'S3'!E:F,2,0),"")</f>
        <v/>
      </c>
      <c r="F89" s="30" t="str">
        <f>+IFERROR(VLOOKUP(C89,Sheet2!C:F,4,0),"")</f>
        <v/>
      </c>
      <c r="G89" t="str">
        <f>+IFERROR(VLOOKUP(F89,Sheet2!F:H,3,0),"")</f>
        <v/>
      </c>
      <c r="K89" s="28" t="str">
        <f>+'S3'!AC89</f>
        <v/>
      </c>
      <c r="L89" t="str">
        <f>IF('S3'!J89&lt;&gt;"",'S3'!J89,"")</f>
        <v/>
      </c>
      <c r="M89" t="str">
        <f>IF('S3'!K89&lt;&gt;"",'S3'!K89,"")</f>
        <v/>
      </c>
      <c r="N89">
        <f>+IFERROR(VLOOKUP(L89,Sheet3!A:C,3,0)," ")</f>
        <v>0</v>
      </c>
      <c r="Q89">
        <f>+'S3'!N89</f>
        <v>0</v>
      </c>
      <c r="R89" s="25">
        <f>+'S3'!T89</f>
        <v>0</v>
      </c>
      <c r="U89">
        <f t="shared" si="3"/>
        <v>0</v>
      </c>
      <c r="V89" s="12" t="str">
        <f>+'S3'!X89</f>
        <v/>
      </c>
      <c r="W89" s="34" t="str">
        <f>+'S3'!Y89</f>
        <v/>
      </c>
      <c r="Y89" s="12" t="str">
        <f t="shared" si="5"/>
        <v/>
      </c>
      <c r="Z89" s="27" t="str">
        <f t="shared" si="4"/>
        <v/>
      </c>
      <c r="AA89" s="22">
        <v>0</v>
      </c>
      <c r="AB89" s="26" t="str">
        <f>+'S3'!Z89</f>
        <v/>
      </c>
    </row>
    <row r="90" spans="3:28" x14ac:dyDescent="0.3">
      <c r="C90" t="str">
        <f>+'S3'!AB90</f>
        <v/>
      </c>
      <c r="D90" t="str">
        <f>+IFERROR(VLOOKUP(F90,Sheet2!F:G,2,0),"")</f>
        <v/>
      </c>
      <c r="E90" t="str">
        <f>+IFERROR(VLOOKUP(C90,'S3'!E:F,2,0),"")</f>
        <v/>
      </c>
      <c r="F90" s="30" t="str">
        <f>+IFERROR(VLOOKUP(C90,Sheet2!C:F,4,0),"")</f>
        <v/>
      </c>
      <c r="G90" t="str">
        <f>+IFERROR(VLOOKUP(F90,Sheet2!F:H,3,0),"")</f>
        <v/>
      </c>
      <c r="K90" s="28" t="str">
        <f>+'S3'!AC90</f>
        <v/>
      </c>
      <c r="L90" t="str">
        <f>IF('S3'!J90&lt;&gt;"",'S3'!J90,"")</f>
        <v/>
      </c>
      <c r="M90" t="str">
        <f>IF('S3'!K90&lt;&gt;"",'S3'!K90,"")</f>
        <v/>
      </c>
      <c r="N90">
        <f>+IFERROR(VLOOKUP(L90,Sheet3!A:C,3,0)," ")</f>
        <v>0</v>
      </c>
      <c r="Q90">
        <f>+'S3'!N90</f>
        <v>0</v>
      </c>
      <c r="R90" s="25">
        <f>+'S3'!T90</f>
        <v>0</v>
      </c>
      <c r="U90">
        <f t="shared" si="3"/>
        <v>0</v>
      </c>
      <c r="V90" s="12" t="str">
        <f>+'S3'!X90</f>
        <v/>
      </c>
      <c r="W90" s="34" t="str">
        <f>+'S3'!Y90</f>
        <v/>
      </c>
      <c r="Y90" s="12" t="str">
        <f t="shared" si="5"/>
        <v/>
      </c>
      <c r="Z90" s="27" t="str">
        <f t="shared" si="4"/>
        <v/>
      </c>
      <c r="AA90" s="22">
        <v>0</v>
      </c>
      <c r="AB90" s="26" t="str">
        <f>+'S3'!Z90</f>
        <v/>
      </c>
    </row>
    <row r="91" spans="3:28" x14ac:dyDescent="0.3">
      <c r="C91" t="str">
        <f>+'S3'!AB91</f>
        <v/>
      </c>
      <c r="D91" t="str">
        <f>+IFERROR(VLOOKUP(F91,Sheet2!F:G,2,0),"")</f>
        <v/>
      </c>
      <c r="E91" t="str">
        <f>+IFERROR(VLOOKUP(C91,'S3'!E:F,2,0),"")</f>
        <v/>
      </c>
      <c r="F91" s="30" t="str">
        <f>+IFERROR(VLOOKUP(C91,Sheet2!C:F,4,0),"")</f>
        <v/>
      </c>
      <c r="G91" t="str">
        <f>+IFERROR(VLOOKUP(F91,Sheet2!F:H,3,0),"")</f>
        <v/>
      </c>
      <c r="K91" s="28" t="str">
        <f>+'S3'!AC91</f>
        <v/>
      </c>
      <c r="L91" t="str">
        <f>IF('S3'!J91&lt;&gt;"",'S3'!J91,"")</f>
        <v/>
      </c>
      <c r="M91" t="str">
        <f>IF('S3'!K91&lt;&gt;"",'S3'!K91,"")</f>
        <v/>
      </c>
      <c r="N91">
        <f>+IFERROR(VLOOKUP(L91,Sheet3!A:C,3,0)," ")</f>
        <v>0</v>
      </c>
      <c r="Q91">
        <f>+'S3'!N91</f>
        <v>0</v>
      </c>
      <c r="R91" s="25">
        <f>+'S3'!T91</f>
        <v>0</v>
      </c>
      <c r="U91">
        <f t="shared" si="3"/>
        <v>0</v>
      </c>
      <c r="V91" s="12" t="str">
        <f>+'S3'!X91</f>
        <v/>
      </c>
      <c r="W91" s="34" t="str">
        <f>+'S3'!Y91</f>
        <v/>
      </c>
      <c r="Y91" s="12" t="str">
        <f t="shared" si="5"/>
        <v/>
      </c>
      <c r="Z91" s="27" t="str">
        <f t="shared" si="4"/>
        <v/>
      </c>
      <c r="AA91" s="22">
        <v>0</v>
      </c>
      <c r="AB91" s="26" t="str">
        <f>+'S3'!Z91</f>
        <v/>
      </c>
    </row>
    <row r="92" spans="3:28" x14ac:dyDescent="0.3">
      <c r="C92" t="str">
        <f>+'S3'!AB92</f>
        <v/>
      </c>
      <c r="D92" t="str">
        <f>+IFERROR(VLOOKUP(F92,Sheet2!F:G,2,0),"")</f>
        <v/>
      </c>
      <c r="E92" t="str">
        <f>+IFERROR(VLOOKUP(C92,'S3'!E:F,2,0),"")</f>
        <v/>
      </c>
      <c r="F92" s="30" t="str">
        <f>+IFERROR(VLOOKUP(C92,Sheet2!C:F,4,0),"")</f>
        <v/>
      </c>
      <c r="G92" t="str">
        <f>+IFERROR(VLOOKUP(F92,Sheet2!F:H,3,0),"")</f>
        <v/>
      </c>
      <c r="K92" s="28" t="str">
        <f>+'S3'!AC92</f>
        <v/>
      </c>
      <c r="L92" t="str">
        <f>IF('S3'!J92&lt;&gt;"",'S3'!J92,"")</f>
        <v/>
      </c>
      <c r="M92" t="str">
        <f>IF('S3'!K92&lt;&gt;"",'S3'!K92,"")</f>
        <v/>
      </c>
      <c r="N92">
        <f>+IFERROR(VLOOKUP(L92,Sheet3!A:C,3,0)," ")</f>
        <v>0</v>
      </c>
      <c r="Q92">
        <f>+'S3'!N92</f>
        <v>0</v>
      </c>
      <c r="R92" s="25">
        <f>+'S3'!T92</f>
        <v>0</v>
      </c>
      <c r="U92">
        <f t="shared" si="3"/>
        <v>0</v>
      </c>
      <c r="V92" s="12" t="str">
        <f>+'S3'!X92</f>
        <v/>
      </c>
      <c r="W92" s="34" t="str">
        <f>+'S3'!Y92</f>
        <v/>
      </c>
      <c r="Y92" s="12" t="str">
        <f t="shared" si="5"/>
        <v/>
      </c>
      <c r="Z92" s="27" t="str">
        <f t="shared" si="4"/>
        <v/>
      </c>
      <c r="AA92" s="22">
        <v>0</v>
      </c>
      <c r="AB92" s="26" t="str">
        <f>+'S3'!Z92</f>
        <v/>
      </c>
    </row>
    <row r="93" spans="3:28" x14ac:dyDescent="0.3">
      <c r="C93" t="str">
        <f>+'S3'!AB93</f>
        <v/>
      </c>
      <c r="D93" t="str">
        <f>+IFERROR(VLOOKUP(F93,Sheet2!F:G,2,0),"")</f>
        <v/>
      </c>
      <c r="E93" t="str">
        <f>+IFERROR(VLOOKUP(C93,'S3'!E:F,2,0),"")</f>
        <v/>
      </c>
      <c r="F93" s="30" t="str">
        <f>+IFERROR(VLOOKUP(C93,Sheet2!C:F,4,0),"")</f>
        <v/>
      </c>
      <c r="G93" t="str">
        <f>+IFERROR(VLOOKUP(F93,Sheet2!F:H,3,0),"")</f>
        <v/>
      </c>
      <c r="K93" s="28" t="str">
        <f>+'S3'!AC93</f>
        <v/>
      </c>
      <c r="L93" t="str">
        <f>IF('S3'!J93&lt;&gt;"",'S3'!J93,"")</f>
        <v/>
      </c>
      <c r="M93" t="str">
        <f>IF('S3'!K93&lt;&gt;"",'S3'!K93,"")</f>
        <v/>
      </c>
      <c r="N93">
        <f>+IFERROR(VLOOKUP(L93,Sheet3!A:C,3,0)," ")</f>
        <v>0</v>
      </c>
      <c r="Q93">
        <f>+'S3'!N93</f>
        <v>0</v>
      </c>
      <c r="R93" s="25">
        <f>+'S3'!T93</f>
        <v>0</v>
      </c>
      <c r="U93">
        <f t="shared" si="3"/>
        <v>0</v>
      </c>
      <c r="V93" s="12" t="str">
        <f>+'S3'!X93</f>
        <v/>
      </c>
      <c r="W93" s="34" t="str">
        <f>+'S3'!Y93</f>
        <v/>
      </c>
      <c r="Y93" s="12" t="str">
        <f t="shared" si="5"/>
        <v/>
      </c>
      <c r="Z93" s="27" t="str">
        <f t="shared" si="4"/>
        <v/>
      </c>
      <c r="AA93" s="22">
        <v>0</v>
      </c>
      <c r="AB93" s="26" t="str">
        <f>+'S3'!Z93</f>
        <v/>
      </c>
    </row>
    <row r="94" spans="3:28" x14ac:dyDescent="0.3">
      <c r="C94" t="str">
        <f>+'S3'!AB94</f>
        <v/>
      </c>
      <c r="D94" t="str">
        <f>+IFERROR(VLOOKUP(F94,Sheet2!F:G,2,0),"")</f>
        <v/>
      </c>
      <c r="E94" t="str">
        <f>+IFERROR(VLOOKUP(C94,'S3'!E:F,2,0),"")</f>
        <v/>
      </c>
      <c r="F94" s="30" t="str">
        <f>+IFERROR(VLOOKUP(C94,Sheet2!C:F,4,0),"")</f>
        <v/>
      </c>
      <c r="G94" t="str">
        <f>+IFERROR(VLOOKUP(F94,Sheet2!F:H,3,0),"")</f>
        <v/>
      </c>
      <c r="K94" s="28" t="str">
        <f>+'S3'!AC94</f>
        <v/>
      </c>
      <c r="L94" t="str">
        <f>IF('S3'!J94&lt;&gt;"",'S3'!J94,"")</f>
        <v/>
      </c>
      <c r="M94" t="str">
        <f>IF('S3'!K94&lt;&gt;"",'S3'!K94,"")</f>
        <v/>
      </c>
      <c r="N94">
        <f>+IFERROR(VLOOKUP(L94,Sheet3!A:C,3,0)," ")</f>
        <v>0</v>
      </c>
      <c r="Q94">
        <f>+'S3'!N94</f>
        <v>0</v>
      </c>
      <c r="R94" s="25">
        <f>+'S3'!T94</f>
        <v>0</v>
      </c>
      <c r="U94">
        <f t="shared" si="3"/>
        <v>0</v>
      </c>
      <c r="V94" s="12" t="str">
        <f>+'S3'!X94</f>
        <v/>
      </c>
      <c r="W94" s="34" t="str">
        <f>+'S3'!Y94</f>
        <v/>
      </c>
      <c r="Y94" s="12" t="str">
        <f t="shared" si="5"/>
        <v/>
      </c>
      <c r="Z94" s="27" t="str">
        <f t="shared" si="4"/>
        <v/>
      </c>
      <c r="AA94" s="22">
        <v>0</v>
      </c>
      <c r="AB94" s="26" t="str">
        <f>+'S3'!Z94</f>
        <v/>
      </c>
    </row>
    <row r="95" spans="3:28" x14ac:dyDescent="0.3">
      <c r="C95" t="str">
        <f>+'S3'!AB95</f>
        <v/>
      </c>
      <c r="D95" t="str">
        <f>+IFERROR(VLOOKUP(F95,Sheet2!F:G,2,0),"")</f>
        <v/>
      </c>
      <c r="E95" t="str">
        <f>+IFERROR(VLOOKUP(C95,'S3'!E:F,2,0),"")</f>
        <v/>
      </c>
      <c r="F95" s="30" t="str">
        <f>+IFERROR(VLOOKUP(C95,Sheet2!C:F,4,0),"")</f>
        <v/>
      </c>
      <c r="G95" t="str">
        <f>+IFERROR(VLOOKUP(F95,Sheet2!F:H,3,0),"")</f>
        <v/>
      </c>
      <c r="K95" s="28" t="str">
        <f>+'S3'!AC95</f>
        <v/>
      </c>
      <c r="L95" t="str">
        <f>IF('S3'!J95&lt;&gt;"",'S3'!J95,"")</f>
        <v/>
      </c>
      <c r="M95" t="str">
        <f>IF('S3'!K95&lt;&gt;"",'S3'!K95,"")</f>
        <v/>
      </c>
      <c r="N95">
        <f>+IFERROR(VLOOKUP(L95,Sheet3!A:C,3,0)," ")</f>
        <v>0</v>
      </c>
      <c r="Q95">
        <f>+'S3'!N95</f>
        <v>0</v>
      </c>
      <c r="R95" s="25">
        <f>+'S3'!T95</f>
        <v>0</v>
      </c>
      <c r="U95">
        <f t="shared" si="3"/>
        <v>0</v>
      </c>
      <c r="V95" s="12" t="str">
        <f>+'S3'!X95</f>
        <v/>
      </c>
      <c r="W95" s="34" t="str">
        <f>+'S3'!Y95</f>
        <v/>
      </c>
      <c r="Y95" s="12" t="str">
        <f t="shared" si="5"/>
        <v/>
      </c>
      <c r="Z95" s="27" t="str">
        <f t="shared" si="4"/>
        <v/>
      </c>
      <c r="AA95" s="22">
        <v>0</v>
      </c>
      <c r="AB95" s="26" t="str">
        <f>+'S3'!Z95</f>
        <v/>
      </c>
    </row>
    <row r="96" spans="3:28" x14ac:dyDescent="0.3">
      <c r="C96" t="str">
        <f>+'S3'!AB96</f>
        <v/>
      </c>
      <c r="D96" t="str">
        <f>+IFERROR(VLOOKUP(F96,Sheet2!F:G,2,0),"")</f>
        <v/>
      </c>
      <c r="E96" t="str">
        <f>+IFERROR(VLOOKUP(C96,'S3'!E:F,2,0),"")</f>
        <v/>
      </c>
      <c r="F96" s="30" t="str">
        <f>+IFERROR(VLOOKUP(C96,Sheet2!C:F,4,0),"")</f>
        <v/>
      </c>
      <c r="G96" t="str">
        <f>+IFERROR(VLOOKUP(F96,Sheet2!F:H,3,0),"")</f>
        <v/>
      </c>
      <c r="K96" s="28" t="str">
        <f>+'S3'!AC96</f>
        <v/>
      </c>
      <c r="L96" t="str">
        <f>IF('S3'!J96&lt;&gt;"",'S3'!J96,"")</f>
        <v/>
      </c>
      <c r="M96" t="str">
        <f>IF('S3'!K96&lt;&gt;"",'S3'!K96,"")</f>
        <v/>
      </c>
      <c r="N96">
        <f>+IFERROR(VLOOKUP(L96,Sheet3!A:C,3,0)," ")</f>
        <v>0</v>
      </c>
      <c r="Q96">
        <f>+'S3'!N96</f>
        <v>0</v>
      </c>
      <c r="R96" s="25">
        <f>+'S3'!T96</f>
        <v>0</v>
      </c>
      <c r="U96">
        <f t="shared" si="3"/>
        <v>0</v>
      </c>
      <c r="V96" s="12" t="str">
        <f>+'S3'!X96</f>
        <v/>
      </c>
      <c r="W96" s="34" t="str">
        <f>+'S3'!Y96</f>
        <v/>
      </c>
      <c r="Y96" s="12" t="str">
        <f t="shared" si="5"/>
        <v/>
      </c>
      <c r="Z96" s="27" t="str">
        <f t="shared" si="4"/>
        <v/>
      </c>
      <c r="AA96" s="22">
        <v>0</v>
      </c>
      <c r="AB96" s="26" t="str">
        <f>+'S3'!Z96</f>
        <v/>
      </c>
    </row>
    <row r="97" spans="3:28" x14ac:dyDescent="0.3">
      <c r="C97" t="str">
        <f>+'S3'!AB97</f>
        <v/>
      </c>
      <c r="D97" t="str">
        <f>+IFERROR(VLOOKUP(F97,Sheet2!F:G,2,0),"")</f>
        <v/>
      </c>
      <c r="E97" t="str">
        <f>+IFERROR(VLOOKUP(C97,'S3'!E:F,2,0),"")</f>
        <v/>
      </c>
      <c r="F97" s="30" t="str">
        <f>+IFERROR(VLOOKUP(C97,Sheet2!C:F,4,0),"")</f>
        <v/>
      </c>
      <c r="G97" t="str">
        <f>+IFERROR(VLOOKUP(F97,Sheet2!F:H,3,0),"")</f>
        <v/>
      </c>
      <c r="K97" s="28" t="str">
        <f>+'S3'!AC97</f>
        <v/>
      </c>
      <c r="L97" t="str">
        <f>IF('S3'!J97&lt;&gt;"",'S3'!J97,"")</f>
        <v/>
      </c>
      <c r="M97" t="str">
        <f>IF('S3'!K97&lt;&gt;"",'S3'!K97,"")</f>
        <v/>
      </c>
      <c r="N97">
        <f>+IFERROR(VLOOKUP(L97,Sheet3!A:C,3,0)," ")</f>
        <v>0</v>
      </c>
      <c r="Q97">
        <f>+'S3'!N97</f>
        <v>0</v>
      </c>
      <c r="R97" s="25">
        <f>+'S3'!T97</f>
        <v>0</v>
      </c>
      <c r="U97">
        <f t="shared" si="3"/>
        <v>0</v>
      </c>
      <c r="V97" s="12" t="str">
        <f>+'S3'!X97</f>
        <v/>
      </c>
      <c r="W97" s="34" t="str">
        <f>+'S3'!Y97</f>
        <v/>
      </c>
      <c r="Y97" s="12" t="str">
        <f t="shared" si="5"/>
        <v/>
      </c>
      <c r="Z97" s="27" t="str">
        <f t="shared" si="4"/>
        <v/>
      </c>
      <c r="AA97" s="22">
        <v>0</v>
      </c>
      <c r="AB97" s="26" t="str">
        <f>+'S3'!Z97</f>
        <v/>
      </c>
    </row>
    <row r="98" spans="3:28" x14ac:dyDescent="0.3">
      <c r="C98" t="str">
        <f>+'S3'!AB98</f>
        <v/>
      </c>
      <c r="D98" t="str">
        <f>+IFERROR(VLOOKUP(F98,Sheet2!F:G,2,0),"")</f>
        <v/>
      </c>
      <c r="E98" t="str">
        <f>+IFERROR(VLOOKUP(C98,'S3'!E:F,2,0),"")</f>
        <v/>
      </c>
      <c r="F98" s="30" t="str">
        <f>+IFERROR(VLOOKUP(C98,Sheet2!C:F,4,0),"")</f>
        <v/>
      </c>
      <c r="G98" t="str">
        <f>+IFERROR(VLOOKUP(F98,Sheet2!F:H,3,0),"")</f>
        <v/>
      </c>
      <c r="K98" s="28" t="str">
        <f>+'S3'!AC98</f>
        <v/>
      </c>
      <c r="L98" t="str">
        <f>IF('S3'!J98&lt;&gt;"",'S3'!J98,"")</f>
        <v/>
      </c>
      <c r="M98" t="str">
        <f>IF('S3'!K98&lt;&gt;"",'S3'!K98,"")</f>
        <v/>
      </c>
      <c r="N98">
        <f>+IFERROR(VLOOKUP(L98,Sheet3!A:C,3,0)," ")</f>
        <v>0</v>
      </c>
      <c r="Q98">
        <f>+'S3'!N98</f>
        <v>0</v>
      </c>
      <c r="R98" s="25">
        <f>+'S3'!T98</f>
        <v>0</v>
      </c>
      <c r="U98">
        <f t="shared" si="3"/>
        <v>0</v>
      </c>
      <c r="V98" s="12" t="str">
        <f>+'S3'!X98</f>
        <v/>
      </c>
      <c r="W98" s="34" t="str">
        <f>+'S3'!Y98</f>
        <v/>
      </c>
      <c r="Y98" s="12" t="str">
        <f t="shared" si="5"/>
        <v/>
      </c>
      <c r="Z98" s="27" t="str">
        <f t="shared" si="4"/>
        <v/>
      </c>
      <c r="AA98" s="22">
        <v>0</v>
      </c>
      <c r="AB98" s="26" t="str">
        <f>+'S3'!Z98</f>
        <v/>
      </c>
    </row>
    <row r="99" spans="3:28" x14ac:dyDescent="0.3">
      <c r="C99" t="str">
        <f>+'S3'!AB99</f>
        <v/>
      </c>
      <c r="D99" t="str">
        <f>+IFERROR(VLOOKUP(F99,Sheet2!F:G,2,0),"")</f>
        <v/>
      </c>
      <c r="E99" t="str">
        <f>+IFERROR(VLOOKUP(C99,'S3'!E:F,2,0),"")</f>
        <v/>
      </c>
      <c r="F99" s="30" t="str">
        <f>+IFERROR(VLOOKUP(C99,Sheet2!C:F,4,0),"")</f>
        <v/>
      </c>
      <c r="G99" t="str">
        <f>+IFERROR(VLOOKUP(F99,Sheet2!F:H,3,0),"")</f>
        <v/>
      </c>
      <c r="K99" s="28" t="str">
        <f>+'S3'!AC99</f>
        <v/>
      </c>
      <c r="L99" t="str">
        <f>IF('S3'!J99&lt;&gt;"",'S3'!J99,"")</f>
        <v/>
      </c>
      <c r="M99" t="str">
        <f>IF('S3'!K99&lt;&gt;"",'S3'!K99,"")</f>
        <v/>
      </c>
      <c r="N99">
        <f>+IFERROR(VLOOKUP(L99,Sheet3!A:C,3,0)," ")</f>
        <v>0</v>
      </c>
      <c r="Q99">
        <f>+'S3'!N99</f>
        <v>0</v>
      </c>
      <c r="R99" s="25">
        <f>+'S3'!T99</f>
        <v>0</v>
      </c>
      <c r="U99">
        <f t="shared" si="3"/>
        <v>0</v>
      </c>
      <c r="V99" s="12" t="str">
        <f>+'S3'!X99</f>
        <v/>
      </c>
      <c r="W99" s="34" t="str">
        <f>+'S3'!Y99</f>
        <v/>
      </c>
      <c r="Y99" s="12" t="str">
        <f t="shared" si="5"/>
        <v/>
      </c>
      <c r="Z99" s="27" t="str">
        <f t="shared" si="4"/>
        <v/>
      </c>
      <c r="AA99" s="22">
        <v>0</v>
      </c>
      <c r="AB99" s="26" t="str">
        <f>+'S3'!Z99</f>
        <v/>
      </c>
    </row>
    <row r="100" spans="3:28" x14ac:dyDescent="0.3">
      <c r="C100" t="str">
        <f>+'S3'!AB100</f>
        <v/>
      </c>
      <c r="D100" t="str">
        <f>+IFERROR(VLOOKUP(F100,Sheet2!F:G,2,0),"")</f>
        <v/>
      </c>
      <c r="E100" t="str">
        <f>+IFERROR(VLOOKUP(C100,'S3'!E:F,2,0),"")</f>
        <v/>
      </c>
      <c r="F100" s="30" t="str">
        <f>+IFERROR(VLOOKUP(C100,Sheet2!C:F,4,0),"")</f>
        <v/>
      </c>
      <c r="G100" t="str">
        <f>+IFERROR(VLOOKUP(F100,Sheet2!F:H,3,0),"")</f>
        <v/>
      </c>
      <c r="K100" s="28" t="str">
        <f>+'S3'!AC100</f>
        <v/>
      </c>
      <c r="L100" t="str">
        <f>IF('S3'!J100&lt;&gt;"",'S3'!J100,"")</f>
        <v/>
      </c>
      <c r="M100" t="str">
        <f>IF('S3'!K100&lt;&gt;"",'S3'!K100,"")</f>
        <v/>
      </c>
      <c r="N100">
        <f>+IFERROR(VLOOKUP(L100,Sheet3!A:C,3,0)," ")</f>
        <v>0</v>
      </c>
      <c r="Q100">
        <f>+'S3'!N100</f>
        <v>0</v>
      </c>
      <c r="R100" s="25">
        <f>+'S3'!T100</f>
        <v>0</v>
      </c>
      <c r="U100">
        <f t="shared" si="3"/>
        <v>0</v>
      </c>
      <c r="V100" s="12" t="str">
        <f>+'S3'!X100</f>
        <v/>
      </c>
      <c r="W100" s="34" t="str">
        <f>+'S3'!Y100</f>
        <v/>
      </c>
      <c r="Y100" s="12" t="str">
        <f t="shared" si="5"/>
        <v/>
      </c>
      <c r="Z100" s="27" t="str">
        <f t="shared" si="4"/>
        <v/>
      </c>
      <c r="AA100" s="22">
        <v>0</v>
      </c>
      <c r="AB100" s="26" t="str">
        <f>+'S3'!Z100</f>
        <v/>
      </c>
    </row>
    <row r="101" spans="3:28" x14ac:dyDescent="0.3">
      <c r="C101" t="str">
        <f>+'S3'!AB101</f>
        <v/>
      </c>
      <c r="D101" t="str">
        <f>+IFERROR(VLOOKUP(F101,Sheet2!F:G,2,0),"")</f>
        <v/>
      </c>
      <c r="E101" t="str">
        <f>+IFERROR(VLOOKUP(C101,'S3'!E:F,2,0),"")</f>
        <v/>
      </c>
      <c r="F101" s="30" t="str">
        <f>+IFERROR(VLOOKUP(C101,Sheet2!C:F,4,0),"")</f>
        <v/>
      </c>
      <c r="G101" t="str">
        <f>+IFERROR(VLOOKUP(F101,Sheet2!F:H,3,0),"")</f>
        <v/>
      </c>
      <c r="K101" s="28" t="str">
        <f>+'S3'!AC101</f>
        <v/>
      </c>
      <c r="L101" t="str">
        <f>IF('S3'!J101&lt;&gt;"",'S3'!J101,"")</f>
        <v/>
      </c>
      <c r="M101" t="str">
        <f>IF('S3'!K101&lt;&gt;"",'S3'!K101,"")</f>
        <v/>
      </c>
      <c r="N101">
        <f>+IFERROR(VLOOKUP(L101,Sheet3!A:C,3,0)," ")</f>
        <v>0</v>
      </c>
      <c r="Q101">
        <f>+'S3'!N101</f>
        <v>0</v>
      </c>
      <c r="R101" s="25">
        <f>+'S3'!T101</f>
        <v>0</v>
      </c>
      <c r="U101">
        <f t="shared" si="3"/>
        <v>0</v>
      </c>
      <c r="V101" s="12" t="str">
        <f>+'S3'!X101</f>
        <v/>
      </c>
      <c r="W101" s="34" t="str">
        <f>+'S3'!Y101</f>
        <v/>
      </c>
      <c r="Y101" s="12" t="str">
        <f t="shared" si="5"/>
        <v/>
      </c>
      <c r="Z101" s="27" t="str">
        <f t="shared" si="4"/>
        <v/>
      </c>
      <c r="AA101" s="22">
        <v>0</v>
      </c>
      <c r="AB101" s="26" t="str">
        <f>+'S3'!Z101</f>
        <v/>
      </c>
    </row>
    <row r="102" spans="3:28" x14ac:dyDescent="0.3">
      <c r="C102" t="str">
        <f>+'S3'!AB102</f>
        <v/>
      </c>
      <c r="D102" t="str">
        <f>+IFERROR(VLOOKUP(F102,Sheet2!F:G,2,0),"")</f>
        <v/>
      </c>
      <c r="E102" t="str">
        <f>+IFERROR(VLOOKUP(C102,'S3'!E:F,2,0),"")</f>
        <v/>
      </c>
      <c r="F102" s="30" t="str">
        <f>+IFERROR(VLOOKUP(C102,Sheet2!C:F,4,0),"")</f>
        <v/>
      </c>
      <c r="G102" t="str">
        <f>+IFERROR(VLOOKUP(F102,Sheet2!F:H,3,0),"")</f>
        <v/>
      </c>
      <c r="K102" s="28" t="str">
        <f>+'S3'!AC102</f>
        <v/>
      </c>
      <c r="L102" t="str">
        <f>IF('S3'!J102&lt;&gt;"",'S3'!J102,"")</f>
        <v/>
      </c>
      <c r="M102" t="str">
        <f>IF('S3'!K102&lt;&gt;"",'S3'!K102,"")</f>
        <v/>
      </c>
      <c r="N102">
        <f>+IFERROR(VLOOKUP(L102,Sheet3!A:C,3,0)," ")</f>
        <v>0</v>
      </c>
      <c r="Q102">
        <f>+'S3'!N102</f>
        <v>0</v>
      </c>
      <c r="R102" s="25">
        <f>+'S3'!T102</f>
        <v>0</v>
      </c>
      <c r="U102">
        <f t="shared" si="3"/>
        <v>0</v>
      </c>
      <c r="V102" s="12" t="str">
        <f>+'S3'!X102</f>
        <v/>
      </c>
      <c r="W102" s="34" t="str">
        <f>+'S3'!Y102</f>
        <v/>
      </c>
      <c r="Y102" s="12" t="str">
        <f t="shared" si="5"/>
        <v/>
      </c>
      <c r="Z102" s="27" t="str">
        <f t="shared" si="4"/>
        <v/>
      </c>
      <c r="AA102" s="22">
        <v>0</v>
      </c>
      <c r="AB102" s="26" t="str">
        <f>+'S3'!Z102</f>
        <v/>
      </c>
    </row>
    <row r="103" spans="3:28" x14ac:dyDescent="0.3">
      <c r="C103" t="str">
        <f>+'S3'!AB103</f>
        <v/>
      </c>
      <c r="D103" t="str">
        <f>+IFERROR(VLOOKUP(F103,Sheet2!F:G,2,0),"")</f>
        <v/>
      </c>
      <c r="E103" t="str">
        <f>+IFERROR(VLOOKUP(C103,'S3'!E:F,2,0),"")</f>
        <v/>
      </c>
      <c r="F103" s="30" t="str">
        <f>+IFERROR(VLOOKUP(C103,Sheet2!C:F,4,0),"")</f>
        <v/>
      </c>
      <c r="G103" t="str">
        <f>+IFERROR(VLOOKUP(F103,Sheet2!F:H,3,0),"")</f>
        <v/>
      </c>
      <c r="K103" s="28" t="str">
        <f>+'S3'!AC103</f>
        <v/>
      </c>
      <c r="L103" t="str">
        <f>IF('S3'!J103&lt;&gt;"",'S3'!J103,"")</f>
        <v/>
      </c>
      <c r="M103" t="str">
        <f>IF('S3'!K103&lt;&gt;"",'S3'!K103,"")</f>
        <v/>
      </c>
      <c r="N103">
        <f>+IFERROR(VLOOKUP(L103,Sheet3!A:C,3,0)," ")</f>
        <v>0</v>
      </c>
      <c r="Q103">
        <f>+'S3'!N103</f>
        <v>0</v>
      </c>
      <c r="R103" s="25">
        <f>+'S3'!T103</f>
        <v>0</v>
      </c>
      <c r="U103">
        <f t="shared" si="3"/>
        <v>0</v>
      </c>
      <c r="V103" s="12" t="str">
        <f>+'S3'!X103</f>
        <v/>
      </c>
      <c r="W103" s="34" t="str">
        <f>+'S3'!Y103</f>
        <v/>
      </c>
      <c r="Y103" s="12" t="str">
        <f t="shared" si="5"/>
        <v/>
      </c>
      <c r="Z103" s="27" t="str">
        <f t="shared" si="4"/>
        <v/>
      </c>
      <c r="AA103" s="22">
        <v>0</v>
      </c>
      <c r="AB103" s="26" t="str">
        <f>+'S3'!Z103</f>
        <v/>
      </c>
    </row>
    <row r="104" spans="3:28" x14ac:dyDescent="0.3">
      <c r="C104" t="str">
        <f>+'S3'!AB104</f>
        <v/>
      </c>
      <c r="D104" t="str">
        <f>+IFERROR(VLOOKUP(F104,Sheet2!F:G,2,0),"")</f>
        <v/>
      </c>
      <c r="E104" t="str">
        <f>+IFERROR(VLOOKUP(C104,'S3'!E:F,2,0),"")</f>
        <v/>
      </c>
      <c r="F104" s="30" t="str">
        <f>+IFERROR(VLOOKUP(C104,Sheet2!C:F,4,0),"")</f>
        <v/>
      </c>
      <c r="G104" t="str">
        <f>+IFERROR(VLOOKUP(F104,Sheet2!F:H,3,0),"")</f>
        <v/>
      </c>
      <c r="K104" s="28" t="str">
        <f>+'S3'!AC104</f>
        <v/>
      </c>
      <c r="L104" t="str">
        <f>IF('S3'!J104&lt;&gt;"",'S3'!J104,"")</f>
        <v/>
      </c>
      <c r="M104" t="str">
        <f>IF('S3'!K104&lt;&gt;"",'S3'!K104,"")</f>
        <v/>
      </c>
      <c r="N104">
        <f>+IFERROR(VLOOKUP(L104,Sheet3!A:C,3,0)," ")</f>
        <v>0</v>
      </c>
      <c r="Q104">
        <f>+'S3'!N104</f>
        <v>0</v>
      </c>
      <c r="R104" s="25">
        <f>+'S3'!T104</f>
        <v>0</v>
      </c>
      <c r="U104">
        <f t="shared" si="3"/>
        <v>0</v>
      </c>
      <c r="V104" s="12" t="str">
        <f>+'S3'!X104</f>
        <v/>
      </c>
      <c r="W104" s="34" t="str">
        <f>+'S3'!Y104</f>
        <v/>
      </c>
      <c r="Y104" s="12" t="str">
        <f t="shared" si="5"/>
        <v/>
      </c>
      <c r="Z104" s="27" t="str">
        <f t="shared" si="4"/>
        <v/>
      </c>
      <c r="AA104" s="22">
        <v>0</v>
      </c>
      <c r="AB104" s="26" t="str">
        <f>+'S3'!Z104</f>
        <v/>
      </c>
    </row>
    <row r="105" spans="3:28" x14ac:dyDescent="0.3">
      <c r="C105" t="str">
        <f>+'S3'!AB105</f>
        <v/>
      </c>
      <c r="D105" t="str">
        <f>+IFERROR(VLOOKUP(F105,Sheet2!F:G,2,0),"")</f>
        <v/>
      </c>
      <c r="E105" t="str">
        <f>+IFERROR(VLOOKUP(C105,'S3'!E:F,2,0),"")</f>
        <v/>
      </c>
      <c r="F105" s="30" t="str">
        <f>+IFERROR(VLOOKUP(C105,Sheet2!C:F,4,0),"")</f>
        <v/>
      </c>
      <c r="G105" t="str">
        <f>+IFERROR(VLOOKUP(F105,Sheet2!F:H,3,0),"")</f>
        <v/>
      </c>
      <c r="K105" s="28" t="str">
        <f>+'S3'!AC105</f>
        <v/>
      </c>
      <c r="L105" t="str">
        <f>IF('S3'!J105&lt;&gt;"",'S3'!J105,"")</f>
        <v/>
      </c>
      <c r="M105" t="str">
        <f>IF('S3'!K105&lt;&gt;"",'S3'!K105,"")</f>
        <v/>
      </c>
      <c r="N105">
        <f>+IFERROR(VLOOKUP(L105,Sheet3!A:C,3,0)," ")</f>
        <v>0</v>
      </c>
      <c r="Q105">
        <f>+'S3'!N105</f>
        <v>0</v>
      </c>
      <c r="R105" s="25">
        <f>+'S3'!T105</f>
        <v>0</v>
      </c>
      <c r="U105">
        <f t="shared" si="3"/>
        <v>0</v>
      </c>
      <c r="V105" s="12" t="str">
        <f>+'S3'!X105</f>
        <v/>
      </c>
      <c r="W105" s="34" t="str">
        <f>+'S3'!Y105</f>
        <v/>
      </c>
      <c r="Y105" s="12" t="str">
        <f t="shared" si="5"/>
        <v/>
      </c>
      <c r="Z105" s="27" t="str">
        <f t="shared" si="4"/>
        <v/>
      </c>
      <c r="AA105" s="22">
        <v>0</v>
      </c>
      <c r="AB105" s="26" t="str">
        <f>+'S3'!Z105</f>
        <v/>
      </c>
    </row>
    <row r="106" spans="3:28" x14ac:dyDescent="0.3">
      <c r="C106" t="str">
        <f>+'S3'!AB106</f>
        <v/>
      </c>
      <c r="D106" t="str">
        <f>+IFERROR(VLOOKUP(F106,Sheet2!F:G,2,0),"")</f>
        <v/>
      </c>
      <c r="E106" t="str">
        <f>+IFERROR(VLOOKUP(C106,'S3'!E:F,2,0),"")</f>
        <v/>
      </c>
      <c r="F106" s="30" t="str">
        <f>+IFERROR(VLOOKUP(C106,Sheet2!C:F,4,0),"")</f>
        <v/>
      </c>
      <c r="G106" t="str">
        <f>+IFERROR(VLOOKUP(F106,Sheet2!F:H,3,0),"")</f>
        <v/>
      </c>
      <c r="K106" s="28" t="str">
        <f>+'S3'!AC106</f>
        <v/>
      </c>
      <c r="L106" t="str">
        <f>IF('S3'!J106&lt;&gt;"",'S3'!J106,"")</f>
        <v/>
      </c>
      <c r="M106" t="str">
        <f>IF('S3'!K106&lt;&gt;"",'S3'!K106,"")</f>
        <v/>
      </c>
      <c r="N106">
        <f>+IFERROR(VLOOKUP(L106,Sheet3!A:C,3,0)," ")</f>
        <v>0</v>
      </c>
      <c r="Q106">
        <f>+'S3'!N106</f>
        <v>0</v>
      </c>
      <c r="R106" s="25">
        <f>+'S3'!T106</f>
        <v>0</v>
      </c>
      <c r="U106">
        <f t="shared" si="3"/>
        <v>0</v>
      </c>
      <c r="V106" s="12" t="str">
        <f>+'S3'!X106</f>
        <v/>
      </c>
      <c r="W106" s="34" t="str">
        <f>+'S3'!Y106</f>
        <v/>
      </c>
      <c r="Y106" s="12" t="str">
        <f t="shared" si="5"/>
        <v/>
      </c>
      <c r="Z106" s="27" t="str">
        <f t="shared" si="4"/>
        <v/>
      </c>
      <c r="AA106" s="22">
        <v>0</v>
      </c>
      <c r="AB106" s="26" t="str">
        <f>+'S3'!Z106</f>
        <v/>
      </c>
    </row>
    <row r="107" spans="3:28" x14ac:dyDescent="0.3">
      <c r="C107" t="str">
        <f>+'S3'!AB107</f>
        <v/>
      </c>
      <c r="D107" t="str">
        <f>+IFERROR(VLOOKUP(F107,Sheet2!F:G,2,0),"")</f>
        <v/>
      </c>
      <c r="E107" t="str">
        <f>+IFERROR(VLOOKUP(C107,'S3'!E:F,2,0),"")</f>
        <v/>
      </c>
      <c r="F107" s="30" t="str">
        <f>+IFERROR(VLOOKUP(C107,Sheet2!C:F,4,0),"")</f>
        <v/>
      </c>
      <c r="G107" t="str">
        <f>+IFERROR(VLOOKUP(F107,Sheet2!F:H,3,0),"")</f>
        <v/>
      </c>
      <c r="K107" s="28" t="str">
        <f>+'S3'!AC107</f>
        <v/>
      </c>
      <c r="L107" t="str">
        <f>IF('S3'!J107&lt;&gt;"",'S3'!J107,"")</f>
        <v/>
      </c>
      <c r="M107" t="str">
        <f>IF('S3'!K107&lt;&gt;"",'S3'!K107,"")</f>
        <v/>
      </c>
      <c r="N107">
        <f>+IFERROR(VLOOKUP(L107,Sheet3!A:C,3,0)," ")</f>
        <v>0</v>
      </c>
      <c r="Q107">
        <f>+'S3'!N107</f>
        <v>0</v>
      </c>
      <c r="R107" s="25">
        <f>+'S3'!T107</f>
        <v>0</v>
      </c>
      <c r="U107">
        <f t="shared" si="3"/>
        <v>0</v>
      </c>
      <c r="V107" s="12" t="str">
        <f>+'S3'!X107</f>
        <v/>
      </c>
      <c r="W107" s="34" t="str">
        <f>+'S3'!Y107</f>
        <v/>
      </c>
      <c r="Y107" s="12" t="str">
        <f t="shared" si="5"/>
        <v/>
      </c>
      <c r="Z107" s="27" t="str">
        <f t="shared" si="4"/>
        <v/>
      </c>
      <c r="AA107" s="22">
        <v>0</v>
      </c>
      <c r="AB107" s="26" t="str">
        <f>+'S3'!Z107</f>
        <v/>
      </c>
    </row>
    <row r="108" spans="3:28" x14ac:dyDescent="0.3">
      <c r="C108" t="str">
        <f>+'S3'!AB108</f>
        <v/>
      </c>
      <c r="D108" t="str">
        <f>+IFERROR(VLOOKUP(F108,Sheet2!F:G,2,0),"")</f>
        <v/>
      </c>
      <c r="E108" t="str">
        <f>+IFERROR(VLOOKUP(C108,'S3'!E:F,2,0),"")</f>
        <v/>
      </c>
      <c r="F108" s="30" t="str">
        <f>+IFERROR(VLOOKUP(C108,Sheet2!C:F,4,0),"")</f>
        <v/>
      </c>
      <c r="G108" t="str">
        <f>+IFERROR(VLOOKUP(F108,Sheet2!F:H,3,0),"")</f>
        <v/>
      </c>
      <c r="K108" s="28" t="str">
        <f>+'S3'!AC108</f>
        <v/>
      </c>
      <c r="L108" t="str">
        <f>IF('S3'!J108&lt;&gt;"",'S3'!J108,"")</f>
        <v/>
      </c>
      <c r="M108" t="str">
        <f>IF('S3'!K108&lt;&gt;"",'S3'!K108,"")</f>
        <v/>
      </c>
      <c r="N108">
        <f>+IFERROR(VLOOKUP(L108,Sheet3!A:C,3,0)," ")</f>
        <v>0</v>
      </c>
      <c r="Q108">
        <f>+'S3'!N108</f>
        <v>0</v>
      </c>
      <c r="R108" s="25">
        <f>+'S3'!T108</f>
        <v>0</v>
      </c>
      <c r="U108">
        <f t="shared" si="3"/>
        <v>0</v>
      </c>
      <c r="V108" s="12" t="str">
        <f>+'S3'!X108</f>
        <v/>
      </c>
      <c r="W108" s="34" t="str">
        <f>+'S3'!Y108</f>
        <v/>
      </c>
      <c r="Y108" s="12" t="str">
        <f t="shared" si="5"/>
        <v/>
      </c>
      <c r="Z108" s="27" t="str">
        <f t="shared" si="4"/>
        <v/>
      </c>
      <c r="AA108" s="22">
        <v>0</v>
      </c>
      <c r="AB108" s="26" t="str">
        <f>+'S3'!Z108</f>
        <v/>
      </c>
    </row>
    <row r="109" spans="3:28" x14ac:dyDescent="0.3">
      <c r="C109" t="str">
        <f>+'S3'!AB109</f>
        <v/>
      </c>
      <c r="D109" t="str">
        <f>+IFERROR(VLOOKUP(F109,Sheet2!F:G,2,0),"")</f>
        <v/>
      </c>
      <c r="E109" t="str">
        <f>+IFERROR(VLOOKUP(C109,'S3'!E:F,2,0),"")</f>
        <v/>
      </c>
      <c r="F109" s="30" t="str">
        <f>+IFERROR(VLOOKUP(C109,Sheet2!C:F,4,0),"")</f>
        <v/>
      </c>
      <c r="G109" t="str">
        <f>+IFERROR(VLOOKUP(F109,Sheet2!F:H,3,0),"")</f>
        <v/>
      </c>
      <c r="K109" s="28" t="str">
        <f>+'S3'!AC109</f>
        <v/>
      </c>
      <c r="L109" t="str">
        <f>IF('S3'!J109&lt;&gt;"",'S3'!J109,"")</f>
        <v/>
      </c>
      <c r="M109" t="str">
        <f>IF('S3'!K109&lt;&gt;"",'S3'!K109,"")</f>
        <v/>
      </c>
      <c r="N109">
        <f>+IFERROR(VLOOKUP(L109,Sheet3!A:C,3,0)," ")</f>
        <v>0</v>
      </c>
      <c r="Q109">
        <f>+'S3'!N109</f>
        <v>0</v>
      </c>
      <c r="R109" s="25">
        <f>+'S3'!T109</f>
        <v>0</v>
      </c>
      <c r="U109">
        <f t="shared" si="3"/>
        <v>0</v>
      </c>
      <c r="V109" s="12" t="str">
        <f>+'S3'!X109</f>
        <v/>
      </c>
      <c r="W109" s="34" t="str">
        <f>+'S3'!Y109</f>
        <v/>
      </c>
      <c r="Y109" s="12" t="str">
        <f t="shared" si="5"/>
        <v/>
      </c>
      <c r="Z109" s="27" t="str">
        <f t="shared" si="4"/>
        <v/>
      </c>
      <c r="AA109" s="22">
        <v>0</v>
      </c>
      <c r="AB109" s="26" t="str">
        <f>+'S3'!Z109</f>
        <v/>
      </c>
    </row>
    <row r="110" spans="3:28" x14ac:dyDescent="0.3">
      <c r="C110" t="str">
        <f>+'S3'!AB110</f>
        <v/>
      </c>
      <c r="D110" t="str">
        <f>+IFERROR(VLOOKUP(F110,Sheet2!F:G,2,0),"")</f>
        <v/>
      </c>
      <c r="E110" t="str">
        <f>+IFERROR(VLOOKUP(C110,'S3'!E:F,2,0),"")</f>
        <v/>
      </c>
      <c r="F110" s="30" t="str">
        <f>+IFERROR(VLOOKUP(C110,Sheet2!C:F,4,0),"")</f>
        <v/>
      </c>
      <c r="G110" t="str">
        <f>+IFERROR(VLOOKUP(F110,Sheet2!F:H,3,0),"")</f>
        <v/>
      </c>
      <c r="K110" s="28" t="str">
        <f>+'S3'!AC110</f>
        <v/>
      </c>
      <c r="L110" t="str">
        <f>IF('S3'!J110&lt;&gt;"",'S3'!J110,"")</f>
        <v/>
      </c>
      <c r="M110" t="str">
        <f>IF('S3'!K110&lt;&gt;"",'S3'!K110,"")</f>
        <v/>
      </c>
      <c r="N110">
        <f>+IFERROR(VLOOKUP(L110,Sheet3!A:C,3,0)," ")</f>
        <v>0</v>
      </c>
      <c r="Q110">
        <f>+'S3'!N110</f>
        <v>0</v>
      </c>
      <c r="R110" s="25">
        <f>+'S3'!T110</f>
        <v>0</v>
      </c>
      <c r="U110">
        <f t="shared" si="3"/>
        <v>0</v>
      </c>
      <c r="V110" s="12" t="str">
        <f>+'S3'!X110</f>
        <v/>
      </c>
      <c r="W110" s="34" t="str">
        <f>+'S3'!Y110</f>
        <v/>
      </c>
      <c r="Y110" s="12" t="str">
        <f t="shared" si="5"/>
        <v/>
      </c>
      <c r="Z110" s="27" t="str">
        <f t="shared" si="4"/>
        <v/>
      </c>
      <c r="AA110" s="22">
        <v>0</v>
      </c>
      <c r="AB110" s="26" t="str">
        <f>+'S3'!Z110</f>
        <v/>
      </c>
    </row>
    <row r="111" spans="3:28" x14ac:dyDescent="0.3">
      <c r="C111" t="str">
        <f>+'S3'!AB111</f>
        <v/>
      </c>
      <c r="D111" t="str">
        <f>+IFERROR(VLOOKUP(F111,Sheet2!F:G,2,0),"")</f>
        <v/>
      </c>
      <c r="E111" t="str">
        <f>+IFERROR(VLOOKUP(C111,'S3'!E:F,2,0),"")</f>
        <v/>
      </c>
      <c r="F111" s="30" t="str">
        <f>+IFERROR(VLOOKUP(C111,Sheet2!C:F,4,0),"")</f>
        <v/>
      </c>
      <c r="G111" t="str">
        <f>+IFERROR(VLOOKUP(F111,Sheet2!F:H,3,0),"")</f>
        <v/>
      </c>
      <c r="K111" s="28" t="str">
        <f>+'S3'!AC111</f>
        <v/>
      </c>
      <c r="L111" t="str">
        <f>IF('S3'!J111&lt;&gt;"",'S3'!J111,"")</f>
        <v/>
      </c>
      <c r="M111" t="str">
        <f>IF('S3'!K111&lt;&gt;"",'S3'!K111,"")</f>
        <v/>
      </c>
      <c r="N111">
        <f>+IFERROR(VLOOKUP(L111,Sheet3!A:C,3,0)," ")</f>
        <v>0</v>
      </c>
      <c r="Q111">
        <f>+'S3'!N111</f>
        <v>0</v>
      </c>
      <c r="R111" s="25">
        <f>+'S3'!T111</f>
        <v>0</v>
      </c>
      <c r="U111">
        <f t="shared" si="3"/>
        <v>0</v>
      </c>
      <c r="V111" s="12" t="str">
        <f>+'S3'!X111</f>
        <v/>
      </c>
      <c r="W111" s="34" t="str">
        <f>+'S3'!Y111</f>
        <v/>
      </c>
      <c r="Y111" s="12" t="str">
        <f t="shared" si="5"/>
        <v/>
      </c>
      <c r="Z111" s="27" t="str">
        <f t="shared" si="4"/>
        <v/>
      </c>
      <c r="AA111" s="22">
        <v>0</v>
      </c>
      <c r="AB111" s="26" t="str">
        <f>+'S3'!Z111</f>
        <v/>
      </c>
    </row>
    <row r="112" spans="3:28" x14ac:dyDescent="0.3">
      <c r="C112" t="str">
        <f>+'S3'!AB112</f>
        <v/>
      </c>
      <c r="D112" t="str">
        <f>+IFERROR(VLOOKUP(F112,Sheet2!F:G,2,0),"")</f>
        <v/>
      </c>
      <c r="E112" t="str">
        <f>+IFERROR(VLOOKUP(C112,'S3'!E:F,2,0),"")</f>
        <v/>
      </c>
      <c r="F112" s="30" t="str">
        <f>+IFERROR(VLOOKUP(C112,Sheet2!C:F,4,0),"")</f>
        <v/>
      </c>
      <c r="G112" t="str">
        <f>+IFERROR(VLOOKUP(F112,Sheet2!F:H,3,0),"")</f>
        <v/>
      </c>
      <c r="K112" s="28" t="str">
        <f>+'S3'!AC112</f>
        <v/>
      </c>
      <c r="L112" t="str">
        <f>IF('S3'!J112&lt;&gt;"",'S3'!J112,"")</f>
        <v/>
      </c>
      <c r="M112" t="str">
        <f>IF('S3'!K112&lt;&gt;"",'S3'!K112,"")</f>
        <v/>
      </c>
      <c r="N112">
        <f>+IFERROR(VLOOKUP(L112,Sheet3!A:C,3,0)," ")</f>
        <v>0</v>
      </c>
      <c r="Q112">
        <f>+'S3'!N112</f>
        <v>0</v>
      </c>
      <c r="R112" s="25">
        <f>+'S3'!T112</f>
        <v>0</v>
      </c>
      <c r="U112">
        <f t="shared" si="3"/>
        <v>0</v>
      </c>
      <c r="V112" s="12" t="str">
        <f>+'S3'!X112</f>
        <v/>
      </c>
      <c r="W112" s="34" t="str">
        <f>+'S3'!Y112</f>
        <v/>
      </c>
      <c r="Y112" s="12" t="str">
        <f t="shared" si="5"/>
        <v/>
      </c>
      <c r="Z112" s="27" t="str">
        <f t="shared" si="4"/>
        <v/>
      </c>
      <c r="AA112" s="22">
        <v>0</v>
      </c>
      <c r="AB112" s="26" t="str">
        <f>+'S3'!Z112</f>
        <v/>
      </c>
    </row>
    <row r="113" spans="3:28" x14ac:dyDescent="0.3">
      <c r="C113" t="str">
        <f>+'S3'!AB113</f>
        <v/>
      </c>
      <c r="D113" t="str">
        <f>+IFERROR(VLOOKUP(F113,Sheet2!F:G,2,0),"")</f>
        <v/>
      </c>
      <c r="E113" t="str">
        <f>+IFERROR(VLOOKUP(C113,'S3'!E:F,2,0),"")</f>
        <v/>
      </c>
      <c r="F113" s="30" t="str">
        <f>+IFERROR(VLOOKUP(C113,Sheet2!C:F,4,0),"")</f>
        <v/>
      </c>
      <c r="G113" t="str">
        <f>+IFERROR(VLOOKUP(F113,Sheet2!F:H,3,0),"")</f>
        <v/>
      </c>
      <c r="K113" s="28" t="str">
        <f>+'S3'!AC113</f>
        <v/>
      </c>
      <c r="L113" t="str">
        <f>IF('S3'!J113&lt;&gt;"",'S3'!J113,"")</f>
        <v/>
      </c>
      <c r="M113" t="str">
        <f>IF('S3'!K113&lt;&gt;"",'S3'!K113,"")</f>
        <v/>
      </c>
      <c r="N113">
        <f>+IFERROR(VLOOKUP(L113,Sheet3!A:C,3,0)," ")</f>
        <v>0</v>
      </c>
      <c r="Q113">
        <f>+'S3'!N113</f>
        <v>0</v>
      </c>
      <c r="R113" s="25">
        <f>+'S3'!T113</f>
        <v>0</v>
      </c>
      <c r="U113">
        <f t="shared" si="3"/>
        <v>0</v>
      </c>
      <c r="V113" s="12" t="str">
        <f>+'S3'!X113</f>
        <v/>
      </c>
      <c r="W113" s="34" t="str">
        <f>+'S3'!Y113</f>
        <v/>
      </c>
      <c r="Y113" s="12" t="str">
        <f t="shared" si="5"/>
        <v/>
      </c>
      <c r="Z113" s="27" t="str">
        <f t="shared" si="4"/>
        <v/>
      </c>
      <c r="AA113" s="22">
        <v>0</v>
      </c>
      <c r="AB113" s="26" t="str">
        <f>+'S3'!Z113</f>
        <v/>
      </c>
    </row>
    <row r="114" spans="3:28" x14ac:dyDescent="0.3">
      <c r="C114" t="str">
        <f>+'S3'!AB114</f>
        <v/>
      </c>
      <c r="D114" t="str">
        <f>+IFERROR(VLOOKUP(F114,Sheet2!F:G,2,0),"")</f>
        <v/>
      </c>
      <c r="E114" t="str">
        <f>+IFERROR(VLOOKUP(C114,'S3'!E:F,2,0),"")</f>
        <v/>
      </c>
      <c r="F114" s="30" t="str">
        <f>+IFERROR(VLOOKUP(C114,Sheet2!C:F,4,0),"")</f>
        <v/>
      </c>
      <c r="G114" t="str">
        <f>+IFERROR(VLOOKUP(F114,Sheet2!F:H,3,0),"")</f>
        <v/>
      </c>
      <c r="K114" s="28" t="str">
        <f>+'S3'!AC114</f>
        <v/>
      </c>
      <c r="L114" t="str">
        <f>IF('S3'!J114&lt;&gt;"",'S3'!J114,"")</f>
        <v/>
      </c>
      <c r="M114" t="str">
        <f>IF('S3'!K114&lt;&gt;"",'S3'!K114,"")</f>
        <v/>
      </c>
      <c r="N114">
        <f>+IFERROR(VLOOKUP(L114,Sheet3!A:C,3,0)," ")</f>
        <v>0</v>
      </c>
      <c r="Q114">
        <f>+'S3'!N114</f>
        <v>0</v>
      </c>
      <c r="R114" s="25">
        <f>+'S3'!T114</f>
        <v>0</v>
      </c>
      <c r="U114">
        <f t="shared" si="3"/>
        <v>0</v>
      </c>
      <c r="V114" s="12" t="str">
        <f>+'S3'!X114</f>
        <v/>
      </c>
      <c r="W114" s="34" t="str">
        <f>+'S3'!Y114</f>
        <v/>
      </c>
      <c r="Y114" s="12" t="str">
        <f t="shared" si="5"/>
        <v/>
      </c>
      <c r="Z114" s="27" t="str">
        <f t="shared" si="4"/>
        <v/>
      </c>
      <c r="AA114" s="22">
        <v>0</v>
      </c>
      <c r="AB114" s="26" t="str">
        <f>+'S3'!Z114</f>
        <v/>
      </c>
    </row>
    <row r="115" spans="3:28" x14ac:dyDescent="0.3">
      <c r="C115" t="str">
        <f>+'S3'!AB115</f>
        <v/>
      </c>
      <c r="D115" t="str">
        <f>+IFERROR(VLOOKUP(F115,Sheet2!F:G,2,0),"")</f>
        <v/>
      </c>
      <c r="E115" t="str">
        <f>+IFERROR(VLOOKUP(C115,'S3'!E:F,2,0),"")</f>
        <v/>
      </c>
      <c r="F115" s="30" t="str">
        <f>+IFERROR(VLOOKUP(C115,Sheet2!C:F,4,0),"")</f>
        <v/>
      </c>
      <c r="G115" t="str">
        <f>+IFERROR(VLOOKUP(F115,Sheet2!F:H,3,0),"")</f>
        <v/>
      </c>
      <c r="K115" s="28" t="str">
        <f>+'S3'!AC115</f>
        <v/>
      </c>
      <c r="L115" t="str">
        <f>IF('S3'!J115&lt;&gt;"",'S3'!J115,"")</f>
        <v/>
      </c>
      <c r="M115" t="str">
        <f>IF('S3'!K115&lt;&gt;"",'S3'!K115,"")</f>
        <v/>
      </c>
      <c r="N115">
        <f>+IFERROR(VLOOKUP(L115,Sheet3!A:C,3,0)," ")</f>
        <v>0</v>
      </c>
      <c r="Q115">
        <f>+'S3'!N115</f>
        <v>0</v>
      </c>
      <c r="R115" s="25">
        <f>+'S3'!T115</f>
        <v>0</v>
      </c>
      <c r="U115">
        <f t="shared" si="3"/>
        <v>0</v>
      </c>
      <c r="V115" s="12" t="str">
        <f>+'S3'!X115</f>
        <v/>
      </c>
      <c r="W115" s="34" t="str">
        <f>+'S3'!Y115</f>
        <v/>
      </c>
      <c r="Y115" s="12" t="str">
        <f t="shared" si="5"/>
        <v/>
      </c>
      <c r="Z115" s="27" t="str">
        <f t="shared" si="4"/>
        <v/>
      </c>
      <c r="AA115" s="22">
        <v>0</v>
      </c>
      <c r="AB115" s="26" t="str">
        <f>+'S3'!Z115</f>
        <v/>
      </c>
    </row>
    <row r="116" spans="3:28" x14ac:dyDescent="0.3">
      <c r="C116" t="str">
        <f>+'S3'!AB116</f>
        <v/>
      </c>
      <c r="D116" t="str">
        <f>+IFERROR(VLOOKUP(F116,Sheet2!F:G,2,0),"")</f>
        <v/>
      </c>
      <c r="E116" t="str">
        <f>+IFERROR(VLOOKUP(C116,'S3'!E:F,2,0),"")</f>
        <v/>
      </c>
      <c r="F116" s="30" t="str">
        <f>+IFERROR(VLOOKUP(C116,Sheet2!C:F,4,0),"")</f>
        <v/>
      </c>
      <c r="G116" t="str">
        <f>+IFERROR(VLOOKUP(F116,Sheet2!F:H,3,0),"")</f>
        <v/>
      </c>
      <c r="K116" s="28" t="str">
        <f>+'S3'!AC116</f>
        <v/>
      </c>
      <c r="L116" t="str">
        <f>IF('S3'!J116&lt;&gt;"",'S3'!J116,"")</f>
        <v/>
      </c>
      <c r="M116" t="str">
        <f>IF('S3'!K116&lt;&gt;"",'S3'!K116,"")</f>
        <v/>
      </c>
      <c r="N116">
        <f>+IFERROR(VLOOKUP(L116,Sheet3!A:C,3,0)," ")</f>
        <v>0</v>
      </c>
      <c r="Q116">
        <f>+'S3'!N116</f>
        <v>0</v>
      </c>
      <c r="R116" s="25">
        <f>+'S3'!T116</f>
        <v>0</v>
      </c>
      <c r="U116">
        <f t="shared" ref="U116:U179" si="6">+R116*Q116</f>
        <v>0</v>
      </c>
      <c r="V116" s="12" t="str">
        <f>+'S3'!X116</f>
        <v/>
      </c>
      <c r="W116" s="34" t="str">
        <f>+'S3'!Y116</f>
        <v/>
      </c>
      <c r="Y116" s="12" t="str">
        <f t="shared" si="5"/>
        <v/>
      </c>
      <c r="Z116" s="27" t="str">
        <f t="shared" ref="Z116:Z179" si="7">IFERROR(ROUND(V116+Y116,0),"")</f>
        <v/>
      </c>
      <c r="AA116" s="22">
        <v>0</v>
      </c>
      <c r="AB116" s="26" t="str">
        <f>+'S3'!Z116</f>
        <v/>
      </c>
    </row>
    <row r="117" spans="3:28" x14ac:dyDescent="0.3">
      <c r="C117" t="str">
        <f>+'S3'!AB117</f>
        <v/>
      </c>
      <c r="D117" t="str">
        <f>+IFERROR(VLOOKUP(F117,Sheet2!F:G,2,0),"")</f>
        <v/>
      </c>
      <c r="E117" t="str">
        <f>+IFERROR(VLOOKUP(C117,'S3'!E:F,2,0),"")</f>
        <v/>
      </c>
      <c r="F117" s="30" t="str">
        <f>+IFERROR(VLOOKUP(C117,Sheet2!C:F,4,0),"")</f>
        <v/>
      </c>
      <c r="G117" t="str">
        <f>+IFERROR(VLOOKUP(F117,Sheet2!F:H,3,0),"")</f>
        <v/>
      </c>
      <c r="K117" s="28" t="str">
        <f>+'S3'!AC117</f>
        <v/>
      </c>
      <c r="L117" t="str">
        <f>IF('S3'!J117&lt;&gt;"",'S3'!J117,"")</f>
        <v/>
      </c>
      <c r="M117" t="str">
        <f>IF('S3'!K117&lt;&gt;"",'S3'!K117,"")</f>
        <v/>
      </c>
      <c r="N117">
        <f>+IFERROR(VLOOKUP(L117,Sheet3!A:C,3,0)," ")</f>
        <v>0</v>
      </c>
      <c r="Q117">
        <f>+'S3'!N117</f>
        <v>0</v>
      </c>
      <c r="R117" s="25">
        <f>+'S3'!T117</f>
        <v>0</v>
      </c>
      <c r="U117">
        <f t="shared" si="6"/>
        <v>0</v>
      </c>
      <c r="V117" s="12" t="str">
        <f>+'S3'!X117</f>
        <v/>
      </c>
      <c r="W117" s="34" t="str">
        <f>+'S3'!Y117</f>
        <v/>
      </c>
      <c r="Y117" s="12" t="str">
        <f t="shared" si="5"/>
        <v/>
      </c>
      <c r="Z117" s="27" t="str">
        <f t="shared" si="7"/>
        <v/>
      </c>
      <c r="AA117" s="22">
        <v>0</v>
      </c>
      <c r="AB117" s="26" t="str">
        <f>+'S3'!Z117</f>
        <v/>
      </c>
    </row>
    <row r="118" spans="3:28" x14ac:dyDescent="0.3">
      <c r="C118" t="str">
        <f>+'S3'!AB118</f>
        <v/>
      </c>
      <c r="D118" t="str">
        <f>+IFERROR(VLOOKUP(F118,Sheet2!F:G,2,0),"")</f>
        <v/>
      </c>
      <c r="E118" t="str">
        <f>+IFERROR(VLOOKUP(C118,'S3'!E:F,2,0),"")</f>
        <v/>
      </c>
      <c r="F118" s="30" t="str">
        <f>+IFERROR(VLOOKUP(C118,Sheet2!C:F,4,0),"")</f>
        <v/>
      </c>
      <c r="G118" t="str">
        <f>+IFERROR(VLOOKUP(F118,Sheet2!F:H,3,0),"")</f>
        <v/>
      </c>
      <c r="K118" s="28" t="str">
        <f>+'S3'!AC118</f>
        <v/>
      </c>
      <c r="L118" t="str">
        <f>IF('S3'!J118&lt;&gt;"",'S3'!J118,"")</f>
        <v/>
      </c>
      <c r="M118" t="str">
        <f>IF('S3'!K118&lt;&gt;"",'S3'!K118,"")</f>
        <v/>
      </c>
      <c r="N118">
        <f>+IFERROR(VLOOKUP(L118,Sheet3!A:C,3,0)," ")</f>
        <v>0</v>
      </c>
      <c r="Q118">
        <f>+'S3'!N118</f>
        <v>0</v>
      </c>
      <c r="R118" s="25">
        <f>+'S3'!T118</f>
        <v>0</v>
      </c>
      <c r="U118">
        <f t="shared" si="6"/>
        <v>0</v>
      </c>
      <c r="V118" s="12" t="str">
        <f>+'S3'!X118</f>
        <v/>
      </c>
      <c r="W118" s="34" t="str">
        <f>+'S3'!Y118</f>
        <v/>
      </c>
      <c r="Y118" s="12" t="str">
        <f t="shared" si="5"/>
        <v/>
      </c>
      <c r="Z118" s="27" t="str">
        <f t="shared" si="7"/>
        <v/>
      </c>
      <c r="AA118" s="22">
        <v>0</v>
      </c>
      <c r="AB118" s="26" t="str">
        <f>+'S3'!Z118</f>
        <v/>
      </c>
    </row>
    <row r="119" spans="3:28" x14ac:dyDescent="0.3">
      <c r="C119" t="str">
        <f>+'S3'!AB119</f>
        <v/>
      </c>
      <c r="D119" t="str">
        <f>+IFERROR(VLOOKUP(F119,Sheet2!F:G,2,0),"")</f>
        <v/>
      </c>
      <c r="E119" t="str">
        <f>+IFERROR(VLOOKUP(C119,'S3'!E:F,2,0),"")</f>
        <v/>
      </c>
      <c r="F119" s="30" t="str">
        <f>+IFERROR(VLOOKUP(C119,Sheet2!C:F,4,0),"")</f>
        <v/>
      </c>
      <c r="G119" t="str">
        <f>+IFERROR(VLOOKUP(F119,Sheet2!F:H,3,0),"")</f>
        <v/>
      </c>
      <c r="K119" s="28" t="str">
        <f>+'S3'!AC119</f>
        <v/>
      </c>
      <c r="L119" t="str">
        <f>IF('S3'!J119&lt;&gt;"",'S3'!J119,"")</f>
        <v/>
      </c>
      <c r="M119" t="str">
        <f>IF('S3'!K119&lt;&gt;"",'S3'!K119,"")</f>
        <v/>
      </c>
      <c r="N119">
        <f>+IFERROR(VLOOKUP(L119,Sheet3!A:C,3,0)," ")</f>
        <v>0</v>
      </c>
      <c r="Q119">
        <f>+'S3'!N119</f>
        <v>0</v>
      </c>
      <c r="R119" s="25">
        <f>+'S3'!T119</f>
        <v>0</v>
      </c>
      <c r="U119">
        <f t="shared" si="6"/>
        <v>0</v>
      </c>
      <c r="V119" s="12" t="str">
        <f>+'S3'!X119</f>
        <v/>
      </c>
      <c r="W119" s="34" t="str">
        <f>+'S3'!Y119</f>
        <v/>
      </c>
      <c r="Y119" s="12" t="str">
        <f t="shared" si="5"/>
        <v/>
      </c>
      <c r="Z119" s="27" t="str">
        <f t="shared" si="7"/>
        <v/>
      </c>
      <c r="AA119" s="22">
        <v>0</v>
      </c>
      <c r="AB119" s="26" t="str">
        <f>+'S3'!Z119</f>
        <v/>
      </c>
    </row>
    <row r="120" spans="3:28" x14ac:dyDescent="0.3">
      <c r="C120" t="str">
        <f>+'S3'!AB120</f>
        <v/>
      </c>
      <c r="D120" t="str">
        <f>+IFERROR(VLOOKUP(F120,Sheet2!F:G,2,0),"")</f>
        <v/>
      </c>
      <c r="E120" t="str">
        <f>+IFERROR(VLOOKUP(C120,'S3'!E:F,2,0),"")</f>
        <v/>
      </c>
      <c r="F120" s="30" t="str">
        <f>+IFERROR(VLOOKUP(C120,Sheet2!C:F,4,0),"")</f>
        <v/>
      </c>
      <c r="G120" t="str">
        <f>+IFERROR(VLOOKUP(F120,Sheet2!F:H,3,0),"")</f>
        <v/>
      </c>
      <c r="K120" s="28" t="str">
        <f>+'S3'!AC120</f>
        <v/>
      </c>
      <c r="L120" t="str">
        <f>IF('S3'!J120&lt;&gt;"",'S3'!J120,"")</f>
        <v/>
      </c>
      <c r="M120" t="str">
        <f>IF('S3'!K120&lt;&gt;"",'S3'!K120,"")</f>
        <v/>
      </c>
      <c r="N120">
        <f>+IFERROR(VLOOKUP(L120,Sheet3!A:C,3,0)," ")</f>
        <v>0</v>
      </c>
      <c r="Q120">
        <f>+'S3'!N120</f>
        <v>0</v>
      </c>
      <c r="R120" s="25">
        <f>+'S3'!T120</f>
        <v>0</v>
      </c>
      <c r="U120">
        <f t="shared" si="6"/>
        <v>0</v>
      </c>
      <c r="V120" s="12" t="str">
        <f>+'S3'!X120</f>
        <v/>
      </c>
      <c r="W120" s="34" t="str">
        <f>+'S3'!Y120</f>
        <v/>
      </c>
      <c r="Y120" s="12" t="str">
        <f t="shared" si="5"/>
        <v/>
      </c>
      <c r="Z120" s="27" t="str">
        <f t="shared" si="7"/>
        <v/>
      </c>
      <c r="AA120" s="22">
        <v>0</v>
      </c>
      <c r="AB120" s="26" t="str">
        <f>+'S3'!Z120</f>
        <v/>
      </c>
    </row>
    <row r="121" spans="3:28" x14ac:dyDescent="0.3">
      <c r="C121" t="str">
        <f>+'S3'!AB121</f>
        <v/>
      </c>
      <c r="D121" t="str">
        <f>+IFERROR(VLOOKUP(F121,Sheet2!F:G,2,0),"")</f>
        <v/>
      </c>
      <c r="E121" t="str">
        <f>+IFERROR(VLOOKUP(C121,'S3'!E:F,2,0),"")</f>
        <v/>
      </c>
      <c r="F121" s="30" t="str">
        <f>+IFERROR(VLOOKUP(C121,Sheet2!C:F,4,0),"")</f>
        <v/>
      </c>
      <c r="G121" t="str">
        <f>+IFERROR(VLOOKUP(F121,Sheet2!F:H,3,0),"")</f>
        <v/>
      </c>
      <c r="K121" s="28" t="str">
        <f>+'S3'!AC121</f>
        <v/>
      </c>
      <c r="L121" t="str">
        <f>IF('S3'!J121&lt;&gt;"",'S3'!J121,"")</f>
        <v/>
      </c>
      <c r="M121" t="str">
        <f>IF('S3'!K121&lt;&gt;"",'S3'!K121,"")</f>
        <v/>
      </c>
      <c r="N121">
        <f>+IFERROR(VLOOKUP(L121,Sheet3!A:C,3,0)," ")</f>
        <v>0</v>
      </c>
      <c r="Q121">
        <f>+'S3'!N121</f>
        <v>0</v>
      </c>
      <c r="R121" s="25">
        <f>+'S3'!T121</f>
        <v>0</v>
      </c>
      <c r="U121">
        <f t="shared" si="6"/>
        <v>0</v>
      </c>
      <c r="V121" s="12" t="str">
        <f>+'S3'!X121</f>
        <v/>
      </c>
      <c r="W121" s="34" t="str">
        <f>+'S3'!Y121</f>
        <v/>
      </c>
      <c r="Y121" s="12" t="str">
        <f t="shared" si="5"/>
        <v/>
      </c>
      <c r="Z121" s="27" t="str">
        <f t="shared" si="7"/>
        <v/>
      </c>
      <c r="AA121" s="22">
        <v>0</v>
      </c>
      <c r="AB121" s="26" t="str">
        <f>+'S3'!Z121</f>
        <v/>
      </c>
    </row>
    <row r="122" spans="3:28" x14ac:dyDescent="0.3">
      <c r="C122" t="str">
        <f>+'S3'!AB122</f>
        <v/>
      </c>
      <c r="D122" t="str">
        <f>+IFERROR(VLOOKUP(F122,Sheet2!F:G,2,0),"")</f>
        <v/>
      </c>
      <c r="E122" t="str">
        <f>+IFERROR(VLOOKUP(C122,'S3'!E:F,2,0),"")</f>
        <v/>
      </c>
      <c r="F122" s="30" t="str">
        <f>+IFERROR(VLOOKUP(C122,Sheet2!C:F,4,0),"")</f>
        <v/>
      </c>
      <c r="G122" t="str">
        <f>+IFERROR(VLOOKUP(F122,Sheet2!F:H,3,0),"")</f>
        <v/>
      </c>
      <c r="K122" s="28" t="str">
        <f>+'S3'!AC122</f>
        <v/>
      </c>
      <c r="L122" t="str">
        <f>IF('S3'!J122&lt;&gt;"",'S3'!J122,"")</f>
        <v/>
      </c>
      <c r="M122" t="str">
        <f>IF('S3'!K122&lt;&gt;"",'S3'!K122,"")</f>
        <v/>
      </c>
      <c r="N122">
        <f>+IFERROR(VLOOKUP(L122,Sheet3!A:C,3,0)," ")</f>
        <v>0</v>
      </c>
      <c r="Q122">
        <f>+'S3'!N122</f>
        <v>0</v>
      </c>
      <c r="R122" s="25">
        <f>+'S3'!T122</f>
        <v>0</v>
      </c>
      <c r="U122">
        <f t="shared" si="6"/>
        <v>0</v>
      </c>
      <c r="V122" s="12" t="str">
        <f>+'S3'!X122</f>
        <v/>
      </c>
      <c r="W122" s="34" t="str">
        <f>+'S3'!Y122</f>
        <v/>
      </c>
      <c r="Y122" s="12" t="str">
        <f t="shared" si="5"/>
        <v/>
      </c>
      <c r="Z122" s="27" t="str">
        <f t="shared" si="7"/>
        <v/>
      </c>
      <c r="AA122" s="22">
        <v>0</v>
      </c>
      <c r="AB122" s="26" t="str">
        <f>+'S3'!Z122</f>
        <v/>
      </c>
    </row>
    <row r="123" spans="3:28" x14ac:dyDescent="0.3">
      <c r="C123" t="str">
        <f>+'S3'!AB123</f>
        <v/>
      </c>
      <c r="D123" t="str">
        <f>+IFERROR(VLOOKUP(F123,Sheet2!F:G,2,0),"")</f>
        <v/>
      </c>
      <c r="E123" t="str">
        <f>+IFERROR(VLOOKUP(C123,'S3'!E:F,2,0),"")</f>
        <v/>
      </c>
      <c r="F123" s="30" t="str">
        <f>+IFERROR(VLOOKUP(C123,Sheet2!C:F,4,0),"")</f>
        <v/>
      </c>
      <c r="G123" t="str">
        <f>+IFERROR(VLOOKUP(F123,Sheet2!F:H,3,0),"")</f>
        <v/>
      </c>
      <c r="K123" s="28" t="str">
        <f>+'S3'!AC123</f>
        <v/>
      </c>
      <c r="L123" t="str">
        <f>IF('S3'!J123&lt;&gt;"",'S3'!J123,"")</f>
        <v/>
      </c>
      <c r="M123" t="str">
        <f>IF('S3'!K123&lt;&gt;"",'S3'!K123,"")</f>
        <v/>
      </c>
      <c r="N123">
        <f>+IFERROR(VLOOKUP(L123,Sheet3!A:C,3,0)," ")</f>
        <v>0</v>
      </c>
      <c r="Q123">
        <f>+'S3'!N123</f>
        <v>0</v>
      </c>
      <c r="R123" s="25">
        <f>+'S3'!T123</f>
        <v>0</v>
      </c>
      <c r="U123">
        <f t="shared" si="6"/>
        <v>0</v>
      </c>
      <c r="V123" s="12" t="str">
        <f>+'S3'!X123</f>
        <v/>
      </c>
      <c r="W123" s="34" t="str">
        <f>+'S3'!Y123</f>
        <v/>
      </c>
      <c r="Y123" s="12" t="str">
        <f t="shared" si="5"/>
        <v/>
      </c>
      <c r="Z123" s="27" t="str">
        <f t="shared" si="7"/>
        <v/>
      </c>
      <c r="AA123" s="22">
        <v>0</v>
      </c>
      <c r="AB123" s="26" t="str">
        <f>+'S3'!Z123</f>
        <v/>
      </c>
    </row>
    <row r="124" spans="3:28" x14ac:dyDescent="0.3">
      <c r="C124" t="str">
        <f>+'S3'!AB124</f>
        <v/>
      </c>
      <c r="D124" t="str">
        <f>+IFERROR(VLOOKUP(F124,Sheet2!F:G,2,0),"")</f>
        <v/>
      </c>
      <c r="E124" t="str">
        <f>+IFERROR(VLOOKUP(C124,'S3'!E:F,2,0),"")</f>
        <v/>
      </c>
      <c r="F124" s="30" t="str">
        <f>+IFERROR(VLOOKUP(C124,Sheet2!C:F,4,0),"")</f>
        <v/>
      </c>
      <c r="G124" t="str">
        <f>+IFERROR(VLOOKUP(F124,Sheet2!F:H,3,0),"")</f>
        <v/>
      </c>
      <c r="K124" s="28" t="str">
        <f>+'S3'!AC124</f>
        <v/>
      </c>
      <c r="L124" t="str">
        <f>IF('S3'!J124&lt;&gt;"",'S3'!J124,"")</f>
        <v/>
      </c>
      <c r="M124" t="str">
        <f>IF('S3'!K124&lt;&gt;"",'S3'!K124,"")</f>
        <v/>
      </c>
      <c r="N124">
        <f>+IFERROR(VLOOKUP(L124,Sheet3!A:C,3,0)," ")</f>
        <v>0</v>
      </c>
      <c r="Q124">
        <f>+'S3'!N124</f>
        <v>0</v>
      </c>
      <c r="R124" s="25">
        <f>+'S3'!T124</f>
        <v>0</v>
      </c>
      <c r="U124">
        <f t="shared" si="6"/>
        <v>0</v>
      </c>
      <c r="V124" s="12" t="str">
        <f>+'S3'!X124</f>
        <v/>
      </c>
      <c r="W124" s="34" t="str">
        <f>+'S3'!Y124</f>
        <v/>
      </c>
      <c r="Y124" s="12" t="str">
        <f t="shared" si="5"/>
        <v/>
      </c>
      <c r="Z124" s="27" t="str">
        <f t="shared" si="7"/>
        <v/>
      </c>
      <c r="AA124" s="22">
        <v>0</v>
      </c>
      <c r="AB124" s="26" t="str">
        <f>+'S3'!Z124</f>
        <v/>
      </c>
    </row>
    <row r="125" spans="3:28" x14ac:dyDescent="0.3">
      <c r="C125" t="str">
        <f>+'S3'!AB125</f>
        <v/>
      </c>
      <c r="D125" t="str">
        <f>+IFERROR(VLOOKUP(F125,Sheet2!F:G,2,0),"")</f>
        <v/>
      </c>
      <c r="E125" t="str">
        <f>+IFERROR(VLOOKUP(C125,'S3'!E:F,2,0),"")</f>
        <v/>
      </c>
      <c r="F125" s="30" t="str">
        <f>+IFERROR(VLOOKUP(C125,Sheet2!C:F,4,0),"")</f>
        <v/>
      </c>
      <c r="G125" t="str">
        <f>+IFERROR(VLOOKUP(F125,Sheet2!F:H,3,0),"")</f>
        <v/>
      </c>
      <c r="K125" s="28" t="str">
        <f>+'S3'!AC125</f>
        <v/>
      </c>
      <c r="L125" t="str">
        <f>IF('S3'!J125&lt;&gt;"",'S3'!J125,"")</f>
        <v/>
      </c>
      <c r="M125" t="str">
        <f>IF('S3'!K125&lt;&gt;"",'S3'!K125,"")</f>
        <v/>
      </c>
      <c r="N125">
        <f>+IFERROR(VLOOKUP(L125,Sheet3!A:C,3,0)," ")</f>
        <v>0</v>
      </c>
      <c r="Q125">
        <f>+'S3'!N125</f>
        <v>0</v>
      </c>
      <c r="R125" s="25">
        <f>+'S3'!T125</f>
        <v>0</v>
      </c>
      <c r="U125">
        <f t="shared" si="6"/>
        <v>0</v>
      </c>
      <c r="V125" s="12" t="str">
        <f>+'S3'!X125</f>
        <v/>
      </c>
      <c r="W125" s="34" t="str">
        <f>+'S3'!Y125</f>
        <v/>
      </c>
      <c r="Y125" s="12" t="str">
        <f t="shared" si="5"/>
        <v/>
      </c>
      <c r="Z125" s="27" t="str">
        <f t="shared" si="7"/>
        <v/>
      </c>
      <c r="AA125" s="22">
        <v>0</v>
      </c>
      <c r="AB125" s="26" t="str">
        <f>+'S3'!Z125</f>
        <v/>
      </c>
    </row>
    <row r="126" spans="3:28" x14ac:dyDescent="0.3">
      <c r="C126" t="str">
        <f>+'S3'!AB126</f>
        <v/>
      </c>
      <c r="D126" t="str">
        <f>+IFERROR(VLOOKUP(F126,Sheet2!F:G,2,0),"")</f>
        <v/>
      </c>
      <c r="E126" t="str">
        <f>+IFERROR(VLOOKUP(C126,'S3'!E:F,2,0),"")</f>
        <v/>
      </c>
      <c r="F126" s="30" t="str">
        <f>+IFERROR(VLOOKUP(C126,Sheet2!C:F,4,0),"")</f>
        <v/>
      </c>
      <c r="G126" t="str">
        <f>+IFERROR(VLOOKUP(F126,Sheet2!F:H,3,0),"")</f>
        <v/>
      </c>
      <c r="K126" s="28" t="str">
        <f>+'S3'!AC126</f>
        <v/>
      </c>
      <c r="L126" t="str">
        <f>IF('S3'!J126&lt;&gt;"",'S3'!J126,"")</f>
        <v/>
      </c>
      <c r="M126" t="str">
        <f>IF('S3'!K126&lt;&gt;"",'S3'!K126,"")</f>
        <v/>
      </c>
      <c r="N126">
        <f>+IFERROR(VLOOKUP(L126,Sheet3!A:C,3,0)," ")</f>
        <v>0</v>
      </c>
      <c r="Q126">
        <f>+'S3'!N126</f>
        <v>0</v>
      </c>
      <c r="R126" s="25">
        <f>+'S3'!T126</f>
        <v>0</v>
      </c>
      <c r="U126">
        <f t="shared" si="6"/>
        <v>0</v>
      </c>
      <c r="V126" s="12" t="str">
        <f>+'S3'!X126</f>
        <v/>
      </c>
      <c r="W126" s="34" t="str">
        <f>+'S3'!Y126</f>
        <v/>
      </c>
      <c r="Y126" s="12" t="str">
        <f t="shared" si="5"/>
        <v/>
      </c>
      <c r="Z126" s="27" t="str">
        <f t="shared" si="7"/>
        <v/>
      </c>
      <c r="AA126" s="22">
        <v>0</v>
      </c>
      <c r="AB126" s="26" t="str">
        <f>+'S3'!Z126</f>
        <v/>
      </c>
    </row>
    <row r="127" spans="3:28" x14ac:dyDescent="0.3">
      <c r="C127" t="str">
        <f>+'S3'!AB127</f>
        <v/>
      </c>
      <c r="D127" t="str">
        <f>+IFERROR(VLOOKUP(F127,Sheet2!F:G,2,0),"")</f>
        <v/>
      </c>
      <c r="E127" t="str">
        <f>+IFERROR(VLOOKUP(C127,'S3'!E:F,2,0),"")</f>
        <v/>
      </c>
      <c r="F127" s="30" t="str">
        <f>+IFERROR(VLOOKUP(C127,Sheet2!C:F,4,0),"")</f>
        <v/>
      </c>
      <c r="G127" t="str">
        <f>+IFERROR(VLOOKUP(F127,Sheet2!F:H,3,0),"")</f>
        <v/>
      </c>
      <c r="K127" s="28" t="str">
        <f>+'S3'!AC127</f>
        <v/>
      </c>
      <c r="L127" t="str">
        <f>IF('S3'!J127&lt;&gt;"",'S3'!J127,"")</f>
        <v/>
      </c>
      <c r="M127" t="str">
        <f>IF('S3'!K127&lt;&gt;"",'S3'!K127,"")</f>
        <v/>
      </c>
      <c r="N127">
        <f>+IFERROR(VLOOKUP(L127,Sheet3!A:C,3,0)," ")</f>
        <v>0</v>
      </c>
      <c r="Q127">
        <f>+'S3'!N127</f>
        <v>0</v>
      </c>
      <c r="R127" s="25">
        <f>+'S3'!T127</f>
        <v>0</v>
      </c>
      <c r="U127">
        <f t="shared" si="6"/>
        <v>0</v>
      </c>
      <c r="V127" s="12" t="str">
        <f>+'S3'!X127</f>
        <v/>
      </c>
      <c r="W127" s="34" t="str">
        <f>+'S3'!Y127</f>
        <v/>
      </c>
      <c r="Y127" s="12" t="str">
        <f t="shared" si="5"/>
        <v/>
      </c>
      <c r="Z127" s="27" t="str">
        <f t="shared" si="7"/>
        <v/>
      </c>
      <c r="AA127" s="22">
        <v>0</v>
      </c>
      <c r="AB127" s="26" t="str">
        <f>+'S3'!Z127</f>
        <v/>
      </c>
    </row>
    <row r="128" spans="3:28" x14ac:dyDescent="0.3">
      <c r="C128" t="str">
        <f>+'S3'!AB128</f>
        <v/>
      </c>
      <c r="D128" t="str">
        <f>+IFERROR(VLOOKUP(F128,Sheet2!F:G,2,0),"")</f>
        <v/>
      </c>
      <c r="E128" t="str">
        <f>+IFERROR(VLOOKUP(C128,'S3'!E:F,2,0),"")</f>
        <v/>
      </c>
      <c r="F128" s="30" t="str">
        <f>+IFERROR(VLOOKUP(C128,Sheet2!C:F,4,0),"")</f>
        <v/>
      </c>
      <c r="G128" t="str">
        <f>+IFERROR(VLOOKUP(F128,Sheet2!F:H,3,0),"")</f>
        <v/>
      </c>
      <c r="K128" s="28" t="str">
        <f>+'S3'!AC128</f>
        <v/>
      </c>
      <c r="L128" t="str">
        <f>IF('S3'!J128&lt;&gt;"",'S3'!J128,"")</f>
        <v/>
      </c>
      <c r="M128" t="str">
        <f>IF('S3'!K128&lt;&gt;"",'S3'!K128,"")</f>
        <v/>
      </c>
      <c r="N128">
        <f>+IFERROR(VLOOKUP(L128,Sheet3!A:C,3,0)," ")</f>
        <v>0</v>
      </c>
      <c r="Q128">
        <f>+'S3'!N128</f>
        <v>0</v>
      </c>
      <c r="R128" s="25">
        <f>+'S3'!T128</f>
        <v>0</v>
      </c>
      <c r="U128">
        <f t="shared" si="6"/>
        <v>0</v>
      </c>
      <c r="V128" s="12" t="str">
        <f>+'S3'!X128</f>
        <v/>
      </c>
      <c r="W128" s="34" t="str">
        <f>+'S3'!Y128</f>
        <v/>
      </c>
      <c r="Y128" s="12" t="str">
        <f t="shared" si="5"/>
        <v/>
      </c>
      <c r="Z128" s="27" t="str">
        <f t="shared" si="7"/>
        <v/>
      </c>
      <c r="AA128" s="22">
        <v>0</v>
      </c>
      <c r="AB128" s="26" t="str">
        <f>+'S3'!Z128</f>
        <v/>
      </c>
    </row>
    <row r="129" spans="3:28" x14ac:dyDescent="0.3">
      <c r="C129" t="str">
        <f>+'S3'!AB129</f>
        <v/>
      </c>
      <c r="D129" t="str">
        <f>+IFERROR(VLOOKUP(F129,Sheet2!F:G,2,0),"")</f>
        <v/>
      </c>
      <c r="E129" t="str">
        <f>+IFERROR(VLOOKUP(C129,'S3'!E:F,2,0),"")</f>
        <v/>
      </c>
      <c r="F129" s="30" t="str">
        <f>+IFERROR(VLOOKUP(C129,Sheet2!C:F,4,0),"")</f>
        <v/>
      </c>
      <c r="G129" t="str">
        <f>+IFERROR(VLOOKUP(F129,Sheet2!F:H,3,0),"")</f>
        <v/>
      </c>
      <c r="K129" s="28" t="str">
        <f>+'S3'!AC129</f>
        <v/>
      </c>
      <c r="L129" t="str">
        <f>IF('S3'!J129&lt;&gt;"",'S3'!J129,"")</f>
        <v/>
      </c>
      <c r="M129" t="str">
        <f>IF('S3'!K129&lt;&gt;"",'S3'!K129,"")</f>
        <v/>
      </c>
      <c r="N129">
        <f>+IFERROR(VLOOKUP(L129,Sheet3!A:C,3,0)," ")</f>
        <v>0</v>
      </c>
      <c r="Q129">
        <f>+'S3'!N129</f>
        <v>0</v>
      </c>
      <c r="R129" s="25">
        <f>+'S3'!T129</f>
        <v>0</v>
      </c>
      <c r="U129">
        <f t="shared" si="6"/>
        <v>0</v>
      </c>
      <c r="V129" s="12" t="str">
        <f>+'S3'!X129</f>
        <v/>
      </c>
      <c r="W129" s="34" t="str">
        <f>+'S3'!Y129</f>
        <v/>
      </c>
      <c r="Y129" s="12" t="str">
        <f t="shared" si="5"/>
        <v/>
      </c>
      <c r="Z129" s="27" t="str">
        <f t="shared" si="7"/>
        <v/>
      </c>
      <c r="AA129" s="22">
        <v>0</v>
      </c>
      <c r="AB129" s="26" t="str">
        <f>+'S3'!Z129</f>
        <v/>
      </c>
    </row>
    <row r="130" spans="3:28" x14ac:dyDescent="0.3">
      <c r="C130" t="str">
        <f>+'S3'!AB130</f>
        <v/>
      </c>
      <c r="D130" t="str">
        <f>+IFERROR(VLOOKUP(F130,Sheet2!F:G,2,0),"")</f>
        <v/>
      </c>
      <c r="E130" t="str">
        <f>+IFERROR(VLOOKUP(C130,'S3'!E:F,2,0),"")</f>
        <v/>
      </c>
      <c r="F130" s="30" t="str">
        <f>+IFERROR(VLOOKUP(C130,Sheet2!C:F,4,0),"")</f>
        <v/>
      </c>
      <c r="G130" t="str">
        <f>+IFERROR(VLOOKUP(F130,Sheet2!F:H,3,0),"")</f>
        <v/>
      </c>
      <c r="K130" s="28" t="str">
        <f>+'S3'!AC130</f>
        <v/>
      </c>
      <c r="L130" t="str">
        <f>IF('S3'!J130&lt;&gt;"",'S3'!J130,"")</f>
        <v/>
      </c>
      <c r="M130" t="str">
        <f>IF('S3'!K130&lt;&gt;"",'S3'!K130,"")</f>
        <v/>
      </c>
      <c r="N130">
        <f>+IFERROR(VLOOKUP(L130,Sheet3!A:C,3,0)," ")</f>
        <v>0</v>
      </c>
      <c r="Q130">
        <f>+'S3'!N130</f>
        <v>0</v>
      </c>
      <c r="R130" s="25">
        <f>+'S3'!T130</f>
        <v>0</v>
      </c>
      <c r="U130">
        <f t="shared" si="6"/>
        <v>0</v>
      </c>
      <c r="V130" s="12" t="str">
        <f>+'S3'!X130</f>
        <v/>
      </c>
      <c r="W130" s="34" t="str">
        <f>+'S3'!Y130</f>
        <v/>
      </c>
      <c r="Y130" s="12" t="str">
        <f t="shared" si="5"/>
        <v/>
      </c>
      <c r="Z130" s="27" t="str">
        <f t="shared" si="7"/>
        <v/>
      </c>
      <c r="AA130" s="22">
        <v>0</v>
      </c>
      <c r="AB130" s="26" t="str">
        <f>+'S3'!Z130</f>
        <v/>
      </c>
    </row>
    <row r="131" spans="3:28" x14ac:dyDescent="0.3">
      <c r="C131" t="str">
        <f>+'S3'!AB131</f>
        <v/>
      </c>
      <c r="D131" t="str">
        <f>+IFERROR(VLOOKUP(F131,Sheet2!F:G,2,0),"")</f>
        <v/>
      </c>
      <c r="E131" t="str">
        <f>+IFERROR(VLOOKUP(C131,'S3'!E:F,2,0),"")</f>
        <v/>
      </c>
      <c r="F131" s="30" t="str">
        <f>+IFERROR(VLOOKUP(C131,Sheet2!C:F,4,0),"")</f>
        <v/>
      </c>
      <c r="G131" t="str">
        <f>+IFERROR(VLOOKUP(F131,Sheet2!F:H,3,0),"")</f>
        <v/>
      </c>
      <c r="K131" s="28" t="str">
        <f>+'S3'!AC131</f>
        <v/>
      </c>
      <c r="L131" t="str">
        <f>IF('S3'!J131&lt;&gt;"",'S3'!J131,"")</f>
        <v/>
      </c>
      <c r="M131" t="str">
        <f>IF('S3'!K131&lt;&gt;"",'S3'!K131,"")</f>
        <v/>
      </c>
      <c r="N131">
        <f>+IFERROR(VLOOKUP(L131,Sheet3!A:C,3,0)," ")</f>
        <v>0</v>
      </c>
      <c r="Q131">
        <f>+'S3'!N131</f>
        <v>0</v>
      </c>
      <c r="R131" s="25">
        <f>+'S3'!T131</f>
        <v>0</v>
      </c>
      <c r="U131">
        <f t="shared" si="6"/>
        <v>0</v>
      </c>
      <c r="V131" s="12" t="str">
        <f>+'S3'!X131</f>
        <v/>
      </c>
      <c r="W131" s="34" t="str">
        <f>+'S3'!Y131</f>
        <v/>
      </c>
      <c r="Y131" s="12" t="str">
        <f t="shared" ref="Y131:Y194" si="8">IFERROR(W131%*V131,"")</f>
        <v/>
      </c>
      <c r="Z131" s="27" t="str">
        <f t="shared" si="7"/>
        <v/>
      </c>
      <c r="AA131" s="22">
        <v>0</v>
      </c>
      <c r="AB131" s="26" t="str">
        <f>+'S3'!Z131</f>
        <v/>
      </c>
    </row>
    <row r="132" spans="3:28" x14ac:dyDescent="0.3">
      <c r="C132" t="str">
        <f>+'S3'!AB132</f>
        <v/>
      </c>
      <c r="D132" t="str">
        <f>+IFERROR(VLOOKUP(F132,Sheet2!F:G,2,0),"")</f>
        <v/>
      </c>
      <c r="E132" t="str">
        <f>+IFERROR(VLOOKUP(C132,'S3'!E:F,2,0),"")</f>
        <v/>
      </c>
      <c r="F132" s="30" t="str">
        <f>+IFERROR(VLOOKUP(C132,Sheet2!C:F,4,0),"")</f>
        <v/>
      </c>
      <c r="G132" t="str">
        <f>+IFERROR(VLOOKUP(F132,Sheet2!F:H,3,0),"")</f>
        <v/>
      </c>
      <c r="K132" s="28" t="str">
        <f>+'S3'!AC132</f>
        <v/>
      </c>
      <c r="L132" t="str">
        <f>IF('S3'!J132&lt;&gt;"",'S3'!J132,"")</f>
        <v/>
      </c>
      <c r="M132" t="str">
        <f>IF('S3'!K132&lt;&gt;"",'S3'!K132,"")</f>
        <v/>
      </c>
      <c r="N132">
        <f>+IFERROR(VLOOKUP(L132,Sheet3!A:C,3,0)," ")</f>
        <v>0</v>
      </c>
      <c r="Q132">
        <f>+'S3'!N132</f>
        <v>0</v>
      </c>
      <c r="R132" s="25">
        <f>+'S3'!T132</f>
        <v>0</v>
      </c>
      <c r="U132">
        <f t="shared" si="6"/>
        <v>0</v>
      </c>
      <c r="V132" s="12" t="str">
        <f>+'S3'!X132</f>
        <v/>
      </c>
      <c r="W132" s="34" t="str">
        <f>+'S3'!Y132</f>
        <v/>
      </c>
      <c r="Y132" s="12" t="str">
        <f t="shared" si="8"/>
        <v/>
      </c>
      <c r="Z132" s="27" t="str">
        <f t="shared" si="7"/>
        <v/>
      </c>
      <c r="AA132" s="22">
        <v>0</v>
      </c>
      <c r="AB132" s="26" t="str">
        <f>+'S3'!Z132</f>
        <v/>
      </c>
    </row>
    <row r="133" spans="3:28" x14ac:dyDescent="0.3">
      <c r="C133" t="str">
        <f>+'S3'!AB133</f>
        <v/>
      </c>
      <c r="D133" t="str">
        <f>+IFERROR(VLOOKUP(F133,Sheet2!F:G,2,0),"")</f>
        <v/>
      </c>
      <c r="E133" t="str">
        <f>+IFERROR(VLOOKUP(C133,'S3'!E:F,2,0),"")</f>
        <v/>
      </c>
      <c r="F133" s="30" t="str">
        <f>+IFERROR(VLOOKUP(C133,Sheet2!C:F,4,0),"")</f>
        <v/>
      </c>
      <c r="G133" t="str">
        <f>+IFERROR(VLOOKUP(F133,Sheet2!F:H,3,0),"")</f>
        <v/>
      </c>
      <c r="K133" s="28" t="str">
        <f>+'S3'!AC133</f>
        <v/>
      </c>
      <c r="L133" t="str">
        <f>IF('S3'!J133&lt;&gt;"",'S3'!J133,"")</f>
        <v/>
      </c>
      <c r="M133" t="str">
        <f>IF('S3'!K133&lt;&gt;"",'S3'!K133,"")</f>
        <v/>
      </c>
      <c r="N133">
        <f>+IFERROR(VLOOKUP(L133,Sheet3!A:C,3,0)," ")</f>
        <v>0</v>
      </c>
      <c r="Q133">
        <f>+'S3'!N133</f>
        <v>0</v>
      </c>
      <c r="R133" s="25">
        <f>+'S3'!T133</f>
        <v>0</v>
      </c>
      <c r="U133">
        <f t="shared" si="6"/>
        <v>0</v>
      </c>
      <c r="V133" s="12" t="str">
        <f>+'S3'!X133</f>
        <v/>
      </c>
      <c r="W133" s="34" t="str">
        <f>+'S3'!Y133</f>
        <v/>
      </c>
      <c r="Y133" s="12" t="str">
        <f t="shared" si="8"/>
        <v/>
      </c>
      <c r="Z133" s="27" t="str">
        <f t="shared" si="7"/>
        <v/>
      </c>
      <c r="AA133" s="22">
        <v>0</v>
      </c>
      <c r="AB133" s="26" t="str">
        <f>+'S3'!Z133</f>
        <v/>
      </c>
    </row>
    <row r="134" spans="3:28" x14ac:dyDescent="0.3">
      <c r="C134" t="str">
        <f>+'S3'!AB134</f>
        <v/>
      </c>
      <c r="D134" t="str">
        <f>+IFERROR(VLOOKUP(F134,Sheet2!F:G,2,0),"")</f>
        <v/>
      </c>
      <c r="E134" t="str">
        <f>+IFERROR(VLOOKUP(C134,'S3'!E:F,2,0),"")</f>
        <v/>
      </c>
      <c r="F134" s="30" t="str">
        <f>+IFERROR(VLOOKUP(C134,Sheet2!C:F,4,0),"")</f>
        <v/>
      </c>
      <c r="G134" t="str">
        <f>+IFERROR(VLOOKUP(F134,Sheet2!F:H,3,0),"")</f>
        <v/>
      </c>
      <c r="K134" s="28" t="str">
        <f>+'S3'!AC134</f>
        <v/>
      </c>
      <c r="L134" t="str">
        <f>IF('S3'!J134&lt;&gt;"",'S3'!J134,"")</f>
        <v/>
      </c>
      <c r="M134" t="str">
        <f>IF('S3'!K134&lt;&gt;"",'S3'!K134,"")</f>
        <v/>
      </c>
      <c r="N134">
        <f>+IFERROR(VLOOKUP(L134,Sheet3!A:C,3,0)," ")</f>
        <v>0</v>
      </c>
      <c r="Q134">
        <f>+'S3'!N134</f>
        <v>0</v>
      </c>
      <c r="R134" s="25">
        <f>+'S3'!T134</f>
        <v>0</v>
      </c>
      <c r="U134">
        <f t="shared" si="6"/>
        <v>0</v>
      </c>
      <c r="V134" s="12" t="str">
        <f>+'S3'!X134</f>
        <v/>
      </c>
      <c r="W134" s="34" t="str">
        <f>+'S3'!Y134</f>
        <v/>
      </c>
      <c r="Y134" s="12" t="str">
        <f t="shared" si="8"/>
        <v/>
      </c>
      <c r="Z134" s="27" t="str">
        <f t="shared" si="7"/>
        <v/>
      </c>
      <c r="AA134" s="22">
        <v>0</v>
      </c>
      <c r="AB134" s="26" t="str">
        <f>+'S3'!Z134</f>
        <v/>
      </c>
    </row>
    <row r="135" spans="3:28" x14ac:dyDescent="0.3">
      <c r="C135" t="str">
        <f>+'S3'!AB135</f>
        <v/>
      </c>
      <c r="D135" t="str">
        <f>+IFERROR(VLOOKUP(F135,Sheet2!F:G,2,0),"")</f>
        <v/>
      </c>
      <c r="E135" t="str">
        <f>+IFERROR(VLOOKUP(C135,'S3'!E:F,2,0),"")</f>
        <v/>
      </c>
      <c r="F135" s="30" t="str">
        <f>+IFERROR(VLOOKUP(C135,Sheet2!C:F,4,0),"")</f>
        <v/>
      </c>
      <c r="G135" t="str">
        <f>+IFERROR(VLOOKUP(F135,Sheet2!F:H,3,0),"")</f>
        <v/>
      </c>
      <c r="K135" s="28" t="str">
        <f>+'S3'!AC135</f>
        <v/>
      </c>
      <c r="L135" t="str">
        <f>IF('S3'!J135&lt;&gt;"",'S3'!J135,"")</f>
        <v/>
      </c>
      <c r="M135" t="str">
        <f>IF('S3'!K135&lt;&gt;"",'S3'!K135,"")</f>
        <v/>
      </c>
      <c r="N135">
        <f>+IFERROR(VLOOKUP(L135,Sheet3!A:C,3,0)," ")</f>
        <v>0</v>
      </c>
      <c r="Q135">
        <f>+'S3'!N135</f>
        <v>0</v>
      </c>
      <c r="R135" s="25">
        <f>+'S3'!T135</f>
        <v>0</v>
      </c>
      <c r="U135">
        <f t="shared" si="6"/>
        <v>0</v>
      </c>
      <c r="V135" s="12" t="str">
        <f>+'S3'!X135</f>
        <v/>
      </c>
      <c r="W135" s="34" t="str">
        <f>+'S3'!Y135</f>
        <v/>
      </c>
      <c r="Y135" s="12" t="str">
        <f t="shared" si="8"/>
        <v/>
      </c>
      <c r="Z135" s="27" t="str">
        <f t="shared" si="7"/>
        <v/>
      </c>
      <c r="AA135" s="22">
        <v>0</v>
      </c>
      <c r="AB135" s="26" t="str">
        <f>+'S3'!Z135</f>
        <v/>
      </c>
    </row>
    <row r="136" spans="3:28" x14ac:dyDescent="0.3">
      <c r="C136" t="str">
        <f>+'S3'!AB136</f>
        <v/>
      </c>
      <c r="D136" t="str">
        <f>+IFERROR(VLOOKUP(F136,Sheet2!F:G,2,0),"")</f>
        <v/>
      </c>
      <c r="E136" t="str">
        <f>+IFERROR(VLOOKUP(C136,'S3'!E:F,2,0),"")</f>
        <v/>
      </c>
      <c r="F136" s="30" t="str">
        <f>+IFERROR(VLOOKUP(C136,Sheet2!C:F,4,0),"")</f>
        <v/>
      </c>
      <c r="G136" t="str">
        <f>+IFERROR(VLOOKUP(F136,Sheet2!F:H,3,0),"")</f>
        <v/>
      </c>
      <c r="K136" s="28" t="str">
        <f>+'S3'!AC136</f>
        <v/>
      </c>
      <c r="L136" t="str">
        <f>IF('S3'!J136&lt;&gt;"",'S3'!J136,"")</f>
        <v/>
      </c>
      <c r="M136" t="str">
        <f>IF('S3'!K136&lt;&gt;"",'S3'!K136,"")</f>
        <v/>
      </c>
      <c r="N136">
        <f>+IFERROR(VLOOKUP(L136,Sheet3!A:C,3,0)," ")</f>
        <v>0</v>
      </c>
      <c r="Q136">
        <f>+'S3'!N136</f>
        <v>0</v>
      </c>
      <c r="R136" s="25">
        <f>+'S3'!T136</f>
        <v>0</v>
      </c>
      <c r="U136">
        <f t="shared" si="6"/>
        <v>0</v>
      </c>
      <c r="V136" s="12" t="str">
        <f>+'S3'!X136</f>
        <v/>
      </c>
      <c r="W136" s="34" t="str">
        <f>+'S3'!Y136</f>
        <v/>
      </c>
      <c r="Y136" s="12" t="str">
        <f t="shared" si="8"/>
        <v/>
      </c>
      <c r="Z136" s="27" t="str">
        <f t="shared" si="7"/>
        <v/>
      </c>
      <c r="AA136" s="22">
        <v>0</v>
      </c>
      <c r="AB136" s="26" t="str">
        <f>+'S3'!Z136</f>
        <v/>
      </c>
    </row>
    <row r="137" spans="3:28" x14ac:dyDescent="0.3">
      <c r="C137" t="str">
        <f>+'S3'!AB137</f>
        <v/>
      </c>
      <c r="D137" t="str">
        <f>+IFERROR(VLOOKUP(F137,Sheet2!F:G,2,0),"")</f>
        <v/>
      </c>
      <c r="E137" t="str">
        <f>+IFERROR(VLOOKUP(C137,'S3'!E:F,2,0),"")</f>
        <v/>
      </c>
      <c r="F137" s="30" t="str">
        <f>+IFERROR(VLOOKUP(C137,Sheet2!C:F,4,0),"")</f>
        <v/>
      </c>
      <c r="G137" t="str">
        <f>+IFERROR(VLOOKUP(F137,Sheet2!F:H,3,0),"")</f>
        <v/>
      </c>
      <c r="K137" s="28" t="str">
        <f>+'S3'!AC137</f>
        <v/>
      </c>
      <c r="L137" t="str">
        <f>IF('S3'!J137&lt;&gt;"",'S3'!J137,"")</f>
        <v/>
      </c>
      <c r="M137" t="str">
        <f>IF('S3'!K137&lt;&gt;"",'S3'!K137,"")</f>
        <v/>
      </c>
      <c r="N137">
        <f>+IFERROR(VLOOKUP(L137,Sheet3!A:C,3,0)," ")</f>
        <v>0</v>
      </c>
      <c r="Q137">
        <f>+'S3'!N137</f>
        <v>0</v>
      </c>
      <c r="R137" s="25">
        <f>+'S3'!T137</f>
        <v>0</v>
      </c>
      <c r="U137">
        <f t="shared" si="6"/>
        <v>0</v>
      </c>
      <c r="V137" s="12" t="str">
        <f>+'S3'!X137</f>
        <v/>
      </c>
      <c r="W137" s="34" t="str">
        <f>+'S3'!Y137</f>
        <v/>
      </c>
      <c r="Y137" s="12" t="str">
        <f t="shared" si="8"/>
        <v/>
      </c>
      <c r="Z137" s="27" t="str">
        <f t="shared" si="7"/>
        <v/>
      </c>
      <c r="AA137" s="22">
        <v>0</v>
      </c>
      <c r="AB137" s="26" t="str">
        <f>+'S3'!Z137</f>
        <v/>
      </c>
    </row>
    <row r="138" spans="3:28" x14ac:dyDescent="0.3">
      <c r="C138" t="str">
        <f>+'S3'!AB138</f>
        <v/>
      </c>
      <c r="D138" t="str">
        <f>+IFERROR(VLOOKUP(F138,Sheet2!F:G,2,0),"")</f>
        <v/>
      </c>
      <c r="E138" t="str">
        <f>+IFERROR(VLOOKUP(C138,'S3'!E:F,2,0),"")</f>
        <v/>
      </c>
      <c r="F138" s="30" t="str">
        <f>+IFERROR(VLOOKUP(C138,Sheet2!C:F,4,0),"")</f>
        <v/>
      </c>
      <c r="G138" t="str">
        <f>+IFERROR(VLOOKUP(F138,Sheet2!F:H,3,0),"")</f>
        <v/>
      </c>
      <c r="K138" s="28" t="str">
        <f>+'S3'!AC138</f>
        <v/>
      </c>
      <c r="L138" t="str">
        <f>IF('S3'!J138&lt;&gt;"",'S3'!J138,"")</f>
        <v/>
      </c>
      <c r="M138" t="str">
        <f>IF('S3'!K138&lt;&gt;"",'S3'!K138,"")</f>
        <v/>
      </c>
      <c r="N138">
        <f>+IFERROR(VLOOKUP(L138,Sheet3!A:C,3,0)," ")</f>
        <v>0</v>
      </c>
      <c r="Q138">
        <f>+'S3'!N138</f>
        <v>0</v>
      </c>
      <c r="R138" s="25">
        <f>+'S3'!T138</f>
        <v>0</v>
      </c>
      <c r="U138">
        <f t="shared" si="6"/>
        <v>0</v>
      </c>
      <c r="V138" s="12" t="str">
        <f>+'S3'!X138</f>
        <v/>
      </c>
      <c r="W138" s="34" t="str">
        <f>+'S3'!Y138</f>
        <v/>
      </c>
      <c r="Y138" s="12" t="str">
        <f t="shared" si="8"/>
        <v/>
      </c>
      <c r="Z138" s="27" t="str">
        <f t="shared" si="7"/>
        <v/>
      </c>
      <c r="AA138" s="22">
        <v>0</v>
      </c>
      <c r="AB138" s="26" t="str">
        <f>+'S3'!Z138</f>
        <v/>
      </c>
    </row>
    <row r="139" spans="3:28" x14ac:dyDescent="0.3">
      <c r="C139" t="str">
        <f>+'S3'!AB139</f>
        <v/>
      </c>
      <c r="D139" t="str">
        <f>+IFERROR(VLOOKUP(F139,Sheet2!F:G,2,0),"")</f>
        <v/>
      </c>
      <c r="E139" t="str">
        <f>+IFERROR(VLOOKUP(C139,'S3'!E:F,2,0),"")</f>
        <v/>
      </c>
      <c r="F139" s="30" t="str">
        <f>+IFERROR(VLOOKUP(C139,Sheet2!C:F,4,0),"")</f>
        <v/>
      </c>
      <c r="G139" t="str">
        <f>+IFERROR(VLOOKUP(F139,Sheet2!F:H,3,0),"")</f>
        <v/>
      </c>
      <c r="K139" s="28" t="str">
        <f>+'S3'!AC139</f>
        <v/>
      </c>
      <c r="L139" t="str">
        <f>IF('S3'!J139&lt;&gt;"",'S3'!J139,"")</f>
        <v/>
      </c>
      <c r="M139" t="str">
        <f>IF('S3'!K139&lt;&gt;"",'S3'!K139,"")</f>
        <v/>
      </c>
      <c r="N139">
        <f>+IFERROR(VLOOKUP(L139,Sheet3!A:C,3,0)," ")</f>
        <v>0</v>
      </c>
      <c r="Q139">
        <f>+'S3'!N139</f>
        <v>0</v>
      </c>
      <c r="R139" s="25">
        <f>+'S3'!T139</f>
        <v>0</v>
      </c>
      <c r="U139">
        <f t="shared" si="6"/>
        <v>0</v>
      </c>
      <c r="V139" s="12" t="str">
        <f>+'S3'!X139</f>
        <v/>
      </c>
      <c r="W139" s="34" t="str">
        <f>+'S3'!Y139</f>
        <v/>
      </c>
      <c r="Y139" s="12" t="str">
        <f t="shared" si="8"/>
        <v/>
      </c>
      <c r="Z139" s="27" t="str">
        <f t="shared" si="7"/>
        <v/>
      </c>
      <c r="AA139" s="22">
        <v>0</v>
      </c>
      <c r="AB139" s="26" t="str">
        <f>+'S3'!Z139</f>
        <v/>
      </c>
    </row>
    <row r="140" spans="3:28" x14ac:dyDescent="0.3">
      <c r="C140" t="str">
        <f>+'S3'!AB140</f>
        <v/>
      </c>
      <c r="D140" t="str">
        <f>+IFERROR(VLOOKUP(F140,Sheet2!F:G,2,0),"")</f>
        <v/>
      </c>
      <c r="E140" t="str">
        <f>+IFERROR(VLOOKUP(C140,'S3'!E:F,2,0),"")</f>
        <v/>
      </c>
      <c r="F140" s="30" t="str">
        <f>+IFERROR(VLOOKUP(C140,Sheet2!C:F,4,0),"")</f>
        <v/>
      </c>
      <c r="G140" t="str">
        <f>+IFERROR(VLOOKUP(F140,Sheet2!F:H,3,0),"")</f>
        <v/>
      </c>
      <c r="K140" s="28" t="str">
        <f>+'S3'!AC140</f>
        <v/>
      </c>
      <c r="L140" t="str">
        <f>IF('S3'!J140&lt;&gt;"",'S3'!J140,"")</f>
        <v/>
      </c>
      <c r="M140" t="str">
        <f>IF('S3'!K140&lt;&gt;"",'S3'!K140,"")</f>
        <v/>
      </c>
      <c r="N140">
        <f>+IFERROR(VLOOKUP(L140,Sheet3!A:C,3,0)," ")</f>
        <v>0</v>
      </c>
      <c r="Q140">
        <f>+'S3'!N140</f>
        <v>0</v>
      </c>
      <c r="R140" s="25">
        <f>+'S3'!T140</f>
        <v>0</v>
      </c>
      <c r="U140">
        <f t="shared" si="6"/>
        <v>0</v>
      </c>
      <c r="V140" s="12" t="str">
        <f>+'S3'!X140</f>
        <v/>
      </c>
      <c r="W140" s="34" t="str">
        <f>+'S3'!Y140</f>
        <v/>
      </c>
      <c r="Y140" s="12" t="str">
        <f t="shared" si="8"/>
        <v/>
      </c>
      <c r="Z140" s="27" t="str">
        <f t="shared" si="7"/>
        <v/>
      </c>
      <c r="AA140" s="22">
        <v>0</v>
      </c>
      <c r="AB140" s="26" t="str">
        <f>+'S3'!Z140</f>
        <v/>
      </c>
    </row>
    <row r="141" spans="3:28" x14ac:dyDescent="0.3">
      <c r="C141" t="str">
        <f>+'S3'!AB141</f>
        <v/>
      </c>
      <c r="D141" t="str">
        <f>+IFERROR(VLOOKUP(F141,Sheet2!F:G,2,0),"")</f>
        <v/>
      </c>
      <c r="E141" t="str">
        <f>+IFERROR(VLOOKUP(C141,'S3'!E:F,2,0),"")</f>
        <v/>
      </c>
      <c r="F141" s="30" t="str">
        <f>+IFERROR(VLOOKUP(C141,Sheet2!C:F,4,0),"")</f>
        <v/>
      </c>
      <c r="G141" t="str">
        <f>+IFERROR(VLOOKUP(F141,Sheet2!F:H,3,0),"")</f>
        <v/>
      </c>
      <c r="K141" s="28" t="str">
        <f>+'S3'!AC141</f>
        <v/>
      </c>
      <c r="L141" t="str">
        <f>IF('S3'!J141&lt;&gt;"",'S3'!J141,"")</f>
        <v/>
      </c>
      <c r="M141" t="str">
        <f>IF('S3'!K141&lt;&gt;"",'S3'!K141,"")</f>
        <v/>
      </c>
      <c r="N141">
        <f>+IFERROR(VLOOKUP(L141,Sheet3!A:C,3,0)," ")</f>
        <v>0</v>
      </c>
      <c r="Q141">
        <f>+'S3'!N141</f>
        <v>0</v>
      </c>
      <c r="R141" s="25">
        <f>+'S3'!T141</f>
        <v>0</v>
      </c>
      <c r="U141">
        <f t="shared" si="6"/>
        <v>0</v>
      </c>
      <c r="V141" s="12" t="str">
        <f>+'S3'!X141</f>
        <v/>
      </c>
      <c r="W141" s="34" t="str">
        <f>+'S3'!Y141</f>
        <v/>
      </c>
      <c r="Y141" s="12" t="str">
        <f t="shared" si="8"/>
        <v/>
      </c>
      <c r="Z141" s="27" t="str">
        <f t="shared" si="7"/>
        <v/>
      </c>
      <c r="AA141" s="22">
        <v>0</v>
      </c>
      <c r="AB141" s="26" t="str">
        <f>+'S3'!Z141</f>
        <v/>
      </c>
    </row>
    <row r="142" spans="3:28" x14ac:dyDescent="0.3">
      <c r="C142" t="str">
        <f>+'S3'!AB142</f>
        <v/>
      </c>
      <c r="D142" t="str">
        <f>+IFERROR(VLOOKUP(F142,Sheet2!F:G,2,0),"")</f>
        <v/>
      </c>
      <c r="E142" t="str">
        <f>+IFERROR(VLOOKUP(C142,'S3'!E:F,2,0),"")</f>
        <v/>
      </c>
      <c r="F142" s="30" t="str">
        <f>+IFERROR(VLOOKUP(C142,Sheet2!C:F,4,0),"")</f>
        <v/>
      </c>
      <c r="G142" t="str">
        <f>+IFERROR(VLOOKUP(F142,Sheet2!F:H,3,0),"")</f>
        <v/>
      </c>
      <c r="K142" s="28" t="str">
        <f>+'S3'!AC142</f>
        <v/>
      </c>
      <c r="L142" t="str">
        <f>IF('S3'!J142&lt;&gt;"",'S3'!J142,"")</f>
        <v/>
      </c>
      <c r="M142" t="str">
        <f>IF('S3'!K142&lt;&gt;"",'S3'!K142,"")</f>
        <v/>
      </c>
      <c r="N142">
        <f>+IFERROR(VLOOKUP(L142,Sheet3!A:C,3,0)," ")</f>
        <v>0</v>
      </c>
      <c r="Q142">
        <f>+'S3'!N142</f>
        <v>0</v>
      </c>
      <c r="R142" s="25">
        <f>+'S3'!T142</f>
        <v>0</v>
      </c>
      <c r="U142">
        <f t="shared" si="6"/>
        <v>0</v>
      </c>
      <c r="V142" s="12" t="str">
        <f>+'S3'!X142</f>
        <v/>
      </c>
      <c r="W142" s="34" t="str">
        <f>+'S3'!Y142</f>
        <v/>
      </c>
      <c r="Y142" s="12" t="str">
        <f t="shared" si="8"/>
        <v/>
      </c>
      <c r="Z142" s="27" t="str">
        <f t="shared" si="7"/>
        <v/>
      </c>
      <c r="AA142" s="22">
        <v>0</v>
      </c>
      <c r="AB142" s="26" t="str">
        <f>+'S3'!Z142</f>
        <v/>
      </c>
    </row>
    <row r="143" spans="3:28" x14ac:dyDescent="0.3">
      <c r="C143" t="str">
        <f>+'S3'!AB143</f>
        <v/>
      </c>
      <c r="D143" t="str">
        <f>+IFERROR(VLOOKUP(F143,Sheet2!F:G,2,0),"")</f>
        <v/>
      </c>
      <c r="E143" t="str">
        <f>+IFERROR(VLOOKUP(C143,'S3'!E:F,2,0),"")</f>
        <v/>
      </c>
      <c r="F143" s="30" t="str">
        <f>+IFERROR(VLOOKUP(C143,Sheet2!C:F,4,0),"")</f>
        <v/>
      </c>
      <c r="G143" t="str">
        <f>+IFERROR(VLOOKUP(F143,Sheet2!F:H,3,0),"")</f>
        <v/>
      </c>
      <c r="K143" s="28" t="str">
        <f>+'S3'!AC143</f>
        <v/>
      </c>
      <c r="L143" t="str">
        <f>IF('S3'!J143&lt;&gt;"",'S3'!J143,"")</f>
        <v/>
      </c>
      <c r="M143" t="str">
        <f>IF('S3'!K143&lt;&gt;"",'S3'!K143,"")</f>
        <v/>
      </c>
      <c r="N143">
        <f>+IFERROR(VLOOKUP(L143,Sheet3!A:C,3,0)," ")</f>
        <v>0</v>
      </c>
      <c r="Q143">
        <f>+'S3'!N143</f>
        <v>0</v>
      </c>
      <c r="R143" s="25">
        <f>+'S3'!T143</f>
        <v>0</v>
      </c>
      <c r="U143">
        <f t="shared" si="6"/>
        <v>0</v>
      </c>
      <c r="V143" s="12" t="str">
        <f>+'S3'!X143</f>
        <v/>
      </c>
      <c r="W143" s="34" t="str">
        <f>+'S3'!Y143</f>
        <v/>
      </c>
      <c r="Y143" s="12" t="str">
        <f t="shared" si="8"/>
        <v/>
      </c>
      <c r="Z143" s="27" t="str">
        <f t="shared" si="7"/>
        <v/>
      </c>
      <c r="AA143" s="22">
        <v>0</v>
      </c>
      <c r="AB143" s="26" t="str">
        <f>+'S3'!Z143</f>
        <v/>
      </c>
    </row>
    <row r="144" spans="3:28" x14ac:dyDescent="0.3">
      <c r="C144" t="str">
        <f>+'S3'!AB144</f>
        <v/>
      </c>
      <c r="D144" t="str">
        <f>+IFERROR(VLOOKUP(F144,Sheet2!F:G,2,0),"")</f>
        <v/>
      </c>
      <c r="E144" t="str">
        <f>+IFERROR(VLOOKUP(C144,'S3'!E:F,2,0),"")</f>
        <v/>
      </c>
      <c r="F144" s="30" t="str">
        <f>+IFERROR(VLOOKUP(C144,Sheet2!C:F,4,0),"")</f>
        <v/>
      </c>
      <c r="G144" t="str">
        <f>+IFERROR(VLOOKUP(F144,Sheet2!F:H,3,0),"")</f>
        <v/>
      </c>
      <c r="K144" s="28" t="str">
        <f>+'S3'!AC144</f>
        <v/>
      </c>
      <c r="L144" t="str">
        <f>IF('S3'!J144&lt;&gt;"",'S3'!J144,"")</f>
        <v/>
      </c>
      <c r="M144" t="str">
        <f>IF('S3'!K144&lt;&gt;"",'S3'!K144,"")</f>
        <v/>
      </c>
      <c r="N144">
        <f>+IFERROR(VLOOKUP(L144,Sheet3!A:C,3,0)," ")</f>
        <v>0</v>
      </c>
      <c r="Q144">
        <f>+'S3'!N144</f>
        <v>0</v>
      </c>
      <c r="R144" s="25">
        <f>+'S3'!T144</f>
        <v>0</v>
      </c>
      <c r="U144">
        <f t="shared" si="6"/>
        <v>0</v>
      </c>
      <c r="V144" s="12" t="str">
        <f>+'S3'!X144</f>
        <v/>
      </c>
      <c r="W144" s="34" t="str">
        <f>+'S3'!Y144</f>
        <v/>
      </c>
      <c r="Y144" s="12" t="str">
        <f t="shared" si="8"/>
        <v/>
      </c>
      <c r="Z144" s="27" t="str">
        <f t="shared" si="7"/>
        <v/>
      </c>
      <c r="AA144" s="22">
        <v>0</v>
      </c>
      <c r="AB144" s="26" t="str">
        <f>+'S3'!Z144</f>
        <v/>
      </c>
    </row>
    <row r="145" spans="3:28" x14ac:dyDescent="0.3">
      <c r="C145" t="str">
        <f>+'S3'!AB145</f>
        <v/>
      </c>
      <c r="D145" t="str">
        <f>+IFERROR(VLOOKUP(F145,Sheet2!F:G,2,0),"")</f>
        <v/>
      </c>
      <c r="E145" t="str">
        <f>+IFERROR(VLOOKUP(C145,'S3'!E:F,2,0),"")</f>
        <v/>
      </c>
      <c r="F145" s="30" t="str">
        <f>+IFERROR(VLOOKUP(C145,Sheet2!C:F,4,0),"")</f>
        <v/>
      </c>
      <c r="G145" t="str">
        <f>+IFERROR(VLOOKUP(F145,Sheet2!F:H,3,0),"")</f>
        <v/>
      </c>
      <c r="K145" s="28" t="str">
        <f>+'S3'!AC145</f>
        <v/>
      </c>
      <c r="L145" t="str">
        <f>IF('S3'!J145&lt;&gt;"",'S3'!J145,"")</f>
        <v/>
      </c>
      <c r="M145" t="str">
        <f>IF('S3'!K145&lt;&gt;"",'S3'!K145,"")</f>
        <v/>
      </c>
      <c r="N145">
        <f>+IFERROR(VLOOKUP(L145,Sheet3!A:C,3,0)," ")</f>
        <v>0</v>
      </c>
      <c r="Q145">
        <f>+'S3'!N145</f>
        <v>0</v>
      </c>
      <c r="R145" s="25">
        <f>+'S3'!T145</f>
        <v>0</v>
      </c>
      <c r="U145">
        <f t="shared" si="6"/>
        <v>0</v>
      </c>
      <c r="V145" s="12" t="str">
        <f>+'S3'!X145</f>
        <v/>
      </c>
      <c r="W145" s="34" t="str">
        <f>+'S3'!Y145</f>
        <v/>
      </c>
      <c r="Y145" s="12" t="str">
        <f t="shared" si="8"/>
        <v/>
      </c>
      <c r="Z145" s="27" t="str">
        <f t="shared" si="7"/>
        <v/>
      </c>
      <c r="AA145" s="22">
        <v>0</v>
      </c>
      <c r="AB145" s="26" t="str">
        <f>+'S3'!Z145</f>
        <v/>
      </c>
    </row>
    <row r="146" spans="3:28" x14ac:dyDescent="0.3">
      <c r="C146" t="str">
        <f>+'S3'!AB146</f>
        <v/>
      </c>
      <c r="D146" t="str">
        <f>+IFERROR(VLOOKUP(F146,Sheet2!F:G,2,0),"")</f>
        <v/>
      </c>
      <c r="E146" t="str">
        <f>+IFERROR(VLOOKUP(C146,'S3'!E:F,2,0),"")</f>
        <v/>
      </c>
      <c r="F146" s="30" t="str">
        <f>+IFERROR(VLOOKUP(C146,Sheet2!C:F,4,0),"")</f>
        <v/>
      </c>
      <c r="G146" t="str">
        <f>+IFERROR(VLOOKUP(F146,Sheet2!F:H,3,0),"")</f>
        <v/>
      </c>
      <c r="K146" s="28" t="str">
        <f>+'S3'!AC146</f>
        <v/>
      </c>
      <c r="L146" t="str">
        <f>IF('S3'!J146&lt;&gt;"",'S3'!J146,"")</f>
        <v/>
      </c>
      <c r="M146" t="str">
        <f>IF('S3'!K146&lt;&gt;"",'S3'!K146,"")</f>
        <v/>
      </c>
      <c r="N146">
        <f>+IFERROR(VLOOKUP(L146,Sheet3!A:C,3,0)," ")</f>
        <v>0</v>
      </c>
      <c r="Q146">
        <f>+'S3'!N146</f>
        <v>0</v>
      </c>
      <c r="R146" s="25">
        <f>+'S3'!T146</f>
        <v>0</v>
      </c>
      <c r="U146">
        <f t="shared" si="6"/>
        <v>0</v>
      </c>
      <c r="V146" s="12" t="str">
        <f>+'S3'!X146</f>
        <v/>
      </c>
      <c r="W146" s="34" t="str">
        <f>+'S3'!Y146</f>
        <v/>
      </c>
      <c r="Y146" s="12" t="str">
        <f t="shared" si="8"/>
        <v/>
      </c>
      <c r="Z146" s="27" t="str">
        <f t="shared" si="7"/>
        <v/>
      </c>
      <c r="AA146" s="22">
        <v>0</v>
      </c>
      <c r="AB146" s="26" t="str">
        <f>+'S3'!Z146</f>
        <v/>
      </c>
    </row>
    <row r="147" spans="3:28" x14ac:dyDescent="0.3">
      <c r="C147" t="str">
        <f>+'S3'!AB147</f>
        <v/>
      </c>
      <c r="D147" t="str">
        <f>+IFERROR(VLOOKUP(F147,Sheet2!F:G,2,0),"")</f>
        <v/>
      </c>
      <c r="E147" t="str">
        <f>+IFERROR(VLOOKUP(C147,'S3'!E:F,2,0),"")</f>
        <v/>
      </c>
      <c r="F147" s="30" t="str">
        <f>+IFERROR(VLOOKUP(C147,Sheet2!C:F,4,0),"")</f>
        <v/>
      </c>
      <c r="G147" t="str">
        <f>+IFERROR(VLOOKUP(F147,Sheet2!F:H,3,0),"")</f>
        <v/>
      </c>
      <c r="K147" s="28" t="str">
        <f>+'S3'!AC147</f>
        <v/>
      </c>
      <c r="L147" t="str">
        <f>IF('S3'!J147&lt;&gt;"",'S3'!J147,"")</f>
        <v/>
      </c>
      <c r="M147" t="str">
        <f>IF('S3'!K147&lt;&gt;"",'S3'!K147,"")</f>
        <v/>
      </c>
      <c r="N147">
        <f>+IFERROR(VLOOKUP(L147,Sheet3!A:C,3,0)," ")</f>
        <v>0</v>
      </c>
      <c r="Q147">
        <f>+'S3'!N147</f>
        <v>0</v>
      </c>
      <c r="R147" s="25">
        <f>+'S3'!T147</f>
        <v>0</v>
      </c>
      <c r="U147">
        <f t="shared" si="6"/>
        <v>0</v>
      </c>
      <c r="V147" s="12" t="str">
        <f>+'S3'!X147</f>
        <v/>
      </c>
      <c r="W147" s="34" t="str">
        <f>+'S3'!Y147</f>
        <v/>
      </c>
      <c r="Y147" s="12" t="str">
        <f t="shared" si="8"/>
        <v/>
      </c>
      <c r="Z147" s="27" t="str">
        <f t="shared" si="7"/>
        <v/>
      </c>
      <c r="AA147" s="22">
        <v>0</v>
      </c>
      <c r="AB147" s="26" t="str">
        <f>+'S3'!Z147</f>
        <v/>
      </c>
    </row>
    <row r="148" spans="3:28" x14ac:dyDescent="0.3">
      <c r="C148" t="str">
        <f>+'S3'!AB148</f>
        <v/>
      </c>
      <c r="D148" t="str">
        <f>+IFERROR(VLOOKUP(F148,Sheet2!F:G,2,0),"")</f>
        <v/>
      </c>
      <c r="E148" t="str">
        <f>+IFERROR(VLOOKUP(C148,'S3'!E:F,2,0),"")</f>
        <v/>
      </c>
      <c r="F148" s="30" t="str">
        <f>+IFERROR(VLOOKUP(C148,Sheet2!C:F,4,0),"")</f>
        <v/>
      </c>
      <c r="G148" t="str">
        <f>+IFERROR(VLOOKUP(F148,Sheet2!F:H,3,0),"")</f>
        <v/>
      </c>
      <c r="K148" s="28" t="str">
        <f>+'S3'!AC148</f>
        <v/>
      </c>
      <c r="L148" t="str">
        <f>IF('S3'!J148&lt;&gt;"",'S3'!J148,"")</f>
        <v/>
      </c>
      <c r="M148" t="str">
        <f>IF('S3'!K148&lt;&gt;"",'S3'!K148,"")</f>
        <v/>
      </c>
      <c r="N148">
        <f>+IFERROR(VLOOKUP(L148,Sheet3!A:C,3,0)," ")</f>
        <v>0</v>
      </c>
      <c r="Q148">
        <f>+'S3'!N148</f>
        <v>0</v>
      </c>
      <c r="R148" s="25">
        <f>+'S3'!T148</f>
        <v>0</v>
      </c>
      <c r="U148">
        <f t="shared" si="6"/>
        <v>0</v>
      </c>
      <c r="V148" s="12" t="str">
        <f>+'S3'!X148</f>
        <v/>
      </c>
      <c r="W148" s="34" t="str">
        <f>+'S3'!Y148</f>
        <v/>
      </c>
      <c r="Y148" s="12" t="str">
        <f t="shared" si="8"/>
        <v/>
      </c>
      <c r="Z148" s="27" t="str">
        <f t="shared" si="7"/>
        <v/>
      </c>
      <c r="AA148" s="22">
        <v>0</v>
      </c>
      <c r="AB148" s="26" t="str">
        <f>+'S3'!Z148</f>
        <v/>
      </c>
    </row>
    <row r="149" spans="3:28" x14ac:dyDescent="0.3">
      <c r="C149" t="str">
        <f>+'S3'!AB149</f>
        <v/>
      </c>
      <c r="D149" t="str">
        <f>+IFERROR(VLOOKUP(F149,Sheet2!F:G,2,0),"")</f>
        <v/>
      </c>
      <c r="E149" t="str">
        <f>+IFERROR(VLOOKUP(C149,'S3'!E:F,2,0),"")</f>
        <v/>
      </c>
      <c r="F149" s="30" t="str">
        <f>+IFERROR(VLOOKUP(C149,Sheet2!C:F,4,0),"")</f>
        <v/>
      </c>
      <c r="G149" t="str">
        <f>+IFERROR(VLOOKUP(F149,Sheet2!F:H,3,0),"")</f>
        <v/>
      </c>
      <c r="K149" s="28" t="str">
        <f>+'S3'!AC149</f>
        <v/>
      </c>
      <c r="L149" t="str">
        <f>IF('S3'!J149&lt;&gt;"",'S3'!J149,"")</f>
        <v/>
      </c>
      <c r="M149" t="str">
        <f>IF('S3'!K149&lt;&gt;"",'S3'!K149,"")</f>
        <v/>
      </c>
      <c r="N149">
        <f>+IFERROR(VLOOKUP(L149,Sheet3!A:C,3,0)," ")</f>
        <v>0</v>
      </c>
      <c r="Q149">
        <f>+'S3'!N149</f>
        <v>0</v>
      </c>
      <c r="R149" s="25">
        <f>+'S3'!T149</f>
        <v>0</v>
      </c>
      <c r="U149">
        <f t="shared" si="6"/>
        <v>0</v>
      </c>
      <c r="V149" s="12" t="str">
        <f>+'S3'!X149</f>
        <v/>
      </c>
      <c r="W149" s="34" t="str">
        <f>+'S3'!Y149</f>
        <v/>
      </c>
      <c r="Y149" s="12" t="str">
        <f t="shared" si="8"/>
        <v/>
      </c>
      <c r="Z149" s="27" t="str">
        <f t="shared" si="7"/>
        <v/>
      </c>
      <c r="AA149" s="22">
        <v>0</v>
      </c>
      <c r="AB149" s="26" t="str">
        <f>+'S3'!Z149</f>
        <v/>
      </c>
    </row>
    <row r="150" spans="3:28" x14ac:dyDescent="0.3">
      <c r="C150" t="str">
        <f>+'S3'!AB150</f>
        <v/>
      </c>
      <c r="D150" t="str">
        <f>+IFERROR(VLOOKUP(F150,Sheet2!F:G,2,0),"")</f>
        <v/>
      </c>
      <c r="E150" t="str">
        <f>+IFERROR(VLOOKUP(C150,'S3'!E:F,2,0),"")</f>
        <v/>
      </c>
      <c r="F150" s="30" t="str">
        <f>+IFERROR(VLOOKUP(C150,Sheet2!C:F,4,0),"")</f>
        <v/>
      </c>
      <c r="G150" t="str">
        <f>+IFERROR(VLOOKUP(F150,Sheet2!F:H,3,0),"")</f>
        <v/>
      </c>
      <c r="K150" s="28" t="str">
        <f>+'S3'!AC150</f>
        <v/>
      </c>
      <c r="L150" t="str">
        <f>IF('S3'!J150&lt;&gt;"",'S3'!J150,"")</f>
        <v/>
      </c>
      <c r="M150" t="str">
        <f>IF('S3'!K150&lt;&gt;"",'S3'!K150,"")</f>
        <v/>
      </c>
      <c r="N150">
        <f>+IFERROR(VLOOKUP(L150,Sheet3!A:C,3,0)," ")</f>
        <v>0</v>
      </c>
      <c r="Q150">
        <f>+'S3'!N150</f>
        <v>0</v>
      </c>
      <c r="R150" s="25">
        <f>+'S3'!T150</f>
        <v>0</v>
      </c>
      <c r="U150">
        <f t="shared" si="6"/>
        <v>0</v>
      </c>
      <c r="V150" s="12" t="str">
        <f>+'S3'!X150</f>
        <v/>
      </c>
      <c r="W150" s="34" t="str">
        <f>+'S3'!Y150</f>
        <v/>
      </c>
      <c r="Y150" s="12" t="str">
        <f t="shared" si="8"/>
        <v/>
      </c>
      <c r="Z150" s="27" t="str">
        <f t="shared" si="7"/>
        <v/>
      </c>
      <c r="AA150" s="22">
        <v>0</v>
      </c>
      <c r="AB150" s="26" t="str">
        <f>+'S3'!Z150</f>
        <v/>
      </c>
    </row>
    <row r="151" spans="3:28" x14ac:dyDescent="0.3">
      <c r="C151" t="str">
        <f>+'S3'!AB151</f>
        <v/>
      </c>
      <c r="D151" t="str">
        <f>+IFERROR(VLOOKUP(F151,Sheet2!F:G,2,0),"")</f>
        <v/>
      </c>
      <c r="E151" t="str">
        <f>+IFERROR(VLOOKUP(C151,'S3'!E:F,2,0),"")</f>
        <v/>
      </c>
      <c r="F151" s="30" t="str">
        <f>+IFERROR(VLOOKUP(C151,Sheet2!C:F,4,0),"")</f>
        <v/>
      </c>
      <c r="G151" t="str">
        <f>+IFERROR(VLOOKUP(F151,Sheet2!F:H,3,0),"")</f>
        <v/>
      </c>
      <c r="K151" s="28" t="str">
        <f>+'S3'!AC151</f>
        <v/>
      </c>
      <c r="L151" t="str">
        <f>IF('S3'!J151&lt;&gt;"",'S3'!J151,"")</f>
        <v/>
      </c>
      <c r="M151" t="str">
        <f>IF('S3'!K151&lt;&gt;"",'S3'!K151,"")</f>
        <v/>
      </c>
      <c r="N151">
        <f>+IFERROR(VLOOKUP(L151,Sheet3!A:C,3,0)," ")</f>
        <v>0</v>
      </c>
      <c r="Q151">
        <f>+'S3'!N151</f>
        <v>0</v>
      </c>
      <c r="R151" s="25">
        <f>+'S3'!T151</f>
        <v>0</v>
      </c>
      <c r="U151">
        <f t="shared" si="6"/>
        <v>0</v>
      </c>
      <c r="V151" s="12" t="str">
        <f>+'S3'!X151</f>
        <v/>
      </c>
      <c r="W151" s="34" t="str">
        <f>+'S3'!Y151</f>
        <v/>
      </c>
      <c r="Y151" s="12" t="str">
        <f t="shared" si="8"/>
        <v/>
      </c>
      <c r="Z151" s="27" t="str">
        <f t="shared" si="7"/>
        <v/>
      </c>
      <c r="AA151" s="22">
        <v>0</v>
      </c>
      <c r="AB151" s="26" t="str">
        <f>+'S3'!Z151</f>
        <v/>
      </c>
    </row>
    <row r="152" spans="3:28" x14ac:dyDescent="0.3">
      <c r="C152" t="str">
        <f>+'S3'!AB152</f>
        <v/>
      </c>
      <c r="D152" t="str">
        <f>+IFERROR(VLOOKUP(F152,Sheet2!F:G,2,0),"")</f>
        <v/>
      </c>
      <c r="E152" t="str">
        <f>+IFERROR(VLOOKUP(C152,'S3'!E:F,2,0),"")</f>
        <v/>
      </c>
      <c r="F152" s="30" t="str">
        <f>+IFERROR(VLOOKUP(C152,Sheet2!C:F,4,0),"")</f>
        <v/>
      </c>
      <c r="G152" t="str">
        <f>+IFERROR(VLOOKUP(F152,Sheet2!F:H,3,0),"")</f>
        <v/>
      </c>
      <c r="K152" s="28" t="str">
        <f>+'S3'!AC152</f>
        <v/>
      </c>
      <c r="L152" t="str">
        <f>IF('S3'!J152&lt;&gt;"",'S3'!J152,"")</f>
        <v/>
      </c>
      <c r="M152" t="str">
        <f>IF('S3'!K152&lt;&gt;"",'S3'!K152,"")</f>
        <v/>
      </c>
      <c r="N152">
        <f>+IFERROR(VLOOKUP(L152,Sheet3!A:C,3,0)," ")</f>
        <v>0</v>
      </c>
      <c r="Q152">
        <f>+'S3'!N152</f>
        <v>0</v>
      </c>
      <c r="R152" s="25">
        <f>+'S3'!T152</f>
        <v>0</v>
      </c>
      <c r="U152">
        <f t="shared" si="6"/>
        <v>0</v>
      </c>
      <c r="V152" s="12" t="str">
        <f>+'S3'!X152</f>
        <v/>
      </c>
      <c r="W152" s="34" t="str">
        <f>+'S3'!Y152</f>
        <v/>
      </c>
      <c r="Y152" s="12" t="str">
        <f t="shared" si="8"/>
        <v/>
      </c>
      <c r="Z152" s="27" t="str">
        <f t="shared" si="7"/>
        <v/>
      </c>
      <c r="AA152" s="22">
        <v>0</v>
      </c>
      <c r="AB152" s="26" t="str">
        <f>+'S3'!Z152</f>
        <v/>
      </c>
    </row>
    <row r="153" spans="3:28" x14ac:dyDescent="0.3">
      <c r="C153" t="str">
        <f>+'S3'!AB153</f>
        <v/>
      </c>
      <c r="D153" t="str">
        <f>+IFERROR(VLOOKUP(F153,Sheet2!F:G,2,0),"")</f>
        <v/>
      </c>
      <c r="E153" t="str">
        <f>+IFERROR(VLOOKUP(C153,'S3'!E:F,2,0),"")</f>
        <v/>
      </c>
      <c r="F153" s="30" t="str">
        <f>+IFERROR(VLOOKUP(C153,Sheet2!C:F,4,0),"")</f>
        <v/>
      </c>
      <c r="G153" t="str">
        <f>+IFERROR(VLOOKUP(F153,Sheet2!F:H,3,0),"")</f>
        <v/>
      </c>
      <c r="K153" s="28" t="str">
        <f>+'S3'!AC153</f>
        <v/>
      </c>
      <c r="L153" t="str">
        <f>IF('S3'!J153&lt;&gt;"",'S3'!J153,"")</f>
        <v/>
      </c>
      <c r="M153" t="str">
        <f>IF('S3'!K153&lt;&gt;"",'S3'!K153,"")</f>
        <v/>
      </c>
      <c r="N153">
        <f>+IFERROR(VLOOKUP(L153,Sheet3!A:C,3,0)," ")</f>
        <v>0</v>
      </c>
      <c r="Q153">
        <f>+'S3'!N153</f>
        <v>0</v>
      </c>
      <c r="R153" s="25">
        <f>+'S3'!T153</f>
        <v>0</v>
      </c>
      <c r="U153">
        <f t="shared" si="6"/>
        <v>0</v>
      </c>
      <c r="V153" s="12" t="str">
        <f>+'S3'!X153</f>
        <v/>
      </c>
      <c r="W153" s="34" t="str">
        <f>+'S3'!Y153</f>
        <v/>
      </c>
      <c r="Y153" s="12" t="str">
        <f t="shared" si="8"/>
        <v/>
      </c>
      <c r="Z153" s="27" t="str">
        <f t="shared" si="7"/>
        <v/>
      </c>
      <c r="AA153" s="22">
        <v>0</v>
      </c>
      <c r="AB153" s="26" t="str">
        <f>+'S3'!Z153</f>
        <v/>
      </c>
    </row>
    <row r="154" spans="3:28" x14ac:dyDescent="0.3">
      <c r="C154" t="str">
        <f>+'S3'!AB154</f>
        <v/>
      </c>
      <c r="D154" t="str">
        <f>+IFERROR(VLOOKUP(F154,Sheet2!F:G,2,0),"")</f>
        <v/>
      </c>
      <c r="E154" t="str">
        <f>+IFERROR(VLOOKUP(C154,'S3'!E:F,2,0),"")</f>
        <v/>
      </c>
      <c r="F154" s="30" t="str">
        <f>+IFERROR(VLOOKUP(C154,Sheet2!C:F,4,0),"")</f>
        <v/>
      </c>
      <c r="G154" t="str">
        <f>+IFERROR(VLOOKUP(F154,Sheet2!F:H,3,0),"")</f>
        <v/>
      </c>
      <c r="K154" s="28" t="str">
        <f>+'S3'!AC154</f>
        <v/>
      </c>
      <c r="L154" t="str">
        <f>IF('S3'!J154&lt;&gt;"",'S3'!J154,"")</f>
        <v/>
      </c>
      <c r="M154" t="str">
        <f>IF('S3'!K154&lt;&gt;"",'S3'!K154,"")</f>
        <v/>
      </c>
      <c r="N154">
        <f>+IFERROR(VLOOKUP(L154,Sheet3!A:C,3,0)," ")</f>
        <v>0</v>
      </c>
      <c r="Q154">
        <f>+'S3'!N154</f>
        <v>0</v>
      </c>
      <c r="R154" s="25">
        <f>+'S3'!T154</f>
        <v>0</v>
      </c>
      <c r="U154">
        <f t="shared" si="6"/>
        <v>0</v>
      </c>
      <c r="V154" s="12" t="str">
        <f>+'S3'!X154</f>
        <v/>
      </c>
      <c r="W154" s="34" t="str">
        <f>+'S3'!Y154</f>
        <v/>
      </c>
      <c r="Y154" s="12" t="str">
        <f t="shared" si="8"/>
        <v/>
      </c>
      <c r="Z154" s="27" t="str">
        <f t="shared" si="7"/>
        <v/>
      </c>
      <c r="AA154" s="22">
        <v>0</v>
      </c>
      <c r="AB154" s="26" t="str">
        <f>+'S3'!Z154</f>
        <v/>
      </c>
    </row>
    <row r="155" spans="3:28" x14ac:dyDescent="0.3">
      <c r="C155" t="str">
        <f>+'S3'!AB155</f>
        <v/>
      </c>
      <c r="D155" t="str">
        <f>+IFERROR(VLOOKUP(F155,Sheet2!F:G,2,0),"")</f>
        <v/>
      </c>
      <c r="E155" t="str">
        <f>+IFERROR(VLOOKUP(C155,'S3'!E:F,2,0),"")</f>
        <v/>
      </c>
      <c r="F155" s="30" t="str">
        <f>+IFERROR(VLOOKUP(C155,Sheet2!C:F,4,0),"")</f>
        <v/>
      </c>
      <c r="G155" t="str">
        <f>+IFERROR(VLOOKUP(F155,Sheet2!F:H,3,0),"")</f>
        <v/>
      </c>
      <c r="K155" s="28" t="str">
        <f>+'S3'!AC155</f>
        <v/>
      </c>
      <c r="L155" t="str">
        <f>IF('S3'!J155&lt;&gt;"",'S3'!J155,"")</f>
        <v/>
      </c>
      <c r="M155" t="str">
        <f>IF('S3'!K155&lt;&gt;"",'S3'!K155,"")</f>
        <v/>
      </c>
      <c r="N155">
        <f>+IFERROR(VLOOKUP(L155,Sheet3!A:C,3,0)," ")</f>
        <v>0</v>
      </c>
      <c r="Q155">
        <f>+'S3'!N155</f>
        <v>0</v>
      </c>
      <c r="R155" s="25">
        <f>+'S3'!T155</f>
        <v>0</v>
      </c>
      <c r="U155">
        <f t="shared" si="6"/>
        <v>0</v>
      </c>
      <c r="V155" s="12" t="str">
        <f>+'S3'!X155</f>
        <v/>
      </c>
      <c r="W155" s="34" t="str">
        <f>+'S3'!Y155</f>
        <v/>
      </c>
      <c r="Y155" s="12" t="str">
        <f t="shared" si="8"/>
        <v/>
      </c>
      <c r="Z155" s="27" t="str">
        <f t="shared" si="7"/>
        <v/>
      </c>
      <c r="AA155" s="22">
        <v>0</v>
      </c>
      <c r="AB155" s="26" t="str">
        <f>+'S3'!Z155</f>
        <v/>
      </c>
    </row>
    <row r="156" spans="3:28" x14ac:dyDescent="0.3">
      <c r="C156" t="str">
        <f>+'S3'!AB156</f>
        <v/>
      </c>
      <c r="D156" t="str">
        <f>+IFERROR(VLOOKUP(F156,Sheet2!F:G,2,0),"")</f>
        <v/>
      </c>
      <c r="E156" t="str">
        <f>+IFERROR(VLOOKUP(C156,'S3'!E:F,2,0),"")</f>
        <v/>
      </c>
      <c r="F156" s="30" t="str">
        <f>+IFERROR(VLOOKUP(C156,Sheet2!C:F,4,0),"")</f>
        <v/>
      </c>
      <c r="G156" t="str">
        <f>+IFERROR(VLOOKUP(F156,Sheet2!F:H,3,0),"")</f>
        <v/>
      </c>
      <c r="K156" s="28" t="str">
        <f>+'S3'!AC156</f>
        <v/>
      </c>
      <c r="L156" t="str">
        <f>IF('S3'!J156&lt;&gt;"",'S3'!J156,"")</f>
        <v/>
      </c>
      <c r="M156" t="str">
        <f>IF('S3'!K156&lt;&gt;"",'S3'!K156,"")</f>
        <v/>
      </c>
      <c r="N156">
        <f>+IFERROR(VLOOKUP(L156,Sheet3!A:C,3,0)," ")</f>
        <v>0</v>
      </c>
      <c r="Q156">
        <f>+'S3'!N156</f>
        <v>0</v>
      </c>
      <c r="R156" s="25">
        <f>+'S3'!T156</f>
        <v>0</v>
      </c>
      <c r="U156">
        <f t="shared" si="6"/>
        <v>0</v>
      </c>
      <c r="V156" s="12" t="str">
        <f>+'S3'!X156</f>
        <v/>
      </c>
      <c r="W156" s="34" t="str">
        <f>+'S3'!Y156</f>
        <v/>
      </c>
      <c r="Y156" s="12" t="str">
        <f t="shared" si="8"/>
        <v/>
      </c>
      <c r="Z156" s="27" t="str">
        <f t="shared" si="7"/>
        <v/>
      </c>
      <c r="AA156" s="22">
        <v>0</v>
      </c>
      <c r="AB156" s="26" t="str">
        <f>+'S3'!Z156</f>
        <v/>
      </c>
    </row>
    <row r="157" spans="3:28" x14ac:dyDescent="0.3">
      <c r="C157" t="str">
        <f>+'S3'!AB157</f>
        <v/>
      </c>
      <c r="D157" t="str">
        <f>+IFERROR(VLOOKUP(F157,Sheet2!F:G,2,0),"")</f>
        <v/>
      </c>
      <c r="E157" t="str">
        <f>+IFERROR(VLOOKUP(C157,'S3'!E:F,2,0),"")</f>
        <v/>
      </c>
      <c r="F157" s="30" t="str">
        <f>+IFERROR(VLOOKUP(C157,Sheet2!C:F,4,0),"")</f>
        <v/>
      </c>
      <c r="G157" t="str">
        <f>+IFERROR(VLOOKUP(F157,Sheet2!F:H,3,0),"")</f>
        <v/>
      </c>
      <c r="K157" s="28" t="str">
        <f>+'S3'!AC157</f>
        <v/>
      </c>
      <c r="L157" t="str">
        <f>IF('S3'!J157&lt;&gt;"",'S3'!J157,"")</f>
        <v/>
      </c>
      <c r="M157" t="str">
        <f>IF('S3'!K157&lt;&gt;"",'S3'!K157,"")</f>
        <v/>
      </c>
      <c r="N157">
        <f>+IFERROR(VLOOKUP(L157,Sheet3!A:C,3,0)," ")</f>
        <v>0</v>
      </c>
      <c r="Q157">
        <f>+'S3'!N157</f>
        <v>0</v>
      </c>
      <c r="R157" s="25">
        <f>+'S3'!T157</f>
        <v>0</v>
      </c>
      <c r="U157">
        <f t="shared" si="6"/>
        <v>0</v>
      </c>
      <c r="V157" s="12" t="str">
        <f>+'S3'!X157</f>
        <v/>
      </c>
      <c r="W157" s="34" t="str">
        <f>+'S3'!Y157</f>
        <v/>
      </c>
      <c r="Y157" s="12" t="str">
        <f t="shared" si="8"/>
        <v/>
      </c>
      <c r="Z157" s="27" t="str">
        <f t="shared" si="7"/>
        <v/>
      </c>
      <c r="AA157" s="22">
        <v>0</v>
      </c>
      <c r="AB157" s="26" t="str">
        <f>+'S3'!Z157</f>
        <v/>
      </c>
    </row>
    <row r="158" spans="3:28" x14ac:dyDescent="0.3">
      <c r="C158" t="str">
        <f>+'S3'!AB158</f>
        <v/>
      </c>
      <c r="D158" t="str">
        <f>+IFERROR(VLOOKUP(F158,Sheet2!F:G,2,0),"")</f>
        <v/>
      </c>
      <c r="E158" t="str">
        <f>+IFERROR(VLOOKUP(C158,'S3'!E:F,2,0),"")</f>
        <v/>
      </c>
      <c r="F158" s="30" t="str">
        <f>+IFERROR(VLOOKUP(C158,Sheet2!C:F,4,0),"")</f>
        <v/>
      </c>
      <c r="G158" t="str">
        <f>+IFERROR(VLOOKUP(F158,Sheet2!F:H,3,0),"")</f>
        <v/>
      </c>
      <c r="K158" s="28" t="str">
        <f>+'S3'!AC158</f>
        <v/>
      </c>
      <c r="L158" t="str">
        <f>IF('S3'!J158&lt;&gt;"",'S3'!J158,"")</f>
        <v/>
      </c>
      <c r="M158" t="str">
        <f>IF('S3'!K158&lt;&gt;"",'S3'!K158,"")</f>
        <v/>
      </c>
      <c r="N158">
        <f>+IFERROR(VLOOKUP(L158,Sheet3!A:C,3,0)," ")</f>
        <v>0</v>
      </c>
      <c r="Q158">
        <f>+'S3'!N158</f>
        <v>0</v>
      </c>
      <c r="R158" s="25">
        <f>+'S3'!T158</f>
        <v>0</v>
      </c>
      <c r="U158">
        <f t="shared" si="6"/>
        <v>0</v>
      </c>
      <c r="V158" s="12" t="str">
        <f>+'S3'!X158</f>
        <v/>
      </c>
      <c r="W158" s="34" t="str">
        <f>+'S3'!Y158</f>
        <v/>
      </c>
      <c r="Y158" s="12" t="str">
        <f t="shared" si="8"/>
        <v/>
      </c>
      <c r="Z158" s="27" t="str">
        <f t="shared" si="7"/>
        <v/>
      </c>
      <c r="AA158" s="22">
        <v>0</v>
      </c>
      <c r="AB158" s="26" t="str">
        <f>+'S3'!Z158</f>
        <v/>
      </c>
    </row>
    <row r="159" spans="3:28" x14ac:dyDescent="0.3">
      <c r="C159" t="str">
        <f>+'S3'!AB159</f>
        <v/>
      </c>
      <c r="D159" t="str">
        <f>+IFERROR(VLOOKUP(F159,Sheet2!F:G,2,0),"")</f>
        <v/>
      </c>
      <c r="E159" t="str">
        <f>+IFERROR(VLOOKUP(C159,'S3'!E:F,2,0),"")</f>
        <v/>
      </c>
      <c r="F159" s="30" t="str">
        <f>+IFERROR(VLOOKUP(C159,Sheet2!C:F,4,0),"")</f>
        <v/>
      </c>
      <c r="G159" t="str">
        <f>+IFERROR(VLOOKUP(F159,Sheet2!F:H,3,0),"")</f>
        <v/>
      </c>
      <c r="K159" s="28" t="str">
        <f>+'S3'!AC159</f>
        <v/>
      </c>
      <c r="L159" t="str">
        <f>IF('S3'!J159&lt;&gt;"",'S3'!J159,"")</f>
        <v/>
      </c>
      <c r="M159" t="str">
        <f>IF('S3'!K159&lt;&gt;"",'S3'!K159,"")</f>
        <v/>
      </c>
      <c r="N159">
        <f>+IFERROR(VLOOKUP(L159,Sheet3!A:C,3,0)," ")</f>
        <v>0</v>
      </c>
      <c r="Q159">
        <f>+'S3'!N159</f>
        <v>0</v>
      </c>
      <c r="R159" s="25">
        <f>+'S3'!T159</f>
        <v>0</v>
      </c>
      <c r="U159">
        <f t="shared" si="6"/>
        <v>0</v>
      </c>
      <c r="V159" s="12" t="str">
        <f>+'S3'!X159</f>
        <v/>
      </c>
      <c r="W159" s="34" t="str">
        <f>+'S3'!Y159</f>
        <v/>
      </c>
      <c r="Y159" s="12" t="str">
        <f t="shared" si="8"/>
        <v/>
      </c>
      <c r="Z159" s="27" t="str">
        <f t="shared" si="7"/>
        <v/>
      </c>
      <c r="AA159" s="22">
        <v>0</v>
      </c>
      <c r="AB159" s="26" t="str">
        <f>+'S3'!Z159</f>
        <v/>
      </c>
    </row>
    <row r="160" spans="3:28" x14ac:dyDescent="0.3">
      <c r="C160" t="str">
        <f>+'S3'!AB160</f>
        <v/>
      </c>
      <c r="D160" t="str">
        <f>+IFERROR(VLOOKUP(F160,Sheet2!F:G,2,0),"")</f>
        <v/>
      </c>
      <c r="E160" t="str">
        <f>+IFERROR(VLOOKUP(C160,'S3'!E:F,2,0),"")</f>
        <v/>
      </c>
      <c r="F160" s="30" t="str">
        <f>+IFERROR(VLOOKUP(C160,Sheet2!C:F,4,0),"")</f>
        <v/>
      </c>
      <c r="G160" t="str">
        <f>+IFERROR(VLOOKUP(F160,Sheet2!F:H,3,0),"")</f>
        <v/>
      </c>
      <c r="K160" s="28" t="str">
        <f>+'S3'!AC160</f>
        <v/>
      </c>
      <c r="L160" t="str">
        <f>IF('S3'!J160&lt;&gt;"",'S3'!J160,"")</f>
        <v/>
      </c>
      <c r="M160" t="str">
        <f>IF('S3'!K160&lt;&gt;"",'S3'!K160,"")</f>
        <v/>
      </c>
      <c r="N160">
        <f>+IFERROR(VLOOKUP(L160,Sheet3!A:C,3,0)," ")</f>
        <v>0</v>
      </c>
      <c r="Q160">
        <f>+'S3'!N160</f>
        <v>0</v>
      </c>
      <c r="R160" s="25">
        <f>+'S3'!T160</f>
        <v>0</v>
      </c>
      <c r="U160">
        <f t="shared" si="6"/>
        <v>0</v>
      </c>
      <c r="V160" s="12" t="str">
        <f>+'S3'!X160</f>
        <v/>
      </c>
      <c r="W160" s="34" t="str">
        <f>+'S3'!Y160</f>
        <v/>
      </c>
      <c r="Y160" s="12" t="str">
        <f t="shared" si="8"/>
        <v/>
      </c>
      <c r="Z160" s="27" t="str">
        <f t="shared" si="7"/>
        <v/>
      </c>
      <c r="AA160" s="22">
        <v>0</v>
      </c>
      <c r="AB160" s="26" t="str">
        <f>+'S3'!Z160</f>
        <v/>
      </c>
    </row>
    <row r="161" spans="3:28" x14ac:dyDescent="0.3">
      <c r="C161" t="str">
        <f>+'S3'!AB161</f>
        <v/>
      </c>
      <c r="D161" t="str">
        <f>+IFERROR(VLOOKUP(F161,Sheet2!F:G,2,0),"")</f>
        <v/>
      </c>
      <c r="E161" t="str">
        <f>+IFERROR(VLOOKUP(C161,'S3'!E:F,2,0),"")</f>
        <v/>
      </c>
      <c r="F161" s="30" t="str">
        <f>+IFERROR(VLOOKUP(C161,Sheet2!C:F,4,0),"")</f>
        <v/>
      </c>
      <c r="G161" t="str">
        <f>+IFERROR(VLOOKUP(F161,Sheet2!F:H,3,0),"")</f>
        <v/>
      </c>
      <c r="K161" s="28" t="str">
        <f>+'S3'!AC161</f>
        <v/>
      </c>
      <c r="L161" t="str">
        <f>IF('S3'!J161&lt;&gt;"",'S3'!J161,"")</f>
        <v/>
      </c>
      <c r="M161" t="str">
        <f>IF('S3'!K161&lt;&gt;"",'S3'!K161,"")</f>
        <v/>
      </c>
      <c r="N161">
        <f>+IFERROR(VLOOKUP(L161,Sheet3!A:C,3,0)," ")</f>
        <v>0</v>
      </c>
      <c r="Q161">
        <f>+'S3'!N161</f>
        <v>0</v>
      </c>
      <c r="R161" s="25">
        <f>+'S3'!T161</f>
        <v>0</v>
      </c>
      <c r="U161">
        <f t="shared" si="6"/>
        <v>0</v>
      </c>
      <c r="V161" s="12" t="str">
        <f>+'S3'!X161</f>
        <v/>
      </c>
      <c r="W161" s="34" t="str">
        <f>+'S3'!Y161</f>
        <v/>
      </c>
      <c r="Y161" s="12" t="str">
        <f t="shared" si="8"/>
        <v/>
      </c>
      <c r="Z161" s="27" t="str">
        <f t="shared" si="7"/>
        <v/>
      </c>
      <c r="AA161" s="22">
        <v>0</v>
      </c>
      <c r="AB161" s="26" t="str">
        <f>+'S3'!Z161</f>
        <v/>
      </c>
    </row>
    <row r="162" spans="3:28" x14ac:dyDescent="0.3">
      <c r="C162" t="str">
        <f>+'S3'!AB162</f>
        <v/>
      </c>
      <c r="D162" t="str">
        <f>+IFERROR(VLOOKUP(F162,Sheet2!F:G,2,0),"")</f>
        <v/>
      </c>
      <c r="E162" t="str">
        <f>+IFERROR(VLOOKUP(C162,'S3'!E:F,2,0),"")</f>
        <v/>
      </c>
      <c r="F162" s="30" t="str">
        <f>+IFERROR(VLOOKUP(C162,Sheet2!C:F,4,0),"")</f>
        <v/>
      </c>
      <c r="G162" t="str">
        <f>+IFERROR(VLOOKUP(F162,Sheet2!F:H,3,0),"")</f>
        <v/>
      </c>
      <c r="K162" s="28" t="str">
        <f>+'S3'!AC162</f>
        <v/>
      </c>
      <c r="L162" t="str">
        <f>IF('S3'!J162&lt;&gt;"",'S3'!J162,"")</f>
        <v/>
      </c>
      <c r="M162" t="str">
        <f>IF('S3'!K162&lt;&gt;"",'S3'!K162,"")</f>
        <v/>
      </c>
      <c r="N162">
        <f>+IFERROR(VLOOKUP(L162,Sheet3!A:C,3,0)," ")</f>
        <v>0</v>
      </c>
      <c r="Q162">
        <f>+'S3'!N162</f>
        <v>0</v>
      </c>
      <c r="R162" s="25">
        <f>+'S3'!T162</f>
        <v>0</v>
      </c>
      <c r="U162">
        <f t="shared" si="6"/>
        <v>0</v>
      </c>
      <c r="V162" s="12" t="str">
        <f>+'S3'!X162</f>
        <v/>
      </c>
      <c r="W162" s="34" t="str">
        <f>+'S3'!Y162</f>
        <v/>
      </c>
      <c r="Y162" s="12" t="str">
        <f t="shared" si="8"/>
        <v/>
      </c>
      <c r="Z162" s="27" t="str">
        <f t="shared" si="7"/>
        <v/>
      </c>
      <c r="AA162" s="22">
        <v>0</v>
      </c>
      <c r="AB162" s="26" t="str">
        <f>+'S3'!Z162</f>
        <v/>
      </c>
    </row>
    <row r="163" spans="3:28" x14ac:dyDescent="0.3">
      <c r="C163" t="str">
        <f>+'S3'!AB163</f>
        <v/>
      </c>
      <c r="D163" t="str">
        <f>+IFERROR(VLOOKUP(F163,Sheet2!F:G,2,0),"")</f>
        <v/>
      </c>
      <c r="E163" t="str">
        <f>+IFERROR(VLOOKUP(C163,'S3'!E:F,2,0),"")</f>
        <v/>
      </c>
      <c r="F163" s="30" t="str">
        <f>+IFERROR(VLOOKUP(C163,Sheet2!C:F,4,0),"")</f>
        <v/>
      </c>
      <c r="G163" t="str">
        <f>+IFERROR(VLOOKUP(F163,Sheet2!F:H,3,0),"")</f>
        <v/>
      </c>
      <c r="K163" s="28" t="str">
        <f>+'S3'!AC163</f>
        <v/>
      </c>
      <c r="L163" t="str">
        <f>IF('S3'!J163&lt;&gt;"",'S3'!J163,"")</f>
        <v/>
      </c>
      <c r="M163" t="str">
        <f>IF('S3'!K163&lt;&gt;"",'S3'!K163,"")</f>
        <v/>
      </c>
      <c r="N163">
        <f>+IFERROR(VLOOKUP(L163,Sheet3!A:C,3,0)," ")</f>
        <v>0</v>
      </c>
      <c r="Q163">
        <f>+'S3'!N163</f>
        <v>0</v>
      </c>
      <c r="R163" s="25">
        <f>+'S3'!T163</f>
        <v>0</v>
      </c>
      <c r="U163">
        <f t="shared" si="6"/>
        <v>0</v>
      </c>
      <c r="V163" s="12" t="str">
        <f>+'S3'!X163</f>
        <v/>
      </c>
      <c r="W163" s="34" t="str">
        <f>+'S3'!Y163</f>
        <v/>
      </c>
      <c r="Y163" s="12" t="str">
        <f t="shared" si="8"/>
        <v/>
      </c>
      <c r="Z163" s="27" t="str">
        <f t="shared" si="7"/>
        <v/>
      </c>
      <c r="AA163" s="22">
        <v>0</v>
      </c>
      <c r="AB163" s="26" t="str">
        <f>+'S3'!Z163</f>
        <v/>
      </c>
    </row>
    <row r="164" spans="3:28" x14ac:dyDescent="0.3">
      <c r="C164" t="str">
        <f>+'S3'!AB164</f>
        <v/>
      </c>
      <c r="D164" t="str">
        <f>+IFERROR(VLOOKUP(F164,Sheet2!F:G,2,0),"")</f>
        <v/>
      </c>
      <c r="E164" t="str">
        <f>+IFERROR(VLOOKUP(C164,'S3'!E:F,2,0),"")</f>
        <v/>
      </c>
      <c r="F164" s="30" t="str">
        <f>+IFERROR(VLOOKUP(C164,Sheet2!C:F,4,0),"")</f>
        <v/>
      </c>
      <c r="G164" t="str">
        <f>+IFERROR(VLOOKUP(F164,Sheet2!F:H,3,0),"")</f>
        <v/>
      </c>
      <c r="K164" s="28" t="str">
        <f>+'S3'!AC164</f>
        <v/>
      </c>
      <c r="L164" t="str">
        <f>IF('S3'!J164&lt;&gt;"",'S3'!J164,"")</f>
        <v/>
      </c>
      <c r="M164" t="str">
        <f>IF('S3'!K164&lt;&gt;"",'S3'!K164,"")</f>
        <v/>
      </c>
      <c r="N164">
        <f>+IFERROR(VLOOKUP(L164,Sheet3!A:C,3,0)," ")</f>
        <v>0</v>
      </c>
      <c r="Q164">
        <f>+'S3'!N164</f>
        <v>0</v>
      </c>
      <c r="R164" s="25">
        <f>+'S3'!T164</f>
        <v>0</v>
      </c>
      <c r="U164">
        <f t="shared" si="6"/>
        <v>0</v>
      </c>
      <c r="V164" s="12" t="str">
        <f>+'S3'!X164</f>
        <v/>
      </c>
      <c r="W164" s="34" t="str">
        <f>+'S3'!Y164</f>
        <v/>
      </c>
      <c r="Y164" s="12" t="str">
        <f t="shared" si="8"/>
        <v/>
      </c>
      <c r="Z164" s="27" t="str">
        <f t="shared" si="7"/>
        <v/>
      </c>
      <c r="AA164" s="22">
        <v>0</v>
      </c>
      <c r="AB164" s="26" t="str">
        <f>+'S3'!Z164</f>
        <v/>
      </c>
    </row>
    <row r="165" spans="3:28" x14ac:dyDescent="0.3">
      <c r="C165" t="str">
        <f>+'S3'!AB165</f>
        <v/>
      </c>
      <c r="D165" t="str">
        <f>+IFERROR(VLOOKUP(F165,Sheet2!F:G,2,0),"")</f>
        <v/>
      </c>
      <c r="E165" t="str">
        <f>+IFERROR(VLOOKUP(C165,'S3'!E:F,2,0),"")</f>
        <v/>
      </c>
      <c r="F165" s="30" t="str">
        <f>+IFERROR(VLOOKUP(C165,Sheet2!C:F,4,0),"")</f>
        <v/>
      </c>
      <c r="G165" t="str">
        <f>+IFERROR(VLOOKUP(F165,Sheet2!F:H,3,0),"")</f>
        <v/>
      </c>
      <c r="K165" s="28" t="str">
        <f>+'S3'!AC165</f>
        <v/>
      </c>
      <c r="L165" t="str">
        <f>IF('S3'!J165&lt;&gt;"",'S3'!J165,"")</f>
        <v/>
      </c>
      <c r="M165" t="str">
        <f>IF('S3'!K165&lt;&gt;"",'S3'!K165,"")</f>
        <v/>
      </c>
      <c r="N165">
        <f>+IFERROR(VLOOKUP(L165,Sheet3!A:C,3,0)," ")</f>
        <v>0</v>
      </c>
      <c r="Q165">
        <f>+'S3'!N165</f>
        <v>0</v>
      </c>
      <c r="R165" s="25">
        <f>+'S3'!T165</f>
        <v>0</v>
      </c>
      <c r="U165">
        <f t="shared" si="6"/>
        <v>0</v>
      </c>
      <c r="V165" s="12" t="str">
        <f>+'S3'!X165</f>
        <v/>
      </c>
      <c r="W165" s="34" t="str">
        <f>+'S3'!Y165</f>
        <v/>
      </c>
      <c r="Y165" s="12" t="str">
        <f t="shared" si="8"/>
        <v/>
      </c>
      <c r="Z165" s="27" t="str">
        <f t="shared" si="7"/>
        <v/>
      </c>
      <c r="AA165" s="22">
        <v>0</v>
      </c>
      <c r="AB165" s="26" t="str">
        <f>+'S3'!Z165</f>
        <v/>
      </c>
    </row>
    <row r="166" spans="3:28" x14ac:dyDescent="0.3">
      <c r="C166" t="str">
        <f>+'S3'!AB166</f>
        <v/>
      </c>
      <c r="D166" t="str">
        <f>+IFERROR(VLOOKUP(F166,Sheet2!F:G,2,0),"")</f>
        <v/>
      </c>
      <c r="E166" t="str">
        <f>+IFERROR(VLOOKUP(C166,'S3'!E:F,2,0),"")</f>
        <v/>
      </c>
      <c r="F166" s="30" t="str">
        <f>+IFERROR(VLOOKUP(C166,Sheet2!C:F,4,0),"")</f>
        <v/>
      </c>
      <c r="G166" t="str">
        <f>+IFERROR(VLOOKUP(F166,Sheet2!F:H,3,0),"")</f>
        <v/>
      </c>
      <c r="K166" s="28" t="str">
        <f>+'S3'!AC166</f>
        <v/>
      </c>
      <c r="L166" t="str">
        <f>IF('S3'!J166&lt;&gt;"",'S3'!J166,"")</f>
        <v/>
      </c>
      <c r="M166" t="str">
        <f>IF('S3'!K166&lt;&gt;"",'S3'!K166,"")</f>
        <v/>
      </c>
      <c r="N166">
        <f>+IFERROR(VLOOKUP(L166,Sheet3!A:C,3,0)," ")</f>
        <v>0</v>
      </c>
      <c r="Q166">
        <f>+'S3'!N166</f>
        <v>0</v>
      </c>
      <c r="R166" s="25">
        <f>+'S3'!T166</f>
        <v>0</v>
      </c>
      <c r="U166">
        <f t="shared" si="6"/>
        <v>0</v>
      </c>
      <c r="V166" s="12" t="str">
        <f>+'S3'!X166</f>
        <v/>
      </c>
      <c r="W166" s="34" t="str">
        <f>+'S3'!Y166</f>
        <v/>
      </c>
      <c r="Y166" s="12" t="str">
        <f t="shared" si="8"/>
        <v/>
      </c>
      <c r="Z166" s="27" t="str">
        <f t="shared" si="7"/>
        <v/>
      </c>
      <c r="AA166" s="22">
        <v>0</v>
      </c>
      <c r="AB166" s="26" t="str">
        <f>+'S3'!Z166</f>
        <v/>
      </c>
    </row>
    <row r="167" spans="3:28" x14ac:dyDescent="0.3">
      <c r="C167" t="str">
        <f>+'S3'!AB167</f>
        <v/>
      </c>
      <c r="D167" t="str">
        <f>+IFERROR(VLOOKUP(F167,Sheet2!F:G,2,0),"")</f>
        <v/>
      </c>
      <c r="E167" t="str">
        <f>+IFERROR(VLOOKUP(C167,'S3'!E:F,2,0),"")</f>
        <v/>
      </c>
      <c r="F167" s="30" t="str">
        <f>+IFERROR(VLOOKUP(C167,Sheet2!C:F,4,0),"")</f>
        <v/>
      </c>
      <c r="G167" t="str">
        <f>+IFERROR(VLOOKUP(F167,Sheet2!F:H,3,0),"")</f>
        <v/>
      </c>
      <c r="K167" s="28" t="str">
        <f>+'S3'!AC167</f>
        <v/>
      </c>
      <c r="L167" t="str">
        <f>IF('S3'!J167&lt;&gt;"",'S3'!J167,"")</f>
        <v/>
      </c>
      <c r="M167" t="str">
        <f>IF('S3'!K167&lt;&gt;"",'S3'!K167,"")</f>
        <v/>
      </c>
      <c r="N167">
        <f>+IFERROR(VLOOKUP(L167,Sheet3!A:C,3,0)," ")</f>
        <v>0</v>
      </c>
      <c r="Q167">
        <f>+'S3'!N167</f>
        <v>0</v>
      </c>
      <c r="R167" s="25">
        <f>+'S3'!T167</f>
        <v>0</v>
      </c>
      <c r="U167">
        <f t="shared" si="6"/>
        <v>0</v>
      </c>
      <c r="V167" s="12" t="str">
        <f>+'S3'!X167</f>
        <v/>
      </c>
      <c r="W167" s="34" t="str">
        <f>+'S3'!Y167</f>
        <v/>
      </c>
      <c r="Y167" s="12" t="str">
        <f t="shared" si="8"/>
        <v/>
      </c>
      <c r="Z167" s="27" t="str">
        <f t="shared" si="7"/>
        <v/>
      </c>
      <c r="AA167" s="22">
        <v>0</v>
      </c>
      <c r="AB167" s="26" t="str">
        <f>+'S3'!Z167</f>
        <v/>
      </c>
    </row>
    <row r="168" spans="3:28" x14ac:dyDescent="0.3">
      <c r="C168" t="str">
        <f>+'S3'!AB168</f>
        <v/>
      </c>
      <c r="D168" t="str">
        <f>+IFERROR(VLOOKUP(F168,Sheet2!F:G,2,0),"")</f>
        <v/>
      </c>
      <c r="E168" t="str">
        <f>+IFERROR(VLOOKUP(C168,'S3'!E:F,2,0),"")</f>
        <v/>
      </c>
      <c r="F168" s="30" t="str">
        <f>+IFERROR(VLOOKUP(C168,Sheet2!C:F,4,0),"")</f>
        <v/>
      </c>
      <c r="G168" t="str">
        <f>+IFERROR(VLOOKUP(F168,Sheet2!F:H,3,0),"")</f>
        <v/>
      </c>
      <c r="K168" s="28" t="str">
        <f>+'S3'!AC168</f>
        <v/>
      </c>
      <c r="L168" t="str">
        <f>IF('S3'!J168&lt;&gt;"",'S3'!J168,"")</f>
        <v/>
      </c>
      <c r="M168" t="str">
        <f>IF('S3'!K168&lt;&gt;"",'S3'!K168,"")</f>
        <v/>
      </c>
      <c r="N168">
        <f>+IFERROR(VLOOKUP(L168,Sheet3!A:C,3,0)," ")</f>
        <v>0</v>
      </c>
      <c r="Q168">
        <f>+'S3'!N168</f>
        <v>0</v>
      </c>
      <c r="R168" s="25">
        <f>+'S3'!T168</f>
        <v>0</v>
      </c>
      <c r="U168">
        <f t="shared" si="6"/>
        <v>0</v>
      </c>
      <c r="V168" s="12" t="str">
        <f>+'S3'!X168</f>
        <v/>
      </c>
      <c r="W168" s="34" t="str">
        <f>+'S3'!Y168</f>
        <v/>
      </c>
      <c r="Y168" s="12" t="str">
        <f t="shared" si="8"/>
        <v/>
      </c>
      <c r="Z168" s="27" t="str">
        <f t="shared" si="7"/>
        <v/>
      </c>
      <c r="AA168" s="22">
        <v>0</v>
      </c>
      <c r="AB168" s="26" t="str">
        <f>+'S3'!Z168</f>
        <v/>
      </c>
    </row>
    <row r="169" spans="3:28" x14ac:dyDescent="0.3">
      <c r="C169" t="str">
        <f>+'S3'!AB169</f>
        <v/>
      </c>
      <c r="D169" t="str">
        <f>+IFERROR(VLOOKUP(F169,Sheet2!F:G,2,0),"")</f>
        <v/>
      </c>
      <c r="E169" t="str">
        <f>+IFERROR(VLOOKUP(C169,'S3'!E:F,2,0),"")</f>
        <v/>
      </c>
      <c r="F169" s="30" t="str">
        <f>+IFERROR(VLOOKUP(C169,Sheet2!C:F,4,0),"")</f>
        <v/>
      </c>
      <c r="G169" t="str">
        <f>+IFERROR(VLOOKUP(F169,Sheet2!F:H,3,0),"")</f>
        <v/>
      </c>
      <c r="K169" s="28" t="str">
        <f>+'S3'!AC169</f>
        <v/>
      </c>
      <c r="L169" t="str">
        <f>IF('S3'!J169&lt;&gt;"",'S3'!J169,"")</f>
        <v/>
      </c>
      <c r="M169" t="str">
        <f>IF('S3'!K169&lt;&gt;"",'S3'!K169,"")</f>
        <v/>
      </c>
      <c r="N169">
        <f>+IFERROR(VLOOKUP(L169,Sheet3!A:C,3,0)," ")</f>
        <v>0</v>
      </c>
      <c r="Q169">
        <f>+'S3'!N169</f>
        <v>0</v>
      </c>
      <c r="R169" s="25">
        <f>+'S3'!T169</f>
        <v>0</v>
      </c>
      <c r="U169">
        <f t="shared" si="6"/>
        <v>0</v>
      </c>
      <c r="V169" s="12" t="str">
        <f>+'S3'!X169</f>
        <v/>
      </c>
      <c r="W169" s="34" t="str">
        <f>+'S3'!Y169</f>
        <v/>
      </c>
      <c r="Y169" s="12" t="str">
        <f t="shared" si="8"/>
        <v/>
      </c>
      <c r="Z169" s="27" t="str">
        <f t="shared" si="7"/>
        <v/>
      </c>
      <c r="AA169" s="22">
        <v>0</v>
      </c>
      <c r="AB169" s="26" t="str">
        <f>+'S3'!Z169</f>
        <v/>
      </c>
    </row>
    <row r="170" spans="3:28" x14ac:dyDescent="0.3">
      <c r="C170" t="str">
        <f>+'S3'!AB170</f>
        <v/>
      </c>
      <c r="D170" t="str">
        <f>+IFERROR(VLOOKUP(F170,Sheet2!F:G,2,0),"")</f>
        <v/>
      </c>
      <c r="E170" t="str">
        <f>+IFERROR(VLOOKUP(C170,'S3'!E:F,2,0),"")</f>
        <v/>
      </c>
      <c r="F170" s="30" t="str">
        <f>+IFERROR(VLOOKUP(C170,Sheet2!C:F,4,0),"")</f>
        <v/>
      </c>
      <c r="G170" t="str">
        <f>+IFERROR(VLOOKUP(F170,Sheet2!F:H,3,0),"")</f>
        <v/>
      </c>
      <c r="K170" s="28" t="str">
        <f>+'S3'!AC170</f>
        <v/>
      </c>
      <c r="L170" t="str">
        <f>IF('S3'!J170&lt;&gt;"",'S3'!J170,"")</f>
        <v/>
      </c>
      <c r="M170" t="str">
        <f>IF('S3'!K170&lt;&gt;"",'S3'!K170,"")</f>
        <v/>
      </c>
      <c r="N170">
        <f>+IFERROR(VLOOKUP(L170,Sheet3!A:C,3,0)," ")</f>
        <v>0</v>
      </c>
      <c r="Q170">
        <f>+'S3'!N170</f>
        <v>0</v>
      </c>
      <c r="R170" s="25">
        <f>+'S3'!T170</f>
        <v>0</v>
      </c>
      <c r="U170">
        <f t="shared" si="6"/>
        <v>0</v>
      </c>
      <c r="V170" s="12" t="str">
        <f>+'S3'!X170</f>
        <v/>
      </c>
      <c r="W170" s="34" t="str">
        <f>+'S3'!Y170</f>
        <v/>
      </c>
      <c r="Y170" s="12" t="str">
        <f t="shared" si="8"/>
        <v/>
      </c>
      <c r="Z170" s="27" t="str">
        <f t="shared" si="7"/>
        <v/>
      </c>
      <c r="AA170" s="22">
        <v>0</v>
      </c>
      <c r="AB170" s="26" t="str">
        <f>+'S3'!Z170</f>
        <v/>
      </c>
    </row>
    <row r="171" spans="3:28" x14ac:dyDescent="0.3">
      <c r="C171" t="str">
        <f>+'S3'!AB171</f>
        <v/>
      </c>
      <c r="D171" t="str">
        <f>+IFERROR(VLOOKUP(F171,Sheet2!F:G,2,0),"")</f>
        <v/>
      </c>
      <c r="E171" t="str">
        <f>+IFERROR(VLOOKUP(C171,'S3'!E:F,2,0),"")</f>
        <v/>
      </c>
      <c r="F171" s="30" t="str">
        <f>+IFERROR(VLOOKUP(C171,Sheet2!C:F,4,0),"")</f>
        <v/>
      </c>
      <c r="G171" t="str">
        <f>+IFERROR(VLOOKUP(F171,Sheet2!F:H,3,0),"")</f>
        <v/>
      </c>
      <c r="K171" s="28" t="str">
        <f>+'S3'!AC171</f>
        <v/>
      </c>
      <c r="L171" t="str">
        <f>IF('S3'!J171&lt;&gt;"",'S3'!J171,"")</f>
        <v/>
      </c>
      <c r="M171" t="str">
        <f>IF('S3'!K171&lt;&gt;"",'S3'!K171,"")</f>
        <v/>
      </c>
      <c r="N171">
        <f>+IFERROR(VLOOKUP(L171,Sheet3!A:C,3,0)," ")</f>
        <v>0</v>
      </c>
      <c r="Q171">
        <f>+'S3'!N171</f>
        <v>0</v>
      </c>
      <c r="R171" s="25">
        <f>+'S3'!T171</f>
        <v>0</v>
      </c>
      <c r="U171">
        <f t="shared" si="6"/>
        <v>0</v>
      </c>
      <c r="V171" s="12" t="str">
        <f>+'S3'!X171</f>
        <v/>
      </c>
      <c r="W171" s="34" t="str">
        <f>+'S3'!Y171</f>
        <v/>
      </c>
      <c r="Y171" s="12" t="str">
        <f t="shared" si="8"/>
        <v/>
      </c>
      <c r="Z171" s="27" t="str">
        <f t="shared" si="7"/>
        <v/>
      </c>
      <c r="AA171" s="22">
        <v>0</v>
      </c>
      <c r="AB171" s="26" t="str">
        <f>+'S3'!Z171</f>
        <v/>
      </c>
    </row>
    <row r="172" spans="3:28" x14ac:dyDescent="0.3">
      <c r="C172" t="str">
        <f>+'S3'!AB172</f>
        <v/>
      </c>
      <c r="D172" t="str">
        <f>+IFERROR(VLOOKUP(F172,Sheet2!F:G,2,0),"")</f>
        <v/>
      </c>
      <c r="E172" t="str">
        <f>+IFERROR(VLOOKUP(C172,'S3'!E:F,2,0),"")</f>
        <v/>
      </c>
      <c r="F172" s="30" t="str">
        <f>+IFERROR(VLOOKUP(C172,Sheet2!C:F,4,0),"")</f>
        <v/>
      </c>
      <c r="G172" t="str">
        <f>+IFERROR(VLOOKUP(F172,Sheet2!F:H,3,0),"")</f>
        <v/>
      </c>
      <c r="K172" s="28" t="str">
        <f>+'S3'!AC172</f>
        <v/>
      </c>
      <c r="L172" t="str">
        <f>IF('S3'!J172&lt;&gt;"",'S3'!J172,"")</f>
        <v/>
      </c>
      <c r="M172" t="str">
        <f>IF('S3'!K172&lt;&gt;"",'S3'!K172,"")</f>
        <v/>
      </c>
      <c r="N172">
        <f>+IFERROR(VLOOKUP(L172,Sheet3!A:C,3,0)," ")</f>
        <v>0</v>
      </c>
      <c r="Q172">
        <f>+'S3'!N172</f>
        <v>0</v>
      </c>
      <c r="R172" s="25">
        <f>+'S3'!T172</f>
        <v>0</v>
      </c>
      <c r="U172">
        <f t="shared" si="6"/>
        <v>0</v>
      </c>
      <c r="V172" s="12" t="str">
        <f>+'S3'!X172</f>
        <v/>
      </c>
      <c r="W172" s="34" t="str">
        <f>+'S3'!Y172</f>
        <v/>
      </c>
      <c r="Y172" s="12" t="str">
        <f t="shared" si="8"/>
        <v/>
      </c>
      <c r="Z172" s="27" t="str">
        <f t="shared" si="7"/>
        <v/>
      </c>
      <c r="AA172" s="22">
        <v>0</v>
      </c>
      <c r="AB172" s="26" t="str">
        <f>+'S3'!Z172</f>
        <v/>
      </c>
    </row>
    <row r="173" spans="3:28" x14ac:dyDescent="0.3">
      <c r="C173" t="str">
        <f>+'S3'!AB173</f>
        <v/>
      </c>
      <c r="D173" t="str">
        <f>+IFERROR(VLOOKUP(F173,Sheet2!F:G,2,0),"")</f>
        <v/>
      </c>
      <c r="E173" t="str">
        <f>+IFERROR(VLOOKUP(C173,'S3'!E:F,2,0),"")</f>
        <v/>
      </c>
      <c r="F173" s="30" t="str">
        <f>+IFERROR(VLOOKUP(C173,Sheet2!C:F,4,0),"")</f>
        <v/>
      </c>
      <c r="G173" t="str">
        <f>+IFERROR(VLOOKUP(F173,Sheet2!F:H,3,0),"")</f>
        <v/>
      </c>
      <c r="K173" s="28" t="str">
        <f>+'S3'!AC173</f>
        <v/>
      </c>
      <c r="L173" t="str">
        <f>IF('S3'!J173&lt;&gt;"",'S3'!J173,"")</f>
        <v/>
      </c>
      <c r="M173" t="str">
        <f>IF('S3'!K173&lt;&gt;"",'S3'!K173,"")</f>
        <v/>
      </c>
      <c r="N173">
        <f>+IFERROR(VLOOKUP(L173,Sheet3!A:C,3,0)," ")</f>
        <v>0</v>
      </c>
      <c r="Q173">
        <f>+'S3'!N173</f>
        <v>0</v>
      </c>
      <c r="R173" s="25">
        <f>+'S3'!T173</f>
        <v>0</v>
      </c>
      <c r="U173">
        <f t="shared" si="6"/>
        <v>0</v>
      </c>
      <c r="V173" s="12" t="str">
        <f>+'S3'!X173</f>
        <v/>
      </c>
      <c r="W173" s="34" t="str">
        <f>+'S3'!Y173</f>
        <v/>
      </c>
      <c r="Y173" s="12" t="str">
        <f t="shared" si="8"/>
        <v/>
      </c>
      <c r="Z173" s="27" t="str">
        <f t="shared" si="7"/>
        <v/>
      </c>
      <c r="AA173" s="22">
        <v>0</v>
      </c>
      <c r="AB173" s="26" t="str">
        <f>+'S3'!Z173</f>
        <v/>
      </c>
    </row>
    <row r="174" spans="3:28" x14ac:dyDescent="0.3">
      <c r="C174" t="str">
        <f>+'S3'!AB174</f>
        <v/>
      </c>
      <c r="D174" t="str">
        <f>+IFERROR(VLOOKUP(F174,Sheet2!F:G,2,0),"")</f>
        <v/>
      </c>
      <c r="E174" t="str">
        <f>+IFERROR(VLOOKUP(C174,'S3'!E:F,2,0),"")</f>
        <v/>
      </c>
      <c r="F174" s="30" t="str">
        <f>+IFERROR(VLOOKUP(C174,Sheet2!C:F,4,0),"")</f>
        <v/>
      </c>
      <c r="G174" t="str">
        <f>+IFERROR(VLOOKUP(F174,Sheet2!F:H,3,0),"")</f>
        <v/>
      </c>
      <c r="K174" s="28" t="str">
        <f>+'S3'!AC174</f>
        <v/>
      </c>
      <c r="L174" t="str">
        <f>IF('S3'!J174&lt;&gt;"",'S3'!J174,"")</f>
        <v/>
      </c>
      <c r="M174" t="str">
        <f>IF('S3'!K174&lt;&gt;"",'S3'!K174,"")</f>
        <v/>
      </c>
      <c r="N174">
        <f>+IFERROR(VLOOKUP(L174,Sheet3!A:C,3,0)," ")</f>
        <v>0</v>
      </c>
      <c r="Q174">
        <f>+'S3'!N174</f>
        <v>0</v>
      </c>
      <c r="R174" s="25">
        <f>+'S3'!T174</f>
        <v>0</v>
      </c>
      <c r="U174">
        <f t="shared" si="6"/>
        <v>0</v>
      </c>
      <c r="V174" s="12" t="str">
        <f>+'S3'!X174</f>
        <v/>
      </c>
      <c r="W174" s="34" t="str">
        <f>+'S3'!Y174</f>
        <v/>
      </c>
      <c r="Y174" s="12" t="str">
        <f t="shared" si="8"/>
        <v/>
      </c>
      <c r="Z174" s="27" t="str">
        <f t="shared" si="7"/>
        <v/>
      </c>
      <c r="AA174" s="22">
        <v>0</v>
      </c>
      <c r="AB174" s="26" t="str">
        <f>+'S3'!Z174</f>
        <v/>
      </c>
    </row>
    <row r="175" spans="3:28" x14ac:dyDescent="0.3">
      <c r="C175" t="str">
        <f>+'S3'!AB175</f>
        <v/>
      </c>
      <c r="D175" t="str">
        <f>+IFERROR(VLOOKUP(F175,Sheet2!F:G,2,0),"")</f>
        <v/>
      </c>
      <c r="E175" t="str">
        <f>+IFERROR(VLOOKUP(C175,'S3'!E:F,2,0),"")</f>
        <v/>
      </c>
      <c r="F175" s="30" t="str">
        <f>+IFERROR(VLOOKUP(C175,Sheet2!C:F,4,0),"")</f>
        <v/>
      </c>
      <c r="G175" t="str">
        <f>+IFERROR(VLOOKUP(F175,Sheet2!F:H,3,0),"")</f>
        <v/>
      </c>
      <c r="K175" s="28" t="str">
        <f>+'S3'!AC175</f>
        <v/>
      </c>
      <c r="L175" t="str">
        <f>IF('S3'!J175&lt;&gt;"",'S3'!J175,"")</f>
        <v/>
      </c>
      <c r="M175" t="str">
        <f>IF('S3'!K175&lt;&gt;"",'S3'!K175,"")</f>
        <v/>
      </c>
      <c r="N175">
        <f>+IFERROR(VLOOKUP(L175,Sheet3!A:C,3,0)," ")</f>
        <v>0</v>
      </c>
      <c r="Q175">
        <f>+'S3'!N175</f>
        <v>0</v>
      </c>
      <c r="R175" s="25">
        <f>+'S3'!T175</f>
        <v>0</v>
      </c>
      <c r="U175">
        <f t="shared" si="6"/>
        <v>0</v>
      </c>
      <c r="V175" s="12" t="str">
        <f>+'S3'!X175</f>
        <v/>
      </c>
      <c r="W175" s="34" t="str">
        <f>+'S3'!Y175</f>
        <v/>
      </c>
      <c r="Y175" s="12" t="str">
        <f t="shared" si="8"/>
        <v/>
      </c>
      <c r="Z175" s="27" t="str">
        <f t="shared" si="7"/>
        <v/>
      </c>
      <c r="AA175" s="22">
        <v>0</v>
      </c>
      <c r="AB175" s="26" t="str">
        <f>+'S3'!Z175</f>
        <v/>
      </c>
    </row>
    <row r="176" spans="3:28" x14ac:dyDescent="0.3">
      <c r="C176" t="str">
        <f>+'S3'!AB176</f>
        <v/>
      </c>
      <c r="D176" t="str">
        <f>+IFERROR(VLOOKUP(F176,Sheet2!F:G,2,0),"")</f>
        <v/>
      </c>
      <c r="E176" t="str">
        <f>+IFERROR(VLOOKUP(C176,'S3'!E:F,2,0),"")</f>
        <v/>
      </c>
      <c r="F176" s="30" t="str">
        <f>+IFERROR(VLOOKUP(C176,Sheet2!C:F,4,0),"")</f>
        <v/>
      </c>
      <c r="G176" t="str">
        <f>+IFERROR(VLOOKUP(F176,Sheet2!F:H,3,0),"")</f>
        <v/>
      </c>
      <c r="K176" s="28" t="str">
        <f>+'S3'!AC176</f>
        <v/>
      </c>
      <c r="L176" t="str">
        <f>IF('S3'!J176&lt;&gt;"",'S3'!J176,"")</f>
        <v/>
      </c>
      <c r="M176" t="str">
        <f>IF('S3'!K176&lt;&gt;"",'S3'!K176,"")</f>
        <v/>
      </c>
      <c r="N176">
        <f>+IFERROR(VLOOKUP(L176,Sheet3!A:C,3,0)," ")</f>
        <v>0</v>
      </c>
      <c r="Q176">
        <f>+'S3'!N176</f>
        <v>0</v>
      </c>
      <c r="R176" s="25">
        <f>+'S3'!T176</f>
        <v>0</v>
      </c>
      <c r="U176">
        <f t="shared" si="6"/>
        <v>0</v>
      </c>
      <c r="V176" s="12" t="str">
        <f>+'S3'!X176</f>
        <v/>
      </c>
      <c r="W176" s="34" t="str">
        <f>+'S3'!Y176</f>
        <v/>
      </c>
      <c r="Y176" s="12" t="str">
        <f t="shared" si="8"/>
        <v/>
      </c>
      <c r="Z176" s="27" t="str">
        <f t="shared" si="7"/>
        <v/>
      </c>
      <c r="AA176" s="22">
        <v>0</v>
      </c>
      <c r="AB176" s="26" t="str">
        <f>+'S3'!Z176</f>
        <v/>
      </c>
    </row>
    <row r="177" spans="3:28" x14ac:dyDescent="0.3">
      <c r="C177" t="str">
        <f>+'S3'!AB177</f>
        <v/>
      </c>
      <c r="D177" t="str">
        <f>+IFERROR(VLOOKUP(F177,Sheet2!F:G,2,0),"")</f>
        <v/>
      </c>
      <c r="E177" t="str">
        <f>+IFERROR(VLOOKUP(C177,'S3'!E:F,2,0),"")</f>
        <v/>
      </c>
      <c r="F177" s="30" t="str">
        <f>+IFERROR(VLOOKUP(C177,Sheet2!C:F,4,0),"")</f>
        <v/>
      </c>
      <c r="G177" t="str">
        <f>+IFERROR(VLOOKUP(F177,Sheet2!F:H,3,0),"")</f>
        <v/>
      </c>
      <c r="K177" s="28" t="str">
        <f>+'S3'!AC177</f>
        <v/>
      </c>
      <c r="L177" t="str">
        <f>IF('S3'!J177&lt;&gt;"",'S3'!J177,"")</f>
        <v/>
      </c>
      <c r="M177" t="str">
        <f>IF('S3'!K177&lt;&gt;"",'S3'!K177,"")</f>
        <v/>
      </c>
      <c r="N177">
        <f>+IFERROR(VLOOKUP(L177,Sheet3!A:C,3,0)," ")</f>
        <v>0</v>
      </c>
      <c r="Q177">
        <f>+'S3'!N177</f>
        <v>0</v>
      </c>
      <c r="R177" s="25">
        <f>+'S3'!T177</f>
        <v>0</v>
      </c>
      <c r="U177">
        <f t="shared" si="6"/>
        <v>0</v>
      </c>
      <c r="V177" s="12" t="str">
        <f>+'S3'!X177</f>
        <v/>
      </c>
      <c r="W177" s="34" t="str">
        <f>+'S3'!Y177</f>
        <v/>
      </c>
      <c r="Y177" s="12" t="str">
        <f t="shared" si="8"/>
        <v/>
      </c>
      <c r="Z177" s="27" t="str">
        <f t="shared" si="7"/>
        <v/>
      </c>
      <c r="AA177" s="22">
        <v>0</v>
      </c>
      <c r="AB177" s="26" t="str">
        <f>+'S3'!Z177</f>
        <v/>
      </c>
    </row>
    <row r="178" spans="3:28" x14ac:dyDescent="0.3">
      <c r="C178" t="str">
        <f>+'S3'!AB178</f>
        <v/>
      </c>
      <c r="D178" t="str">
        <f>+IFERROR(VLOOKUP(F178,Sheet2!F:G,2,0),"")</f>
        <v/>
      </c>
      <c r="E178" t="str">
        <f>+IFERROR(VLOOKUP(C178,'S3'!E:F,2,0),"")</f>
        <v/>
      </c>
      <c r="F178" s="30" t="str">
        <f>+IFERROR(VLOOKUP(C178,Sheet2!C:F,4,0),"")</f>
        <v/>
      </c>
      <c r="G178" t="str">
        <f>+IFERROR(VLOOKUP(F178,Sheet2!F:H,3,0),"")</f>
        <v/>
      </c>
      <c r="K178" s="28" t="str">
        <f>+'S3'!AC178</f>
        <v/>
      </c>
      <c r="L178" t="str">
        <f>IF('S3'!J178&lt;&gt;"",'S3'!J178,"")</f>
        <v/>
      </c>
      <c r="M178" t="str">
        <f>IF('S3'!K178&lt;&gt;"",'S3'!K178,"")</f>
        <v/>
      </c>
      <c r="N178">
        <f>+IFERROR(VLOOKUP(L178,Sheet3!A:C,3,0)," ")</f>
        <v>0</v>
      </c>
      <c r="Q178">
        <f>+'S3'!N178</f>
        <v>0</v>
      </c>
      <c r="R178" s="25">
        <f>+'S3'!T178</f>
        <v>0</v>
      </c>
      <c r="U178">
        <f t="shared" si="6"/>
        <v>0</v>
      </c>
      <c r="V178" s="12" t="str">
        <f>+'S3'!X178</f>
        <v/>
      </c>
      <c r="W178" s="34" t="str">
        <f>+'S3'!Y178</f>
        <v/>
      </c>
      <c r="Y178" s="12" t="str">
        <f t="shared" si="8"/>
        <v/>
      </c>
      <c r="Z178" s="27" t="str">
        <f t="shared" si="7"/>
        <v/>
      </c>
      <c r="AA178" s="22">
        <v>0</v>
      </c>
      <c r="AB178" s="26" t="str">
        <f>+'S3'!Z178</f>
        <v/>
      </c>
    </row>
    <row r="179" spans="3:28" x14ac:dyDescent="0.3">
      <c r="C179" t="str">
        <f>+'S3'!AB179</f>
        <v/>
      </c>
      <c r="D179" t="str">
        <f>+IFERROR(VLOOKUP(F179,Sheet2!F:G,2,0),"")</f>
        <v/>
      </c>
      <c r="E179" t="str">
        <f>+IFERROR(VLOOKUP(C179,'S3'!E:F,2,0),"")</f>
        <v/>
      </c>
      <c r="F179" s="30" t="str">
        <f>+IFERROR(VLOOKUP(C179,Sheet2!C:F,4,0),"")</f>
        <v/>
      </c>
      <c r="G179" t="str">
        <f>+IFERROR(VLOOKUP(F179,Sheet2!F:H,3,0),"")</f>
        <v/>
      </c>
      <c r="K179" s="28" t="str">
        <f>+'S3'!AC179</f>
        <v/>
      </c>
      <c r="L179" t="str">
        <f>IF('S3'!J179&lt;&gt;"",'S3'!J179,"")</f>
        <v/>
      </c>
      <c r="M179" t="str">
        <f>IF('S3'!K179&lt;&gt;"",'S3'!K179,"")</f>
        <v/>
      </c>
      <c r="N179">
        <f>+IFERROR(VLOOKUP(L179,Sheet3!A:C,3,0)," ")</f>
        <v>0</v>
      </c>
      <c r="Q179">
        <f>+'S3'!N179</f>
        <v>0</v>
      </c>
      <c r="R179" s="25">
        <f>+'S3'!T179</f>
        <v>0</v>
      </c>
      <c r="U179">
        <f t="shared" si="6"/>
        <v>0</v>
      </c>
      <c r="V179" s="12" t="str">
        <f>+'S3'!X179</f>
        <v/>
      </c>
      <c r="W179" s="34" t="str">
        <f>+'S3'!Y179</f>
        <v/>
      </c>
      <c r="Y179" s="12" t="str">
        <f t="shared" si="8"/>
        <v/>
      </c>
      <c r="Z179" s="27" t="str">
        <f t="shared" si="7"/>
        <v/>
      </c>
      <c r="AA179" s="22">
        <v>0</v>
      </c>
      <c r="AB179" s="26" t="str">
        <f>+'S3'!Z179</f>
        <v/>
      </c>
    </row>
    <row r="180" spans="3:28" x14ac:dyDescent="0.3">
      <c r="C180" t="str">
        <f>+'S3'!AB180</f>
        <v/>
      </c>
      <c r="D180" t="str">
        <f>+IFERROR(VLOOKUP(F180,Sheet2!F:G,2,0),"")</f>
        <v/>
      </c>
      <c r="E180" t="str">
        <f>+IFERROR(VLOOKUP(C180,'S3'!E:F,2,0),"")</f>
        <v/>
      </c>
      <c r="F180" s="30" t="str">
        <f>+IFERROR(VLOOKUP(C180,Sheet2!C:F,4,0),"")</f>
        <v/>
      </c>
      <c r="G180" t="str">
        <f>+IFERROR(VLOOKUP(F180,Sheet2!F:H,3,0),"")</f>
        <v/>
      </c>
      <c r="K180" s="28" t="str">
        <f>+'S3'!AC180</f>
        <v/>
      </c>
      <c r="L180" t="str">
        <f>IF('S3'!J180&lt;&gt;"",'S3'!J180,"")</f>
        <v/>
      </c>
      <c r="M180" t="str">
        <f>IF('S3'!K180&lt;&gt;"",'S3'!K180,"")</f>
        <v/>
      </c>
      <c r="N180">
        <f>+IFERROR(VLOOKUP(L180,Sheet3!A:C,3,0)," ")</f>
        <v>0</v>
      </c>
      <c r="Q180">
        <f>+'S3'!N180</f>
        <v>0</v>
      </c>
      <c r="R180" s="25">
        <f>+'S3'!T180</f>
        <v>0</v>
      </c>
      <c r="U180">
        <f t="shared" ref="U180:U243" si="9">+R180*Q180</f>
        <v>0</v>
      </c>
      <c r="V180" s="12" t="str">
        <f>+'S3'!X180</f>
        <v/>
      </c>
      <c r="W180" s="34" t="str">
        <f>+'S3'!Y180</f>
        <v/>
      </c>
      <c r="Y180" s="12" t="str">
        <f t="shared" si="8"/>
        <v/>
      </c>
      <c r="Z180" s="27" t="str">
        <f t="shared" ref="Z180:Z243" si="10">IFERROR(ROUND(V180+Y180,0),"")</f>
        <v/>
      </c>
      <c r="AA180" s="22">
        <v>0</v>
      </c>
      <c r="AB180" s="26" t="str">
        <f>+'S3'!Z180</f>
        <v/>
      </c>
    </row>
    <row r="181" spans="3:28" x14ac:dyDescent="0.3">
      <c r="C181" t="str">
        <f>+'S3'!AB181</f>
        <v/>
      </c>
      <c r="D181" t="str">
        <f>+IFERROR(VLOOKUP(F181,Sheet2!F:G,2,0),"")</f>
        <v/>
      </c>
      <c r="E181" t="str">
        <f>+IFERROR(VLOOKUP(C181,'S3'!E:F,2,0),"")</f>
        <v/>
      </c>
      <c r="F181" s="30" t="str">
        <f>+IFERROR(VLOOKUP(C181,Sheet2!C:F,4,0),"")</f>
        <v/>
      </c>
      <c r="G181" t="str">
        <f>+IFERROR(VLOOKUP(F181,Sheet2!F:H,3,0),"")</f>
        <v/>
      </c>
      <c r="K181" s="28" t="str">
        <f>+'S3'!AC181</f>
        <v/>
      </c>
      <c r="L181" t="str">
        <f>IF('S3'!J181&lt;&gt;"",'S3'!J181,"")</f>
        <v/>
      </c>
      <c r="M181" t="str">
        <f>IF('S3'!K181&lt;&gt;"",'S3'!K181,"")</f>
        <v/>
      </c>
      <c r="N181">
        <f>+IFERROR(VLOOKUP(L181,Sheet3!A:C,3,0)," ")</f>
        <v>0</v>
      </c>
      <c r="Q181">
        <f>+'S3'!N181</f>
        <v>0</v>
      </c>
      <c r="R181" s="25">
        <f>+'S3'!T181</f>
        <v>0</v>
      </c>
      <c r="U181">
        <f t="shared" si="9"/>
        <v>0</v>
      </c>
      <c r="V181" s="12" t="str">
        <f>+'S3'!X181</f>
        <v/>
      </c>
      <c r="W181" s="34" t="str">
        <f>+'S3'!Y181</f>
        <v/>
      </c>
      <c r="Y181" s="12" t="str">
        <f t="shared" si="8"/>
        <v/>
      </c>
      <c r="Z181" s="27" t="str">
        <f t="shared" si="10"/>
        <v/>
      </c>
      <c r="AA181" s="22">
        <v>0</v>
      </c>
      <c r="AB181" s="26" t="str">
        <f>+'S3'!Z181</f>
        <v/>
      </c>
    </row>
    <row r="182" spans="3:28" x14ac:dyDescent="0.3">
      <c r="C182" t="str">
        <f>+'S3'!AB182</f>
        <v/>
      </c>
      <c r="D182" t="str">
        <f>+IFERROR(VLOOKUP(F182,Sheet2!F:G,2,0),"")</f>
        <v/>
      </c>
      <c r="E182" t="str">
        <f>+IFERROR(VLOOKUP(C182,'S3'!E:F,2,0),"")</f>
        <v/>
      </c>
      <c r="F182" s="30" t="str">
        <f>+IFERROR(VLOOKUP(C182,Sheet2!C:F,4,0),"")</f>
        <v/>
      </c>
      <c r="G182" t="str">
        <f>+IFERROR(VLOOKUP(F182,Sheet2!F:H,3,0),"")</f>
        <v/>
      </c>
      <c r="K182" s="28" t="str">
        <f>+'S3'!AC182</f>
        <v/>
      </c>
      <c r="L182" t="str">
        <f>IF('S3'!J182&lt;&gt;"",'S3'!J182,"")</f>
        <v/>
      </c>
      <c r="M182" t="str">
        <f>IF('S3'!K182&lt;&gt;"",'S3'!K182,"")</f>
        <v/>
      </c>
      <c r="N182">
        <f>+IFERROR(VLOOKUP(L182,Sheet3!A:C,3,0)," ")</f>
        <v>0</v>
      </c>
      <c r="Q182">
        <f>+'S3'!N182</f>
        <v>0</v>
      </c>
      <c r="R182" s="25">
        <f>+'S3'!T182</f>
        <v>0</v>
      </c>
      <c r="U182">
        <f t="shared" si="9"/>
        <v>0</v>
      </c>
      <c r="V182" s="12" t="str">
        <f>+'S3'!X182</f>
        <v/>
      </c>
      <c r="W182" s="34" t="str">
        <f>+'S3'!Y182</f>
        <v/>
      </c>
      <c r="Y182" s="12" t="str">
        <f t="shared" si="8"/>
        <v/>
      </c>
      <c r="Z182" s="27" t="str">
        <f t="shared" si="10"/>
        <v/>
      </c>
      <c r="AA182" s="22">
        <v>0</v>
      </c>
      <c r="AB182" s="26" t="str">
        <f>+'S3'!Z182</f>
        <v/>
      </c>
    </row>
    <row r="183" spans="3:28" x14ac:dyDescent="0.3">
      <c r="C183" t="str">
        <f>+'S3'!AB183</f>
        <v/>
      </c>
      <c r="D183" t="str">
        <f>+IFERROR(VLOOKUP(F183,Sheet2!F:G,2,0),"")</f>
        <v/>
      </c>
      <c r="E183" t="str">
        <f>+IFERROR(VLOOKUP(C183,'S3'!E:F,2,0),"")</f>
        <v/>
      </c>
      <c r="F183" s="30" t="str">
        <f>+IFERROR(VLOOKUP(C183,Sheet2!C:F,4,0),"")</f>
        <v/>
      </c>
      <c r="G183" t="str">
        <f>+IFERROR(VLOOKUP(F183,Sheet2!F:H,3,0),"")</f>
        <v/>
      </c>
      <c r="K183" s="28" t="str">
        <f>+'S3'!AC183</f>
        <v/>
      </c>
      <c r="L183" t="str">
        <f>IF('S3'!J183&lt;&gt;"",'S3'!J183,"")</f>
        <v/>
      </c>
      <c r="M183" t="str">
        <f>IF('S3'!K183&lt;&gt;"",'S3'!K183,"")</f>
        <v/>
      </c>
      <c r="N183">
        <f>+IFERROR(VLOOKUP(L183,Sheet3!A:C,3,0)," ")</f>
        <v>0</v>
      </c>
      <c r="Q183">
        <f>+'S3'!N183</f>
        <v>0</v>
      </c>
      <c r="R183" s="25">
        <f>+'S3'!T183</f>
        <v>0</v>
      </c>
      <c r="U183">
        <f t="shared" si="9"/>
        <v>0</v>
      </c>
      <c r="V183" s="12" t="str">
        <f>+'S3'!X183</f>
        <v/>
      </c>
      <c r="W183" s="34" t="str">
        <f>+'S3'!Y183</f>
        <v/>
      </c>
      <c r="Y183" s="12" t="str">
        <f t="shared" si="8"/>
        <v/>
      </c>
      <c r="Z183" s="27" t="str">
        <f t="shared" si="10"/>
        <v/>
      </c>
      <c r="AA183" s="22">
        <v>0</v>
      </c>
      <c r="AB183" s="26" t="str">
        <f>+'S3'!Z183</f>
        <v/>
      </c>
    </row>
    <row r="184" spans="3:28" x14ac:dyDescent="0.3">
      <c r="C184" t="str">
        <f>+'S3'!AB184</f>
        <v/>
      </c>
      <c r="D184" t="str">
        <f>+IFERROR(VLOOKUP(F184,Sheet2!F:G,2,0),"")</f>
        <v/>
      </c>
      <c r="E184" t="str">
        <f>+IFERROR(VLOOKUP(C184,'S3'!E:F,2,0),"")</f>
        <v/>
      </c>
      <c r="F184" s="30" t="str">
        <f>+IFERROR(VLOOKUP(C184,Sheet2!C:F,4,0),"")</f>
        <v/>
      </c>
      <c r="G184" t="str">
        <f>+IFERROR(VLOOKUP(F184,Sheet2!F:H,3,0),"")</f>
        <v/>
      </c>
      <c r="K184" s="28" t="str">
        <f>+'S3'!AC184</f>
        <v/>
      </c>
      <c r="L184" t="str">
        <f>IF('S3'!J184&lt;&gt;"",'S3'!J184,"")</f>
        <v/>
      </c>
      <c r="M184" t="str">
        <f>IF('S3'!K184&lt;&gt;"",'S3'!K184,"")</f>
        <v/>
      </c>
      <c r="N184">
        <f>+IFERROR(VLOOKUP(L184,Sheet3!A:C,3,0)," ")</f>
        <v>0</v>
      </c>
      <c r="Q184">
        <f>+'S3'!N184</f>
        <v>0</v>
      </c>
      <c r="R184" s="25">
        <f>+'S3'!T184</f>
        <v>0</v>
      </c>
      <c r="U184">
        <f t="shared" si="9"/>
        <v>0</v>
      </c>
      <c r="V184" s="12" t="str">
        <f>+'S3'!X184</f>
        <v/>
      </c>
      <c r="W184" s="34" t="str">
        <f>+'S3'!Y184</f>
        <v/>
      </c>
      <c r="Y184" s="12" t="str">
        <f t="shared" si="8"/>
        <v/>
      </c>
      <c r="Z184" s="27" t="str">
        <f t="shared" si="10"/>
        <v/>
      </c>
      <c r="AA184" s="22">
        <v>0</v>
      </c>
      <c r="AB184" s="26" t="str">
        <f>+'S3'!Z184</f>
        <v/>
      </c>
    </row>
    <row r="185" spans="3:28" x14ac:dyDescent="0.3">
      <c r="C185" t="str">
        <f>+'S3'!AB185</f>
        <v/>
      </c>
      <c r="D185" t="str">
        <f>+IFERROR(VLOOKUP(F185,Sheet2!F:G,2,0),"")</f>
        <v/>
      </c>
      <c r="E185" t="str">
        <f>+IFERROR(VLOOKUP(C185,'S3'!E:F,2,0),"")</f>
        <v/>
      </c>
      <c r="F185" s="30" t="str">
        <f>+IFERROR(VLOOKUP(C185,Sheet2!C:F,4,0),"")</f>
        <v/>
      </c>
      <c r="G185" t="str">
        <f>+IFERROR(VLOOKUP(F185,Sheet2!F:H,3,0),"")</f>
        <v/>
      </c>
      <c r="K185" s="28" t="str">
        <f>+'S3'!AC185</f>
        <v/>
      </c>
      <c r="L185" t="str">
        <f>IF('S3'!J185&lt;&gt;"",'S3'!J185,"")</f>
        <v/>
      </c>
      <c r="M185" t="str">
        <f>IF('S3'!K185&lt;&gt;"",'S3'!K185,"")</f>
        <v/>
      </c>
      <c r="N185">
        <f>+IFERROR(VLOOKUP(L185,Sheet3!A:C,3,0)," ")</f>
        <v>0</v>
      </c>
      <c r="Q185">
        <f>+'S3'!N185</f>
        <v>0</v>
      </c>
      <c r="R185" s="25">
        <f>+'S3'!T185</f>
        <v>0</v>
      </c>
      <c r="U185">
        <f t="shared" si="9"/>
        <v>0</v>
      </c>
      <c r="V185" s="12" t="str">
        <f>+'S3'!X185</f>
        <v/>
      </c>
      <c r="W185" s="34" t="str">
        <f>+'S3'!Y185</f>
        <v/>
      </c>
      <c r="Y185" s="12" t="str">
        <f t="shared" si="8"/>
        <v/>
      </c>
      <c r="Z185" s="27" t="str">
        <f t="shared" si="10"/>
        <v/>
      </c>
      <c r="AA185" s="22">
        <v>0</v>
      </c>
      <c r="AB185" s="26" t="str">
        <f>+'S3'!Z185</f>
        <v/>
      </c>
    </row>
    <row r="186" spans="3:28" x14ac:dyDescent="0.3">
      <c r="C186" t="str">
        <f>+'S3'!AB186</f>
        <v/>
      </c>
      <c r="D186" t="str">
        <f>+IFERROR(VLOOKUP(F186,Sheet2!F:G,2,0),"")</f>
        <v/>
      </c>
      <c r="E186" t="str">
        <f>+IFERROR(VLOOKUP(C186,'S3'!E:F,2,0),"")</f>
        <v/>
      </c>
      <c r="F186" s="30" t="str">
        <f>+IFERROR(VLOOKUP(C186,Sheet2!C:F,4,0),"")</f>
        <v/>
      </c>
      <c r="G186" t="str">
        <f>+IFERROR(VLOOKUP(F186,Sheet2!F:H,3,0),"")</f>
        <v/>
      </c>
      <c r="K186" s="28" t="str">
        <f>+'S3'!AC186</f>
        <v/>
      </c>
      <c r="L186" t="str">
        <f>IF('S3'!J186&lt;&gt;"",'S3'!J186,"")</f>
        <v/>
      </c>
      <c r="M186" t="str">
        <f>IF('S3'!K186&lt;&gt;"",'S3'!K186,"")</f>
        <v/>
      </c>
      <c r="N186">
        <f>+IFERROR(VLOOKUP(L186,Sheet3!A:C,3,0)," ")</f>
        <v>0</v>
      </c>
      <c r="Q186">
        <f>+'S3'!N186</f>
        <v>0</v>
      </c>
      <c r="R186" s="25">
        <f>+'S3'!T186</f>
        <v>0</v>
      </c>
      <c r="U186">
        <f t="shared" si="9"/>
        <v>0</v>
      </c>
      <c r="V186" s="12" t="str">
        <f>+'S3'!X186</f>
        <v/>
      </c>
      <c r="W186" s="34" t="str">
        <f>+'S3'!Y186</f>
        <v/>
      </c>
      <c r="Y186" s="12" t="str">
        <f t="shared" si="8"/>
        <v/>
      </c>
      <c r="Z186" s="27" t="str">
        <f t="shared" si="10"/>
        <v/>
      </c>
      <c r="AA186" s="22">
        <v>0</v>
      </c>
      <c r="AB186" s="26" t="str">
        <f>+'S3'!Z186</f>
        <v/>
      </c>
    </row>
    <row r="187" spans="3:28" x14ac:dyDescent="0.3">
      <c r="C187" t="str">
        <f>+'S3'!AB187</f>
        <v/>
      </c>
      <c r="D187" t="str">
        <f>+IFERROR(VLOOKUP(F187,Sheet2!F:G,2,0),"")</f>
        <v/>
      </c>
      <c r="E187" t="str">
        <f>+IFERROR(VLOOKUP(C187,'S3'!E:F,2,0),"")</f>
        <v/>
      </c>
      <c r="F187" s="30" t="str">
        <f>+IFERROR(VLOOKUP(C187,Sheet2!C:F,4,0),"")</f>
        <v/>
      </c>
      <c r="G187" t="str">
        <f>+IFERROR(VLOOKUP(F187,Sheet2!F:H,3,0),"")</f>
        <v/>
      </c>
      <c r="K187" s="28" t="str">
        <f>+'S3'!AC187</f>
        <v/>
      </c>
      <c r="L187" t="str">
        <f>IF('S3'!J187&lt;&gt;"",'S3'!J187,"")</f>
        <v/>
      </c>
      <c r="M187" t="str">
        <f>IF('S3'!K187&lt;&gt;"",'S3'!K187,"")</f>
        <v/>
      </c>
      <c r="N187">
        <f>+IFERROR(VLOOKUP(L187,Sheet3!A:C,3,0)," ")</f>
        <v>0</v>
      </c>
      <c r="Q187">
        <f>+'S3'!N187</f>
        <v>0</v>
      </c>
      <c r="R187" s="25">
        <f>+'S3'!T187</f>
        <v>0</v>
      </c>
      <c r="U187">
        <f t="shared" si="9"/>
        <v>0</v>
      </c>
      <c r="V187" s="12" t="str">
        <f>+'S3'!X187</f>
        <v/>
      </c>
      <c r="W187" s="34" t="str">
        <f>+'S3'!Y187</f>
        <v/>
      </c>
      <c r="Y187" s="12" t="str">
        <f t="shared" si="8"/>
        <v/>
      </c>
      <c r="Z187" s="27" t="str">
        <f t="shared" si="10"/>
        <v/>
      </c>
      <c r="AA187" s="22">
        <v>0</v>
      </c>
      <c r="AB187" s="26" t="str">
        <f>+'S3'!Z187</f>
        <v/>
      </c>
    </row>
    <row r="188" spans="3:28" x14ac:dyDescent="0.3">
      <c r="C188" t="str">
        <f>+'S3'!AB188</f>
        <v/>
      </c>
      <c r="D188" t="str">
        <f>+IFERROR(VLOOKUP(F188,Sheet2!F:G,2,0),"")</f>
        <v/>
      </c>
      <c r="E188" t="str">
        <f>+IFERROR(VLOOKUP(C188,'S3'!E:F,2,0),"")</f>
        <v/>
      </c>
      <c r="F188" s="30" t="str">
        <f>+IFERROR(VLOOKUP(C188,Sheet2!C:F,4,0),"")</f>
        <v/>
      </c>
      <c r="G188" t="str">
        <f>+IFERROR(VLOOKUP(F188,Sheet2!F:H,3,0),"")</f>
        <v/>
      </c>
      <c r="K188" s="28" t="str">
        <f>+'S3'!AC188</f>
        <v/>
      </c>
      <c r="L188" t="str">
        <f>IF('S3'!J188&lt;&gt;"",'S3'!J188,"")</f>
        <v/>
      </c>
      <c r="M188" t="str">
        <f>IF('S3'!K188&lt;&gt;"",'S3'!K188,"")</f>
        <v/>
      </c>
      <c r="N188">
        <f>+IFERROR(VLOOKUP(L188,Sheet3!A:C,3,0)," ")</f>
        <v>0</v>
      </c>
      <c r="Q188">
        <f>+'S3'!N188</f>
        <v>0</v>
      </c>
      <c r="R188" s="25">
        <f>+'S3'!T188</f>
        <v>0</v>
      </c>
      <c r="U188">
        <f t="shared" si="9"/>
        <v>0</v>
      </c>
      <c r="V188" s="12" t="str">
        <f>+'S3'!X188</f>
        <v/>
      </c>
      <c r="W188" s="34" t="str">
        <f>+'S3'!Y188</f>
        <v/>
      </c>
      <c r="Y188" s="12" t="str">
        <f t="shared" si="8"/>
        <v/>
      </c>
      <c r="Z188" s="27" t="str">
        <f t="shared" si="10"/>
        <v/>
      </c>
      <c r="AA188" s="22">
        <v>0</v>
      </c>
      <c r="AB188" s="26" t="str">
        <f>+'S3'!Z188</f>
        <v/>
      </c>
    </row>
    <row r="189" spans="3:28" x14ac:dyDescent="0.3">
      <c r="C189" t="str">
        <f>+'S3'!AB189</f>
        <v/>
      </c>
      <c r="D189" t="str">
        <f>+IFERROR(VLOOKUP(F189,Sheet2!F:G,2,0),"")</f>
        <v/>
      </c>
      <c r="E189" t="str">
        <f>+IFERROR(VLOOKUP(C189,'S3'!E:F,2,0),"")</f>
        <v/>
      </c>
      <c r="F189" s="30" t="str">
        <f>+IFERROR(VLOOKUP(C189,Sheet2!C:F,4,0),"")</f>
        <v/>
      </c>
      <c r="G189" t="str">
        <f>+IFERROR(VLOOKUP(F189,Sheet2!F:H,3,0),"")</f>
        <v/>
      </c>
      <c r="K189" s="28" t="str">
        <f>+'S3'!AC189</f>
        <v/>
      </c>
      <c r="L189" t="str">
        <f>IF('S3'!J189&lt;&gt;"",'S3'!J189,"")</f>
        <v/>
      </c>
      <c r="M189" t="str">
        <f>IF('S3'!K189&lt;&gt;"",'S3'!K189,"")</f>
        <v/>
      </c>
      <c r="N189">
        <f>+IFERROR(VLOOKUP(L189,Sheet3!A:C,3,0)," ")</f>
        <v>0</v>
      </c>
      <c r="Q189">
        <f>+'S3'!N189</f>
        <v>0</v>
      </c>
      <c r="R189" s="25">
        <f>+'S3'!T189</f>
        <v>0</v>
      </c>
      <c r="U189">
        <f t="shared" si="9"/>
        <v>0</v>
      </c>
      <c r="V189" s="12" t="str">
        <f>+'S3'!X189</f>
        <v/>
      </c>
      <c r="W189" s="34" t="str">
        <f>+'S3'!Y189</f>
        <v/>
      </c>
      <c r="Y189" s="12" t="str">
        <f t="shared" si="8"/>
        <v/>
      </c>
      <c r="Z189" s="27" t="str">
        <f t="shared" si="10"/>
        <v/>
      </c>
      <c r="AA189" s="22">
        <v>0</v>
      </c>
      <c r="AB189" s="26" t="str">
        <f>+'S3'!Z189</f>
        <v/>
      </c>
    </row>
    <row r="190" spans="3:28" x14ac:dyDescent="0.3">
      <c r="C190" t="str">
        <f>+'S3'!AB190</f>
        <v/>
      </c>
      <c r="D190" t="str">
        <f>+IFERROR(VLOOKUP(F190,Sheet2!F:G,2,0),"")</f>
        <v/>
      </c>
      <c r="E190" t="str">
        <f>+IFERROR(VLOOKUP(C190,'S3'!E:F,2,0),"")</f>
        <v/>
      </c>
      <c r="F190" s="30" t="str">
        <f>+IFERROR(VLOOKUP(C190,Sheet2!C:F,4,0),"")</f>
        <v/>
      </c>
      <c r="G190" t="str">
        <f>+IFERROR(VLOOKUP(F190,Sheet2!F:H,3,0),"")</f>
        <v/>
      </c>
      <c r="K190" s="28" t="str">
        <f>+'S3'!AC190</f>
        <v/>
      </c>
      <c r="L190" t="str">
        <f>IF('S3'!J190&lt;&gt;"",'S3'!J190,"")</f>
        <v/>
      </c>
      <c r="M190" t="str">
        <f>IF('S3'!K190&lt;&gt;"",'S3'!K190,"")</f>
        <v/>
      </c>
      <c r="N190">
        <f>+IFERROR(VLOOKUP(L190,Sheet3!A:C,3,0)," ")</f>
        <v>0</v>
      </c>
      <c r="Q190">
        <f>+'S3'!N190</f>
        <v>0</v>
      </c>
      <c r="R190" s="25">
        <f>+'S3'!T190</f>
        <v>0</v>
      </c>
      <c r="U190">
        <f t="shared" si="9"/>
        <v>0</v>
      </c>
      <c r="V190" s="12" t="str">
        <f>+'S3'!X190</f>
        <v/>
      </c>
      <c r="W190" s="34" t="str">
        <f>+'S3'!Y190</f>
        <v/>
      </c>
      <c r="Y190" s="12" t="str">
        <f t="shared" si="8"/>
        <v/>
      </c>
      <c r="Z190" s="27" t="str">
        <f t="shared" si="10"/>
        <v/>
      </c>
      <c r="AA190" s="22">
        <v>0</v>
      </c>
      <c r="AB190" s="26" t="str">
        <f>+'S3'!Z190</f>
        <v/>
      </c>
    </row>
    <row r="191" spans="3:28" x14ac:dyDescent="0.3">
      <c r="C191" t="str">
        <f>+'S3'!AB191</f>
        <v/>
      </c>
      <c r="D191" t="str">
        <f>+IFERROR(VLOOKUP(F191,Sheet2!F:G,2,0),"")</f>
        <v/>
      </c>
      <c r="E191" t="str">
        <f>+IFERROR(VLOOKUP(C191,'S3'!E:F,2,0),"")</f>
        <v/>
      </c>
      <c r="F191" s="30" t="str">
        <f>+IFERROR(VLOOKUP(C191,Sheet2!C:F,4,0),"")</f>
        <v/>
      </c>
      <c r="G191" t="str">
        <f>+IFERROR(VLOOKUP(F191,Sheet2!F:H,3,0),"")</f>
        <v/>
      </c>
      <c r="K191" s="28" t="str">
        <f>+'S3'!AC191</f>
        <v/>
      </c>
      <c r="L191" t="str">
        <f>IF('S3'!J191&lt;&gt;"",'S3'!J191,"")</f>
        <v/>
      </c>
      <c r="M191" t="str">
        <f>IF('S3'!K191&lt;&gt;"",'S3'!K191,"")</f>
        <v/>
      </c>
      <c r="N191">
        <f>+IFERROR(VLOOKUP(L191,Sheet3!A:C,3,0)," ")</f>
        <v>0</v>
      </c>
      <c r="Q191">
        <f>+'S3'!N191</f>
        <v>0</v>
      </c>
      <c r="R191" s="25">
        <f>+'S3'!T191</f>
        <v>0</v>
      </c>
      <c r="U191">
        <f t="shared" si="9"/>
        <v>0</v>
      </c>
      <c r="V191" s="12" t="str">
        <f>+'S3'!X191</f>
        <v/>
      </c>
      <c r="W191" s="34" t="str">
        <f>+'S3'!Y191</f>
        <v/>
      </c>
      <c r="Y191" s="12" t="str">
        <f t="shared" si="8"/>
        <v/>
      </c>
      <c r="Z191" s="27" t="str">
        <f t="shared" si="10"/>
        <v/>
      </c>
      <c r="AA191" s="22">
        <v>0</v>
      </c>
      <c r="AB191" s="26" t="str">
        <f>+'S3'!Z191</f>
        <v/>
      </c>
    </row>
    <row r="192" spans="3:28" x14ac:dyDescent="0.3">
      <c r="C192" t="str">
        <f>+'S3'!AB192</f>
        <v/>
      </c>
      <c r="D192" t="str">
        <f>+IFERROR(VLOOKUP(F192,Sheet2!F:G,2,0),"")</f>
        <v/>
      </c>
      <c r="E192" t="str">
        <f>+IFERROR(VLOOKUP(C192,'S3'!E:F,2,0),"")</f>
        <v/>
      </c>
      <c r="F192" s="30" t="str">
        <f>+IFERROR(VLOOKUP(C192,Sheet2!C:F,4,0),"")</f>
        <v/>
      </c>
      <c r="G192" t="str">
        <f>+IFERROR(VLOOKUP(F192,Sheet2!F:H,3,0),"")</f>
        <v/>
      </c>
      <c r="K192" s="28" t="str">
        <f>+'S3'!AC192</f>
        <v/>
      </c>
      <c r="L192" t="str">
        <f>IF('S3'!J192&lt;&gt;"",'S3'!J192,"")</f>
        <v/>
      </c>
      <c r="M192" t="str">
        <f>IF('S3'!K192&lt;&gt;"",'S3'!K192,"")</f>
        <v/>
      </c>
      <c r="N192">
        <f>+IFERROR(VLOOKUP(L192,Sheet3!A:C,3,0)," ")</f>
        <v>0</v>
      </c>
      <c r="Q192">
        <f>+'S3'!N192</f>
        <v>0</v>
      </c>
      <c r="R192" s="25">
        <f>+'S3'!T192</f>
        <v>0</v>
      </c>
      <c r="U192">
        <f t="shared" si="9"/>
        <v>0</v>
      </c>
      <c r="V192" s="12" t="str">
        <f>+'S3'!X192</f>
        <v/>
      </c>
      <c r="W192" s="34" t="str">
        <f>+'S3'!Y192</f>
        <v/>
      </c>
      <c r="Y192" s="12" t="str">
        <f t="shared" si="8"/>
        <v/>
      </c>
      <c r="Z192" s="27" t="str">
        <f t="shared" si="10"/>
        <v/>
      </c>
      <c r="AA192" s="22">
        <v>0</v>
      </c>
      <c r="AB192" s="26" t="str">
        <f>+'S3'!Z192</f>
        <v/>
      </c>
    </row>
    <row r="193" spans="3:28" x14ac:dyDescent="0.3">
      <c r="C193" t="str">
        <f>+'S3'!AB193</f>
        <v/>
      </c>
      <c r="D193" t="str">
        <f>+IFERROR(VLOOKUP(F193,Sheet2!F:G,2,0),"")</f>
        <v/>
      </c>
      <c r="E193" t="str">
        <f>+IFERROR(VLOOKUP(C193,'S3'!E:F,2,0),"")</f>
        <v/>
      </c>
      <c r="F193" s="30" t="str">
        <f>+IFERROR(VLOOKUP(C193,Sheet2!C:F,4,0),"")</f>
        <v/>
      </c>
      <c r="G193" t="str">
        <f>+IFERROR(VLOOKUP(F193,Sheet2!F:H,3,0),"")</f>
        <v/>
      </c>
      <c r="K193" s="28" t="str">
        <f>+'S3'!AC193</f>
        <v/>
      </c>
      <c r="L193" t="str">
        <f>IF('S3'!J193&lt;&gt;"",'S3'!J193,"")</f>
        <v/>
      </c>
      <c r="M193" t="str">
        <f>IF('S3'!K193&lt;&gt;"",'S3'!K193,"")</f>
        <v/>
      </c>
      <c r="N193">
        <f>+IFERROR(VLOOKUP(L193,Sheet3!A:C,3,0)," ")</f>
        <v>0</v>
      </c>
      <c r="Q193">
        <f>+'S3'!N193</f>
        <v>0</v>
      </c>
      <c r="R193" s="25">
        <f>+'S3'!T193</f>
        <v>0</v>
      </c>
      <c r="U193">
        <f t="shared" si="9"/>
        <v>0</v>
      </c>
      <c r="V193" s="12" t="str">
        <f>+'S3'!X193</f>
        <v/>
      </c>
      <c r="W193" s="34" t="str">
        <f>+'S3'!Y193</f>
        <v/>
      </c>
      <c r="Y193" s="12" t="str">
        <f t="shared" si="8"/>
        <v/>
      </c>
      <c r="Z193" s="27" t="str">
        <f t="shared" si="10"/>
        <v/>
      </c>
      <c r="AA193" s="22">
        <v>0</v>
      </c>
      <c r="AB193" s="26" t="str">
        <f>+'S3'!Z193</f>
        <v/>
      </c>
    </row>
    <row r="194" spans="3:28" x14ac:dyDescent="0.3">
      <c r="C194" t="str">
        <f>+'S3'!AB194</f>
        <v/>
      </c>
      <c r="D194" t="str">
        <f>+IFERROR(VLOOKUP(F194,Sheet2!F:G,2,0),"")</f>
        <v/>
      </c>
      <c r="E194" t="str">
        <f>+IFERROR(VLOOKUP(C194,'S3'!E:F,2,0),"")</f>
        <v/>
      </c>
      <c r="F194" s="30" t="str">
        <f>+IFERROR(VLOOKUP(C194,Sheet2!C:F,4,0),"")</f>
        <v/>
      </c>
      <c r="G194" t="str">
        <f>+IFERROR(VLOOKUP(F194,Sheet2!F:H,3,0),"")</f>
        <v/>
      </c>
      <c r="K194" s="28" t="str">
        <f>+'S3'!AC194</f>
        <v/>
      </c>
      <c r="L194" t="str">
        <f>IF('S3'!J194&lt;&gt;"",'S3'!J194,"")</f>
        <v/>
      </c>
      <c r="M194" t="str">
        <f>IF('S3'!K194&lt;&gt;"",'S3'!K194,"")</f>
        <v/>
      </c>
      <c r="N194">
        <f>+IFERROR(VLOOKUP(L194,Sheet3!A:C,3,0)," ")</f>
        <v>0</v>
      </c>
      <c r="Q194">
        <f>+'S3'!N194</f>
        <v>0</v>
      </c>
      <c r="R194" s="25">
        <f>+'S3'!T194</f>
        <v>0</v>
      </c>
      <c r="U194">
        <f t="shared" si="9"/>
        <v>0</v>
      </c>
      <c r="V194" s="12" t="str">
        <f>+'S3'!X194</f>
        <v/>
      </c>
      <c r="W194" s="34" t="str">
        <f>+'S3'!Y194</f>
        <v/>
      </c>
      <c r="Y194" s="12" t="str">
        <f t="shared" si="8"/>
        <v/>
      </c>
      <c r="Z194" s="27" t="str">
        <f t="shared" si="10"/>
        <v/>
      </c>
      <c r="AA194" s="22">
        <v>0</v>
      </c>
      <c r="AB194" s="26" t="str">
        <f>+'S3'!Z194</f>
        <v/>
      </c>
    </row>
    <row r="195" spans="3:28" x14ac:dyDescent="0.3">
      <c r="C195" t="str">
        <f>+'S3'!AB195</f>
        <v/>
      </c>
      <c r="D195" t="str">
        <f>+IFERROR(VLOOKUP(F195,Sheet2!F:G,2,0),"")</f>
        <v/>
      </c>
      <c r="E195" t="str">
        <f>+IFERROR(VLOOKUP(C195,'S3'!E:F,2,0),"")</f>
        <v/>
      </c>
      <c r="F195" s="30" t="str">
        <f>+IFERROR(VLOOKUP(C195,Sheet2!C:F,4,0),"")</f>
        <v/>
      </c>
      <c r="G195" t="str">
        <f>+IFERROR(VLOOKUP(F195,Sheet2!F:H,3,0),"")</f>
        <v/>
      </c>
      <c r="K195" s="28" t="str">
        <f>+'S3'!AC195</f>
        <v/>
      </c>
      <c r="L195" t="str">
        <f>IF('S3'!J195&lt;&gt;"",'S3'!J195,"")</f>
        <v/>
      </c>
      <c r="M195" t="str">
        <f>IF('S3'!K195&lt;&gt;"",'S3'!K195,"")</f>
        <v/>
      </c>
      <c r="N195">
        <f>+IFERROR(VLOOKUP(L195,Sheet3!A:C,3,0)," ")</f>
        <v>0</v>
      </c>
      <c r="Q195">
        <f>+'S3'!N195</f>
        <v>0</v>
      </c>
      <c r="R195" s="25">
        <f>+'S3'!T195</f>
        <v>0</v>
      </c>
      <c r="U195">
        <f t="shared" si="9"/>
        <v>0</v>
      </c>
      <c r="V195" s="12" t="str">
        <f>+'S3'!X195</f>
        <v/>
      </c>
      <c r="W195" s="34" t="str">
        <f>+'S3'!Y195</f>
        <v/>
      </c>
      <c r="Y195" s="12" t="str">
        <f t="shared" ref="Y195:Y258" si="11">IFERROR(W195%*V195,"")</f>
        <v/>
      </c>
      <c r="Z195" s="27" t="str">
        <f t="shared" si="10"/>
        <v/>
      </c>
      <c r="AA195" s="22">
        <v>0</v>
      </c>
      <c r="AB195" s="26" t="str">
        <f>+'S3'!Z195</f>
        <v/>
      </c>
    </row>
    <row r="196" spans="3:28" x14ac:dyDescent="0.3">
      <c r="C196" t="str">
        <f>+'S3'!AB196</f>
        <v/>
      </c>
      <c r="D196" t="str">
        <f>+IFERROR(VLOOKUP(F196,Sheet2!F:G,2,0),"")</f>
        <v/>
      </c>
      <c r="E196" t="str">
        <f>+IFERROR(VLOOKUP(C196,'S3'!E:F,2,0),"")</f>
        <v/>
      </c>
      <c r="F196" s="30" t="str">
        <f>+IFERROR(VLOOKUP(C196,Sheet2!C:F,4,0),"")</f>
        <v/>
      </c>
      <c r="G196" t="str">
        <f>+IFERROR(VLOOKUP(F196,Sheet2!F:H,3,0),"")</f>
        <v/>
      </c>
      <c r="K196" s="28" t="str">
        <f>+'S3'!AC196</f>
        <v/>
      </c>
      <c r="L196" t="str">
        <f>IF('S3'!J196&lt;&gt;"",'S3'!J196,"")</f>
        <v/>
      </c>
      <c r="M196" t="str">
        <f>IF('S3'!K196&lt;&gt;"",'S3'!K196,"")</f>
        <v/>
      </c>
      <c r="N196">
        <f>+IFERROR(VLOOKUP(L196,Sheet3!A:C,3,0)," ")</f>
        <v>0</v>
      </c>
      <c r="Q196">
        <f>+'S3'!N196</f>
        <v>0</v>
      </c>
      <c r="R196" s="25">
        <f>+'S3'!T196</f>
        <v>0</v>
      </c>
      <c r="U196">
        <f t="shared" si="9"/>
        <v>0</v>
      </c>
      <c r="V196" s="12" t="str">
        <f>+'S3'!X196</f>
        <v/>
      </c>
      <c r="W196" s="34" t="str">
        <f>+'S3'!Y196</f>
        <v/>
      </c>
      <c r="Y196" s="12" t="str">
        <f t="shared" si="11"/>
        <v/>
      </c>
      <c r="Z196" s="27" t="str">
        <f t="shared" si="10"/>
        <v/>
      </c>
      <c r="AA196" s="22">
        <v>0</v>
      </c>
      <c r="AB196" s="26" t="str">
        <f>+'S3'!Z196</f>
        <v/>
      </c>
    </row>
    <row r="197" spans="3:28" x14ac:dyDescent="0.3">
      <c r="C197" t="str">
        <f>+'S3'!AB197</f>
        <v/>
      </c>
      <c r="D197" t="str">
        <f>+IFERROR(VLOOKUP(F197,Sheet2!F:G,2,0),"")</f>
        <v/>
      </c>
      <c r="E197" t="str">
        <f>+IFERROR(VLOOKUP(C197,'S3'!E:F,2,0),"")</f>
        <v/>
      </c>
      <c r="F197" s="30" t="str">
        <f>+IFERROR(VLOOKUP(C197,Sheet2!C:F,4,0),"")</f>
        <v/>
      </c>
      <c r="G197" t="str">
        <f>+IFERROR(VLOOKUP(F197,Sheet2!F:H,3,0),"")</f>
        <v/>
      </c>
      <c r="K197" s="28" t="str">
        <f>+'S3'!AC197</f>
        <v/>
      </c>
      <c r="L197" t="str">
        <f>IF('S3'!J197&lt;&gt;"",'S3'!J197,"")</f>
        <v/>
      </c>
      <c r="M197" t="str">
        <f>IF('S3'!K197&lt;&gt;"",'S3'!K197,"")</f>
        <v/>
      </c>
      <c r="N197">
        <f>+IFERROR(VLOOKUP(L197,Sheet3!A:C,3,0)," ")</f>
        <v>0</v>
      </c>
      <c r="Q197">
        <f>+'S3'!N197</f>
        <v>0</v>
      </c>
      <c r="R197" s="25">
        <f>+'S3'!T197</f>
        <v>0</v>
      </c>
      <c r="U197">
        <f t="shared" si="9"/>
        <v>0</v>
      </c>
      <c r="V197" s="12" t="str">
        <f>+'S3'!X197</f>
        <v/>
      </c>
      <c r="W197" s="34" t="str">
        <f>+'S3'!Y197</f>
        <v/>
      </c>
      <c r="Y197" s="12" t="str">
        <f t="shared" si="11"/>
        <v/>
      </c>
      <c r="Z197" s="27" t="str">
        <f t="shared" si="10"/>
        <v/>
      </c>
      <c r="AA197" s="22">
        <v>0</v>
      </c>
      <c r="AB197" s="26" t="str">
        <f>+'S3'!Z197</f>
        <v/>
      </c>
    </row>
    <row r="198" spans="3:28" x14ac:dyDescent="0.3">
      <c r="C198" t="str">
        <f>+'S3'!AB198</f>
        <v/>
      </c>
      <c r="D198" t="str">
        <f>+IFERROR(VLOOKUP(F198,Sheet2!F:G,2,0),"")</f>
        <v/>
      </c>
      <c r="E198" t="str">
        <f>+IFERROR(VLOOKUP(C198,'S3'!E:F,2,0),"")</f>
        <v/>
      </c>
      <c r="F198" s="30" t="str">
        <f>+IFERROR(VLOOKUP(C198,Sheet2!C:F,4,0),"")</f>
        <v/>
      </c>
      <c r="G198" t="str">
        <f>+IFERROR(VLOOKUP(F198,Sheet2!F:H,3,0),"")</f>
        <v/>
      </c>
      <c r="K198" s="28" t="str">
        <f>+'S3'!AC198</f>
        <v/>
      </c>
      <c r="L198" t="str">
        <f>IF('S3'!J198&lt;&gt;"",'S3'!J198,"")</f>
        <v/>
      </c>
      <c r="M198" t="str">
        <f>IF('S3'!K198&lt;&gt;"",'S3'!K198,"")</f>
        <v/>
      </c>
      <c r="N198">
        <f>+IFERROR(VLOOKUP(L198,Sheet3!A:C,3,0)," ")</f>
        <v>0</v>
      </c>
      <c r="Q198">
        <f>+'S3'!N198</f>
        <v>0</v>
      </c>
      <c r="R198" s="25">
        <f>+'S3'!T198</f>
        <v>0</v>
      </c>
      <c r="U198">
        <f t="shared" si="9"/>
        <v>0</v>
      </c>
      <c r="V198" s="12" t="str">
        <f>+'S3'!X198</f>
        <v/>
      </c>
      <c r="W198" s="34" t="str">
        <f>+'S3'!Y198</f>
        <v/>
      </c>
      <c r="Y198" s="12" t="str">
        <f t="shared" si="11"/>
        <v/>
      </c>
      <c r="Z198" s="27" t="str">
        <f t="shared" si="10"/>
        <v/>
      </c>
      <c r="AA198" s="22">
        <v>0</v>
      </c>
      <c r="AB198" s="26" t="str">
        <f>+'S3'!Z198</f>
        <v/>
      </c>
    </row>
    <row r="199" spans="3:28" x14ac:dyDescent="0.3">
      <c r="C199" t="str">
        <f>+'S3'!AB199</f>
        <v/>
      </c>
      <c r="D199" t="str">
        <f>+IFERROR(VLOOKUP(F199,Sheet2!F:G,2,0),"")</f>
        <v/>
      </c>
      <c r="E199" t="str">
        <f>+IFERROR(VLOOKUP(C199,'S3'!E:F,2,0),"")</f>
        <v/>
      </c>
      <c r="F199" s="30" t="str">
        <f>+IFERROR(VLOOKUP(C199,Sheet2!C:F,4,0),"")</f>
        <v/>
      </c>
      <c r="G199" t="str">
        <f>+IFERROR(VLOOKUP(F199,Sheet2!F:H,3,0),"")</f>
        <v/>
      </c>
      <c r="K199" s="28" t="str">
        <f>+'S3'!AC199</f>
        <v/>
      </c>
      <c r="L199" t="str">
        <f>IF('S3'!J199&lt;&gt;"",'S3'!J199,"")</f>
        <v/>
      </c>
      <c r="M199" t="str">
        <f>IF('S3'!K199&lt;&gt;"",'S3'!K199,"")</f>
        <v/>
      </c>
      <c r="N199">
        <f>+IFERROR(VLOOKUP(L199,Sheet3!A:C,3,0)," ")</f>
        <v>0</v>
      </c>
      <c r="Q199">
        <f>+'S3'!N199</f>
        <v>0</v>
      </c>
      <c r="R199" s="25">
        <f>+'S3'!T199</f>
        <v>0</v>
      </c>
      <c r="U199">
        <f t="shared" si="9"/>
        <v>0</v>
      </c>
      <c r="V199" s="12" t="str">
        <f>+'S3'!X199</f>
        <v/>
      </c>
      <c r="W199" s="34" t="str">
        <f>+'S3'!Y199</f>
        <v/>
      </c>
      <c r="Y199" s="12" t="str">
        <f t="shared" si="11"/>
        <v/>
      </c>
      <c r="Z199" s="27" t="str">
        <f t="shared" si="10"/>
        <v/>
      </c>
      <c r="AA199" s="22">
        <v>0</v>
      </c>
      <c r="AB199" s="26" t="str">
        <f>+'S3'!Z199</f>
        <v/>
      </c>
    </row>
    <row r="200" spans="3:28" x14ac:dyDescent="0.3">
      <c r="C200" t="str">
        <f>+'S3'!AB200</f>
        <v/>
      </c>
      <c r="D200" t="str">
        <f>+IFERROR(VLOOKUP(F200,Sheet2!F:G,2,0),"")</f>
        <v/>
      </c>
      <c r="E200" t="str">
        <f>+IFERROR(VLOOKUP(C200,'S3'!E:F,2,0),"")</f>
        <v/>
      </c>
      <c r="F200" s="30" t="str">
        <f>+IFERROR(VLOOKUP(C200,Sheet2!C:F,4,0),"")</f>
        <v/>
      </c>
      <c r="G200" t="str">
        <f>+IFERROR(VLOOKUP(F200,Sheet2!F:H,3,0),"")</f>
        <v/>
      </c>
      <c r="K200" s="28" t="str">
        <f>+'S3'!AC200</f>
        <v/>
      </c>
      <c r="L200" t="str">
        <f>IF('S3'!J200&lt;&gt;"",'S3'!J200,"")</f>
        <v/>
      </c>
      <c r="M200" t="str">
        <f>IF('S3'!K200&lt;&gt;"",'S3'!K200,"")</f>
        <v/>
      </c>
      <c r="N200">
        <f>+IFERROR(VLOOKUP(L200,Sheet3!A:C,3,0)," ")</f>
        <v>0</v>
      </c>
      <c r="Q200">
        <f>+'S3'!N200</f>
        <v>0</v>
      </c>
      <c r="R200" s="25">
        <f>+'S3'!T200</f>
        <v>0</v>
      </c>
      <c r="U200">
        <f t="shared" si="9"/>
        <v>0</v>
      </c>
      <c r="V200" s="12" t="str">
        <f>+'S3'!X200</f>
        <v/>
      </c>
      <c r="W200" s="34" t="str">
        <f>+'S3'!Y200</f>
        <v/>
      </c>
      <c r="Y200" s="12" t="str">
        <f t="shared" si="11"/>
        <v/>
      </c>
      <c r="Z200" s="27" t="str">
        <f t="shared" si="10"/>
        <v/>
      </c>
      <c r="AA200" s="22">
        <v>0</v>
      </c>
      <c r="AB200" s="26" t="str">
        <f>+'S3'!Z200</f>
        <v/>
      </c>
    </row>
    <row r="201" spans="3:28" x14ac:dyDescent="0.3">
      <c r="C201" t="str">
        <f>+'S3'!AB201</f>
        <v/>
      </c>
      <c r="D201" t="str">
        <f>+IFERROR(VLOOKUP(F201,Sheet2!F:G,2,0),"")</f>
        <v/>
      </c>
      <c r="E201" t="str">
        <f>+IFERROR(VLOOKUP(C201,'S3'!E:F,2,0),"")</f>
        <v/>
      </c>
      <c r="F201" s="30" t="str">
        <f>+IFERROR(VLOOKUP(C201,Sheet2!C:F,4,0),"")</f>
        <v/>
      </c>
      <c r="G201" t="str">
        <f>+IFERROR(VLOOKUP(F201,Sheet2!F:H,3,0),"")</f>
        <v/>
      </c>
      <c r="K201" s="28" t="str">
        <f>+'S3'!AC201</f>
        <v/>
      </c>
      <c r="L201" t="str">
        <f>IF('S3'!J201&lt;&gt;"",'S3'!J201,"")</f>
        <v/>
      </c>
      <c r="M201" t="str">
        <f>IF('S3'!K201&lt;&gt;"",'S3'!K201,"")</f>
        <v/>
      </c>
      <c r="N201">
        <f>+IFERROR(VLOOKUP(L201,Sheet3!A:C,3,0)," ")</f>
        <v>0</v>
      </c>
      <c r="Q201">
        <f>+'S3'!N201</f>
        <v>0</v>
      </c>
      <c r="R201" s="25">
        <f>+'S3'!T201</f>
        <v>0</v>
      </c>
      <c r="U201">
        <f t="shared" si="9"/>
        <v>0</v>
      </c>
      <c r="V201" s="12" t="str">
        <f>+'S3'!X201</f>
        <v/>
      </c>
      <c r="W201" s="34" t="str">
        <f>+'S3'!Y201</f>
        <v/>
      </c>
      <c r="Y201" s="12" t="str">
        <f t="shared" si="11"/>
        <v/>
      </c>
      <c r="Z201" s="27" t="str">
        <f t="shared" si="10"/>
        <v/>
      </c>
      <c r="AA201" s="22">
        <v>0</v>
      </c>
      <c r="AB201" s="26" t="str">
        <f>+'S3'!Z201</f>
        <v/>
      </c>
    </row>
    <row r="202" spans="3:28" x14ac:dyDescent="0.3">
      <c r="C202" t="str">
        <f>+'S3'!AB202</f>
        <v/>
      </c>
      <c r="D202" t="str">
        <f>+IFERROR(VLOOKUP(F202,Sheet2!F:G,2,0),"")</f>
        <v/>
      </c>
      <c r="E202" t="str">
        <f>+IFERROR(VLOOKUP(C202,'S3'!E:F,2,0),"")</f>
        <v/>
      </c>
      <c r="F202" s="30" t="str">
        <f>+IFERROR(VLOOKUP(C202,Sheet2!C:F,4,0),"")</f>
        <v/>
      </c>
      <c r="G202" t="str">
        <f>+IFERROR(VLOOKUP(F202,Sheet2!F:H,3,0),"")</f>
        <v/>
      </c>
      <c r="K202" s="28" t="str">
        <f>+'S3'!AC202</f>
        <v/>
      </c>
      <c r="L202" t="str">
        <f>IF('S3'!J202&lt;&gt;"",'S3'!J202,"")</f>
        <v/>
      </c>
      <c r="M202" t="str">
        <f>IF('S3'!K202&lt;&gt;"",'S3'!K202,"")</f>
        <v/>
      </c>
      <c r="N202">
        <f>+IFERROR(VLOOKUP(L202,Sheet3!A:C,3,0)," ")</f>
        <v>0</v>
      </c>
      <c r="Q202">
        <f>+'S3'!N202</f>
        <v>0</v>
      </c>
      <c r="R202" s="25">
        <f>+'S3'!T202</f>
        <v>0</v>
      </c>
      <c r="U202">
        <f t="shared" si="9"/>
        <v>0</v>
      </c>
      <c r="V202" s="12" t="str">
        <f>+'S3'!X202</f>
        <v/>
      </c>
      <c r="W202" s="34" t="str">
        <f>+'S3'!Y202</f>
        <v/>
      </c>
      <c r="Y202" s="12" t="str">
        <f t="shared" si="11"/>
        <v/>
      </c>
      <c r="Z202" s="27" t="str">
        <f t="shared" si="10"/>
        <v/>
      </c>
      <c r="AA202" s="22">
        <v>0</v>
      </c>
      <c r="AB202" s="26" t="str">
        <f>+'S3'!Z202</f>
        <v/>
      </c>
    </row>
    <row r="203" spans="3:28" x14ac:dyDescent="0.3">
      <c r="C203" t="str">
        <f>+'S3'!AB203</f>
        <v/>
      </c>
      <c r="D203" t="str">
        <f>+IFERROR(VLOOKUP(F203,Sheet2!F:G,2,0),"")</f>
        <v/>
      </c>
      <c r="E203" t="str">
        <f>+IFERROR(VLOOKUP(C203,'S3'!E:F,2,0),"")</f>
        <v/>
      </c>
      <c r="F203" s="30" t="str">
        <f>+IFERROR(VLOOKUP(C203,Sheet2!C:F,4,0),"")</f>
        <v/>
      </c>
      <c r="G203" t="str">
        <f>+IFERROR(VLOOKUP(F203,Sheet2!F:H,3,0),"")</f>
        <v/>
      </c>
      <c r="K203" s="28" t="str">
        <f>+'S3'!AC203</f>
        <v/>
      </c>
      <c r="L203" t="str">
        <f>IF('S3'!J203&lt;&gt;"",'S3'!J203,"")</f>
        <v/>
      </c>
      <c r="M203" t="str">
        <f>IF('S3'!K203&lt;&gt;"",'S3'!K203,"")</f>
        <v/>
      </c>
      <c r="N203">
        <f>+IFERROR(VLOOKUP(L203,Sheet3!A:C,3,0)," ")</f>
        <v>0</v>
      </c>
      <c r="Q203">
        <f>+'S3'!N203</f>
        <v>0</v>
      </c>
      <c r="R203" s="25">
        <f>+'S3'!T203</f>
        <v>0</v>
      </c>
      <c r="U203">
        <f t="shared" si="9"/>
        <v>0</v>
      </c>
      <c r="V203" s="12" t="str">
        <f>+'S3'!X203</f>
        <v/>
      </c>
      <c r="W203" s="34" t="str">
        <f>+'S3'!Y203</f>
        <v/>
      </c>
      <c r="Y203" s="12" t="str">
        <f t="shared" si="11"/>
        <v/>
      </c>
      <c r="Z203" s="27" t="str">
        <f t="shared" si="10"/>
        <v/>
      </c>
      <c r="AA203" s="22">
        <v>0</v>
      </c>
      <c r="AB203" s="26" t="str">
        <f>+'S3'!Z203</f>
        <v/>
      </c>
    </row>
    <row r="204" spans="3:28" x14ac:dyDescent="0.3">
      <c r="C204" t="str">
        <f>+'S3'!AB204</f>
        <v/>
      </c>
      <c r="D204" t="str">
        <f>+IFERROR(VLOOKUP(F204,Sheet2!F:G,2,0),"")</f>
        <v/>
      </c>
      <c r="E204" t="str">
        <f>+IFERROR(VLOOKUP(C204,'S3'!E:F,2,0),"")</f>
        <v/>
      </c>
      <c r="F204" s="30" t="str">
        <f>+IFERROR(VLOOKUP(C204,Sheet2!C:F,4,0),"")</f>
        <v/>
      </c>
      <c r="G204" t="str">
        <f>+IFERROR(VLOOKUP(F204,Sheet2!F:H,3,0),"")</f>
        <v/>
      </c>
      <c r="K204" s="28" t="str">
        <f>+'S3'!AC204</f>
        <v/>
      </c>
      <c r="L204" t="str">
        <f>IF('S3'!J204&lt;&gt;"",'S3'!J204,"")</f>
        <v/>
      </c>
      <c r="M204" t="str">
        <f>IF('S3'!K204&lt;&gt;"",'S3'!K204,"")</f>
        <v/>
      </c>
      <c r="N204">
        <f>+IFERROR(VLOOKUP(L204,Sheet3!A:C,3,0)," ")</f>
        <v>0</v>
      </c>
      <c r="Q204">
        <f>+'S3'!N204</f>
        <v>0</v>
      </c>
      <c r="R204" s="25">
        <f>+'S3'!T204</f>
        <v>0</v>
      </c>
      <c r="U204">
        <f t="shared" si="9"/>
        <v>0</v>
      </c>
      <c r="V204" s="12" t="str">
        <f>+'S3'!X204</f>
        <v/>
      </c>
      <c r="W204" s="34" t="str">
        <f>+'S3'!Y204</f>
        <v/>
      </c>
      <c r="Y204" s="12" t="str">
        <f t="shared" si="11"/>
        <v/>
      </c>
      <c r="Z204" s="27" t="str">
        <f t="shared" si="10"/>
        <v/>
      </c>
      <c r="AA204" s="22">
        <v>0</v>
      </c>
      <c r="AB204" s="26" t="str">
        <f>+'S3'!Z204</f>
        <v/>
      </c>
    </row>
    <row r="205" spans="3:28" x14ac:dyDescent="0.3">
      <c r="C205" t="str">
        <f>+'S3'!AB205</f>
        <v/>
      </c>
      <c r="D205" t="str">
        <f>+IFERROR(VLOOKUP(F205,Sheet2!F:G,2,0),"")</f>
        <v/>
      </c>
      <c r="E205" t="str">
        <f>+IFERROR(VLOOKUP(C205,'S3'!E:F,2,0),"")</f>
        <v/>
      </c>
      <c r="F205" s="30" t="str">
        <f>+IFERROR(VLOOKUP(C205,Sheet2!C:F,4,0),"")</f>
        <v/>
      </c>
      <c r="G205" t="str">
        <f>+IFERROR(VLOOKUP(F205,Sheet2!F:H,3,0),"")</f>
        <v/>
      </c>
      <c r="K205" s="28" t="str">
        <f>+'S3'!AC205</f>
        <v/>
      </c>
      <c r="L205" t="str">
        <f>IF('S3'!J205&lt;&gt;"",'S3'!J205,"")</f>
        <v/>
      </c>
      <c r="M205" t="str">
        <f>IF('S3'!K205&lt;&gt;"",'S3'!K205,"")</f>
        <v/>
      </c>
      <c r="N205">
        <f>+IFERROR(VLOOKUP(L205,Sheet3!A:C,3,0)," ")</f>
        <v>0</v>
      </c>
      <c r="Q205">
        <f>+'S3'!N205</f>
        <v>0</v>
      </c>
      <c r="R205" s="25">
        <f>+'S3'!T205</f>
        <v>0</v>
      </c>
      <c r="U205">
        <f t="shared" si="9"/>
        <v>0</v>
      </c>
      <c r="V205" s="12" t="str">
        <f>+'S3'!X205</f>
        <v/>
      </c>
      <c r="W205" s="34" t="str">
        <f>+'S3'!Y205</f>
        <v/>
      </c>
      <c r="Y205" s="12" t="str">
        <f t="shared" si="11"/>
        <v/>
      </c>
      <c r="Z205" s="27" t="str">
        <f t="shared" si="10"/>
        <v/>
      </c>
      <c r="AA205" s="22">
        <v>0</v>
      </c>
      <c r="AB205" s="26" t="str">
        <f>+'S3'!Z205</f>
        <v/>
      </c>
    </row>
    <row r="206" spans="3:28" x14ac:dyDescent="0.3">
      <c r="C206" t="str">
        <f>+'S3'!AB206</f>
        <v/>
      </c>
      <c r="D206" t="str">
        <f>+IFERROR(VLOOKUP(F206,Sheet2!F:G,2,0),"")</f>
        <v/>
      </c>
      <c r="E206" t="str">
        <f>+IFERROR(VLOOKUP(C206,'S3'!E:F,2,0),"")</f>
        <v/>
      </c>
      <c r="F206" s="30" t="str">
        <f>+IFERROR(VLOOKUP(C206,Sheet2!C:F,4,0),"")</f>
        <v/>
      </c>
      <c r="G206" t="str">
        <f>+IFERROR(VLOOKUP(F206,Sheet2!F:H,3,0),"")</f>
        <v/>
      </c>
      <c r="K206" s="28" t="str">
        <f>+'S3'!AC206</f>
        <v/>
      </c>
      <c r="L206" t="str">
        <f>IF('S3'!J206&lt;&gt;"",'S3'!J206,"")</f>
        <v/>
      </c>
      <c r="M206" t="str">
        <f>IF('S3'!K206&lt;&gt;"",'S3'!K206,"")</f>
        <v/>
      </c>
      <c r="N206">
        <f>+IFERROR(VLOOKUP(L206,Sheet3!A:C,3,0)," ")</f>
        <v>0</v>
      </c>
      <c r="Q206">
        <f>+'S3'!N206</f>
        <v>0</v>
      </c>
      <c r="R206" s="25">
        <f>+'S3'!T206</f>
        <v>0</v>
      </c>
      <c r="U206">
        <f t="shared" si="9"/>
        <v>0</v>
      </c>
      <c r="V206" s="12" t="str">
        <f>+'S3'!X206</f>
        <v/>
      </c>
      <c r="W206" s="34" t="str">
        <f>+'S3'!Y206</f>
        <v/>
      </c>
      <c r="Y206" s="12" t="str">
        <f t="shared" si="11"/>
        <v/>
      </c>
      <c r="Z206" s="27" t="str">
        <f t="shared" si="10"/>
        <v/>
      </c>
      <c r="AA206" s="22">
        <v>0</v>
      </c>
      <c r="AB206" s="26" t="str">
        <f>+'S3'!Z206</f>
        <v/>
      </c>
    </row>
    <row r="207" spans="3:28" x14ac:dyDescent="0.3">
      <c r="C207" t="str">
        <f>+'S3'!AB207</f>
        <v/>
      </c>
      <c r="D207" t="str">
        <f>+IFERROR(VLOOKUP(F207,Sheet2!F:G,2,0),"")</f>
        <v/>
      </c>
      <c r="E207" t="str">
        <f>+IFERROR(VLOOKUP(C207,'S3'!E:F,2,0),"")</f>
        <v/>
      </c>
      <c r="F207" s="30" t="str">
        <f>+IFERROR(VLOOKUP(C207,Sheet2!C:F,4,0),"")</f>
        <v/>
      </c>
      <c r="G207" t="str">
        <f>+IFERROR(VLOOKUP(F207,Sheet2!F:H,3,0),"")</f>
        <v/>
      </c>
      <c r="K207" s="28" t="str">
        <f>+'S3'!AC207</f>
        <v/>
      </c>
      <c r="L207" t="str">
        <f>IF('S3'!J207&lt;&gt;"",'S3'!J207,"")</f>
        <v/>
      </c>
      <c r="M207" t="str">
        <f>IF('S3'!K207&lt;&gt;"",'S3'!K207,"")</f>
        <v/>
      </c>
      <c r="N207">
        <f>+IFERROR(VLOOKUP(L207,Sheet3!A:C,3,0)," ")</f>
        <v>0</v>
      </c>
      <c r="Q207">
        <f>+'S3'!N207</f>
        <v>0</v>
      </c>
      <c r="R207" s="25">
        <f>+'S3'!T207</f>
        <v>0</v>
      </c>
      <c r="U207">
        <f t="shared" si="9"/>
        <v>0</v>
      </c>
      <c r="V207" s="12" t="str">
        <f>+'S3'!X207</f>
        <v/>
      </c>
      <c r="W207" s="34" t="str">
        <f>+'S3'!Y207</f>
        <v/>
      </c>
      <c r="Y207" s="12" t="str">
        <f t="shared" si="11"/>
        <v/>
      </c>
      <c r="Z207" s="27" t="str">
        <f t="shared" si="10"/>
        <v/>
      </c>
      <c r="AA207" s="22">
        <v>0</v>
      </c>
      <c r="AB207" s="26" t="str">
        <f>+'S3'!Z207</f>
        <v/>
      </c>
    </row>
    <row r="208" spans="3:28" x14ac:dyDescent="0.3">
      <c r="C208" t="str">
        <f>+'S3'!AB208</f>
        <v/>
      </c>
      <c r="D208" t="str">
        <f>+IFERROR(VLOOKUP(F208,Sheet2!F:G,2,0),"")</f>
        <v/>
      </c>
      <c r="E208" t="str">
        <f>+IFERROR(VLOOKUP(C208,'S3'!E:F,2,0),"")</f>
        <v/>
      </c>
      <c r="F208" s="30" t="str">
        <f>+IFERROR(VLOOKUP(C208,Sheet2!C:F,4,0),"")</f>
        <v/>
      </c>
      <c r="G208" t="str">
        <f>+IFERROR(VLOOKUP(F208,Sheet2!F:H,3,0),"")</f>
        <v/>
      </c>
      <c r="K208" s="28" t="str">
        <f>+'S3'!AC208</f>
        <v/>
      </c>
      <c r="L208" t="str">
        <f>IF('S3'!J208&lt;&gt;"",'S3'!J208,"")</f>
        <v/>
      </c>
      <c r="M208" t="str">
        <f>IF('S3'!K208&lt;&gt;"",'S3'!K208,"")</f>
        <v/>
      </c>
      <c r="N208">
        <f>+IFERROR(VLOOKUP(L208,Sheet3!A:C,3,0)," ")</f>
        <v>0</v>
      </c>
      <c r="Q208">
        <f>+'S3'!N208</f>
        <v>0</v>
      </c>
      <c r="R208" s="25">
        <f>+'S3'!T208</f>
        <v>0</v>
      </c>
      <c r="U208">
        <f t="shared" si="9"/>
        <v>0</v>
      </c>
      <c r="V208" s="12" t="str">
        <f>+'S3'!X208</f>
        <v/>
      </c>
      <c r="W208" s="34" t="str">
        <f>+'S3'!Y208</f>
        <v/>
      </c>
      <c r="Y208" s="12" t="str">
        <f t="shared" si="11"/>
        <v/>
      </c>
      <c r="Z208" s="27" t="str">
        <f t="shared" si="10"/>
        <v/>
      </c>
      <c r="AA208" s="22">
        <v>0</v>
      </c>
      <c r="AB208" s="26" t="str">
        <f>+'S3'!Z208</f>
        <v/>
      </c>
    </row>
    <row r="209" spans="3:28" x14ac:dyDescent="0.3">
      <c r="C209" t="str">
        <f>+'S3'!AB209</f>
        <v/>
      </c>
      <c r="D209" t="str">
        <f>+IFERROR(VLOOKUP(F209,Sheet2!F:G,2,0),"")</f>
        <v/>
      </c>
      <c r="E209" t="str">
        <f>+IFERROR(VLOOKUP(C209,'S3'!E:F,2,0),"")</f>
        <v/>
      </c>
      <c r="F209" s="30" t="str">
        <f>+IFERROR(VLOOKUP(C209,Sheet2!C:F,4,0),"")</f>
        <v/>
      </c>
      <c r="G209" t="str">
        <f>+IFERROR(VLOOKUP(F209,Sheet2!F:H,3,0),"")</f>
        <v/>
      </c>
      <c r="K209" s="28" t="str">
        <f>+'S3'!AC209</f>
        <v/>
      </c>
      <c r="L209" t="str">
        <f>IF('S3'!J209&lt;&gt;"",'S3'!J209,"")</f>
        <v/>
      </c>
      <c r="M209" t="str">
        <f>IF('S3'!K209&lt;&gt;"",'S3'!K209,"")</f>
        <v/>
      </c>
      <c r="N209">
        <f>+IFERROR(VLOOKUP(L209,Sheet3!A:C,3,0)," ")</f>
        <v>0</v>
      </c>
      <c r="Q209">
        <f>+'S3'!N209</f>
        <v>0</v>
      </c>
      <c r="R209" s="25">
        <f>+'S3'!T209</f>
        <v>0</v>
      </c>
      <c r="U209">
        <f t="shared" si="9"/>
        <v>0</v>
      </c>
      <c r="V209" s="12" t="str">
        <f>+'S3'!X209</f>
        <v/>
      </c>
      <c r="W209" s="34" t="str">
        <f>+'S3'!Y209</f>
        <v/>
      </c>
      <c r="Y209" s="12" t="str">
        <f t="shared" si="11"/>
        <v/>
      </c>
      <c r="Z209" s="27" t="str">
        <f t="shared" si="10"/>
        <v/>
      </c>
      <c r="AA209" s="22">
        <v>0</v>
      </c>
      <c r="AB209" s="26" t="str">
        <f>+'S3'!Z209</f>
        <v/>
      </c>
    </row>
    <row r="210" spans="3:28" x14ac:dyDescent="0.3">
      <c r="C210" t="str">
        <f>+'S3'!AB210</f>
        <v/>
      </c>
      <c r="D210" t="str">
        <f>+IFERROR(VLOOKUP(F210,Sheet2!F:G,2,0),"")</f>
        <v/>
      </c>
      <c r="E210" t="str">
        <f>+IFERROR(VLOOKUP(C210,'S3'!E:F,2,0),"")</f>
        <v/>
      </c>
      <c r="F210" s="30" t="str">
        <f>+IFERROR(VLOOKUP(C210,Sheet2!C:F,4,0),"")</f>
        <v/>
      </c>
      <c r="G210" t="str">
        <f>+IFERROR(VLOOKUP(F210,Sheet2!F:H,3,0),"")</f>
        <v/>
      </c>
      <c r="K210" s="28" t="str">
        <f>+'S3'!AC210</f>
        <v/>
      </c>
      <c r="L210" t="str">
        <f>IF('S3'!J210&lt;&gt;"",'S3'!J210,"")</f>
        <v/>
      </c>
      <c r="M210" t="str">
        <f>IF('S3'!K210&lt;&gt;"",'S3'!K210,"")</f>
        <v/>
      </c>
      <c r="N210">
        <f>+IFERROR(VLOOKUP(L210,Sheet3!A:C,3,0)," ")</f>
        <v>0</v>
      </c>
      <c r="Q210">
        <f>+'S3'!N210</f>
        <v>0</v>
      </c>
      <c r="R210" s="25">
        <f>+'S3'!T210</f>
        <v>0</v>
      </c>
      <c r="U210">
        <f t="shared" si="9"/>
        <v>0</v>
      </c>
      <c r="V210" s="12" t="str">
        <f>+'S3'!X210</f>
        <v/>
      </c>
      <c r="W210" s="34" t="str">
        <f>+'S3'!Y210</f>
        <v/>
      </c>
      <c r="Y210" s="12" t="str">
        <f t="shared" si="11"/>
        <v/>
      </c>
      <c r="Z210" s="27" t="str">
        <f t="shared" si="10"/>
        <v/>
      </c>
      <c r="AA210" s="22">
        <v>0</v>
      </c>
      <c r="AB210" s="26" t="str">
        <f>+'S3'!Z210</f>
        <v/>
      </c>
    </row>
    <row r="211" spans="3:28" x14ac:dyDescent="0.3">
      <c r="C211" t="str">
        <f>+'S3'!AB211</f>
        <v/>
      </c>
      <c r="D211" t="str">
        <f>+IFERROR(VLOOKUP(F211,Sheet2!F:G,2,0),"")</f>
        <v/>
      </c>
      <c r="E211" t="str">
        <f>+IFERROR(VLOOKUP(C211,'S3'!E:F,2,0),"")</f>
        <v/>
      </c>
      <c r="F211" s="30" t="str">
        <f>+IFERROR(VLOOKUP(C211,Sheet2!C:F,4,0),"")</f>
        <v/>
      </c>
      <c r="G211" t="str">
        <f>+IFERROR(VLOOKUP(F211,Sheet2!F:H,3,0),"")</f>
        <v/>
      </c>
      <c r="K211" s="28" t="str">
        <f>+'S3'!AC211</f>
        <v/>
      </c>
      <c r="L211" t="str">
        <f>IF('S3'!J211&lt;&gt;"",'S3'!J211,"")</f>
        <v/>
      </c>
      <c r="M211" t="str">
        <f>IF('S3'!K211&lt;&gt;"",'S3'!K211,"")</f>
        <v/>
      </c>
      <c r="N211">
        <f>+IFERROR(VLOOKUP(L211,Sheet3!A:C,3,0)," ")</f>
        <v>0</v>
      </c>
      <c r="Q211">
        <f>+'S3'!N211</f>
        <v>0</v>
      </c>
      <c r="R211" s="25">
        <f>+'S3'!T211</f>
        <v>0</v>
      </c>
      <c r="U211">
        <f t="shared" si="9"/>
        <v>0</v>
      </c>
      <c r="V211" s="12" t="str">
        <f>+'S3'!X211</f>
        <v/>
      </c>
      <c r="W211" s="34" t="str">
        <f>+'S3'!Y211</f>
        <v/>
      </c>
      <c r="Y211" s="12" t="str">
        <f t="shared" si="11"/>
        <v/>
      </c>
      <c r="Z211" s="27" t="str">
        <f t="shared" si="10"/>
        <v/>
      </c>
      <c r="AA211" s="22">
        <v>0</v>
      </c>
      <c r="AB211" s="26" t="str">
        <f>+'S3'!Z211</f>
        <v/>
      </c>
    </row>
    <row r="212" spans="3:28" x14ac:dyDescent="0.3">
      <c r="C212" t="str">
        <f>+'S3'!AB212</f>
        <v/>
      </c>
      <c r="D212" t="str">
        <f>+IFERROR(VLOOKUP(F212,Sheet2!F:G,2,0),"")</f>
        <v/>
      </c>
      <c r="E212" t="str">
        <f>+IFERROR(VLOOKUP(C212,'S3'!E:F,2,0),"")</f>
        <v/>
      </c>
      <c r="F212" s="30" t="str">
        <f>+IFERROR(VLOOKUP(C212,Sheet2!C:F,4,0),"")</f>
        <v/>
      </c>
      <c r="G212" t="str">
        <f>+IFERROR(VLOOKUP(F212,Sheet2!F:H,3,0),"")</f>
        <v/>
      </c>
      <c r="K212" s="28" t="str">
        <f>+'S3'!AC212</f>
        <v/>
      </c>
      <c r="L212" t="str">
        <f>IF('S3'!J212&lt;&gt;"",'S3'!J212,"")</f>
        <v/>
      </c>
      <c r="M212" t="str">
        <f>IF('S3'!K212&lt;&gt;"",'S3'!K212,"")</f>
        <v/>
      </c>
      <c r="N212">
        <f>+IFERROR(VLOOKUP(L212,Sheet3!A:C,3,0)," ")</f>
        <v>0</v>
      </c>
      <c r="Q212">
        <f>+'S3'!N212</f>
        <v>0</v>
      </c>
      <c r="R212" s="25">
        <f>+'S3'!T212</f>
        <v>0</v>
      </c>
      <c r="U212">
        <f t="shared" si="9"/>
        <v>0</v>
      </c>
      <c r="V212" s="12" t="str">
        <f>+'S3'!X212</f>
        <v/>
      </c>
      <c r="W212" s="34" t="str">
        <f>+'S3'!Y212</f>
        <v/>
      </c>
      <c r="Y212" s="12" t="str">
        <f t="shared" si="11"/>
        <v/>
      </c>
      <c r="Z212" s="27" t="str">
        <f t="shared" si="10"/>
        <v/>
      </c>
      <c r="AA212" s="22">
        <v>0</v>
      </c>
      <c r="AB212" s="26" t="str">
        <f>+'S3'!Z212</f>
        <v/>
      </c>
    </row>
    <row r="213" spans="3:28" x14ac:dyDescent="0.3">
      <c r="C213" t="str">
        <f>+'S3'!AB213</f>
        <v/>
      </c>
      <c r="D213" t="str">
        <f>+IFERROR(VLOOKUP(F213,Sheet2!F:G,2,0),"")</f>
        <v/>
      </c>
      <c r="E213" t="str">
        <f>+IFERROR(VLOOKUP(C213,'S3'!E:F,2,0),"")</f>
        <v/>
      </c>
      <c r="F213" s="30" t="str">
        <f>+IFERROR(VLOOKUP(C213,Sheet2!C:F,4,0),"")</f>
        <v/>
      </c>
      <c r="G213" t="str">
        <f>+IFERROR(VLOOKUP(F213,Sheet2!F:H,3,0),"")</f>
        <v/>
      </c>
      <c r="K213" s="28" t="str">
        <f>+'S3'!AC213</f>
        <v/>
      </c>
      <c r="L213" t="str">
        <f>IF('S3'!J213&lt;&gt;"",'S3'!J213,"")</f>
        <v/>
      </c>
      <c r="M213" t="str">
        <f>IF('S3'!K213&lt;&gt;"",'S3'!K213,"")</f>
        <v/>
      </c>
      <c r="N213">
        <f>+IFERROR(VLOOKUP(L213,Sheet3!A:C,3,0)," ")</f>
        <v>0</v>
      </c>
      <c r="Q213">
        <f>+'S3'!N213</f>
        <v>0</v>
      </c>
      <c r="R213" s="25">
        <f>+'S3'!T213</f>
        <v>0</v>
      </c>
      <c r="U213">
        <f t="shared" si="9"/>
        <v>0</v>
      </c>
      <c r="V213" s="12" t="str">
        <f>+'S3'!X213</f>
        <v/>
      </c>
      <c r="W213" s="34" t="str">
        <f>+'S3'!Y213</f>
        <v/>
      </c>
      <c r="Y213" s="12" t="str">
        <f t="shared" si="11"/>
        <v/>
      </c>
      <c r="Z213" s="27" t="str">
        <f t="shared" si="10"/>
        <v/>
      </c>
      <c r="AA213" s="22">
        <v>0</v>
      </c>
      <c r="AB213" s="26" t="str">
        <f>+'S3'!Z213</f>
        <v/>
      </c>
    </row>
    <row r="214" spans="3:28" x14ac:dyDescent="0.3">
      <c r="C214" t="str">
        <f>+'S3'!AB214</f>
        <v/>
      </c>
      <c r="D214" t="str">
        <f>+IFERROR(VLOOKUP(F214,Sheet2!F:G,2,0),"")</f>
        <v/>
      </c>
      <c r="E214" t="str">
        <f>+IFERROR(VLOOKUP(C214,'S3'!E:F,2,0),"")</f>
        <v/>
      </c>
      <c r="F214" s="30" t="str">
        <f>+IFERROR(VLOOKUP(C214,Sheet2!C:F,4,0),"")</f>
        <v/>
      </c>
      <c r="G214" t="str">
        <f>+IFERROR(VLOOKUP(F214,Sheet2!F:H,3,0),"")</f>
        <v/>
      </c>
      <c r="K214" s="28" t="str">
        <f>+'S3'!AC214</f>
        <v/>
      </c>
      <c r="L214" t="str">
        <f>IF('S3'!J214&lt;&gt;"",'S3'!J214,"")</f>
        <v/>
      </c>
      <c r="M214" t="str">
        <f>IF('S3'!K214&lt;&gt;"",'S3'!K214,"")</f>
        <v/>
      </c>
      <c r="N214">
        <f>+IFERROR(VLOOKUP(L214,Sheet3!A:C,3,0)," ")</f>
        <v>0</v>
      </c>
      <c r="Q214">
        <f>+'S3'!N214</f>
        <v>0</v>
      </c>
      <c r="R214" s="25">
        <f>+'S3'!T214</f>
        <v>0</v>
      </c>
      <c r="U214">
        <f t="shared" si="9"/>
        <v>0</v>
      </c>
      <c r="V214" s="12" t="str">
        <f>+'S3'!X214</f>
        <v/>
      </c>
      <c r="W214" s="34" t="str">
        <f>+'S3'!Y214</f>
        <v/>
      </c>
      <c r="Y214" s="12" t="str">
        <f t="shared" si="11"/>
        <v/>
      </c>
      <c r="Z214" s="27" t="str">
        <f t="shared" si="10"/>
        <v/>
      </c>
      <c r="AA214" s="22">
        <v>0</v>
      </c>
      <c r="AB214" s="26" t="str">
        <f>+'S3'!Z214</f>
        <v/>
      </c>
    </row>
    <row r="215" spans="3:28" x14ac:dyDescent="0.3">
      <c r="C215" t="str">
        <f>+'S3'!AB215</f>
        <v/>
      </c>
      <c r="D215" t="str">
        <f>+IFERROR(VLOOKUP(F215,Sheet2!F:G,2,0),"")</f>
        <v/>
      </c>
      <c r="E215" t="str">
        <f>+IFERROR(VLOOKUP(C215,'S3'!E:F,2,0),"")</f>
        <v/>
      </c>
      <c r="F215" s="30" t="str">
        <f>+IFERROR(VLOOKUP(C215,Sheet2!C:F,4,0),"")</f>
        <v/>
      </c>
      <c r="G215" t="str">
        <f>+IFERROR(VLOOKUP(F215,Sheet2!F:H,3,0),"")</f>
        <v/>
      </c>
      <c r="K215" s="28" t="str">
        <f>+'S3'!AC215</f>
        <v/>
      </c>
      <c r="L215" t="str">
        <f>IF('S3'!J215&lt;&gt;"",'S3'!J215,"")</f>
        <v/>
      </c>
      <c r="M215" t="str">
        <f>IF('S3'!K215&lt;&gt;"",'S3'!K215,"")</f>
        <v/>
      </c>
      <c r="N215">
        <f>+IFERROR(VLOOKUP(L215,Sheet3!A:C,3,0)," ")</f>
        <v>0</v>
      </c>
      <c r="Q215">
        <f>+'S3'!N215</f>
        <v>0</v>
      </c>
      <c r="R215" s="25">
        <f>+'S3'!T215</f>
        <v>0</v>
      </c>
      <c r="U215">
        <f t="shared" si="9"/>
        <v>0</v>
      </c>
      <c r="V215" s="12" t="str">
        <f>+'S3'!X215</f>
        <v/>
      </c>
      <c r="W215" s="34" t="str">
        <f>+'S3'!Y215</f>
        <v/>
      </c>
      <c r="Y215" s="12" t="str">
        <f t="shared" si="11"/>
        <v/>
      </c>
      <c r="Z215" s="27" t="str">
        <f t="shared" si="10"/>
        <v/>
      </c>
      <c r="AA215" s="22">
        <v>0</v>
      </c>
      <c r="AB215" s="26" t="str">
        <f>+'S3'!Z215</f>
        <v/>
      </c>
    </row>
    <row r="216" spans="3:28" x14ac:dyDescent="0.3">
      <c r="C216" t="str">
        <f>+'S3'!AB216</f>
        <v/>
      </c>
      <c r="D216" t="str">
        <f>+IFERROR(VLOOKUP(F216,Sheet2!F:G,2,0),"")</f>
        <v/>
      </c>
      <c r="E216" t="str">
        <f>+IFERROR(VLOOKUP(C216,'S3'!E:F,2,0),"")</f>
        <v/>
      </c>
      <c r="F216" s="30" t="str">
        <f>+IFERROR(VLOOKUP(C216,Sheet2!C:F,4,0),"")</f>
        <v/>
      </c>
      <c r="G216" t="str">
        <f>+IFERROR(VLOOKUP(F216,Sheet2!F:H,3,0),"")</f>
        <v/>
      </c>
      <c r="K216" s="28" t="str">
        <f>+'S3'!AC216</f>
        <v/>
      </c>
      <c r="L216" t="str">
        <f>IF('S3'!J216&lt;&gt;"",'S3'!J216,"")</f>
        <v/>
      </c>
      <c r="M216" t="str">
        <f>IF('S3'!K216&lt;&gt;"",'S3'!K216,"")</f>
        <v/>
      </c>
      <c r="N216">
        <f>+IFERROR(VLOOKUP(L216,Sheet3!A:C,3,0)," ")</f>
        <v>0</v>
      </c>
      <c r="Q216">
        <f>+'S3'!N216</f>
        <v>0</v>
      </c>
      <c r="R216" s="25">
        <f>+'S3'!T216</f>
        <v>0</v>
      </c>
      <c r="U216">
        <f t="shared" si="9"/>
        <v>0</v>
      </c>
      <c r="V216" s="12" t="str">
        <f>+'S3'!X216</f>
        <v/>
      </c>
      <c r="W216" s="34" t="str">
        <f>+'S3'!Y216</f>
        <v/>
      </c>
      <c r="Y216" s="12" t="str">
        <f t="shared" si="11"/>
        <v/>
      </c>
      <c r="Z216" s="27" t="str">
        <f t="shared" si="10"/>
        <v/>
      </c>
      <c r="AA216" s="22">
        <v>0</v>
      </c>
      <c r="AB216" s="26" t="str">
        <f>+'S3'!Z216</f>
        <v/>
      </c>
    </row>
    <row r="217" spans="3:28" x14ac:dyDescent="0.3">
      <c r="C217" t="str">
        <f>+'S3'!AB217</f>
        <v/>
      </c>
      <c r="D217" t="str">
        <f>+IFERROR(VLOOKUP(F217,Sheet2!F:G,2,0),"")</f>
        <v/>
      </c>
      <c r="E217" t="str">
        <f>+IFERROR(VLOOKUP(C217,'S3'!E:F,2,0),"")</f>
        <v/>
      </c>
      <c r="F217" s="30" t="str">
        <f>+IFERROR(VLOOKUP(C217,Sheet2!C:F,4,0),"")</f>
        <v/>
      </c>
      <c r="G217" t="str">
        <f>+IFERROR(VLOOKUP(F217,Sheet2!F:H,3,0),"")</f>
        <v/>
      </c>
      <c r="K217" s="28" t="str">
        <f>+'S3'!AC217</f>
        <v/>
      </c>
      <c r="L217" t="str">
        <f>IF('S3'!J217&lt;&gt;"",'S3'!J217,"")</f>
        <v/>
      </c>
      <c r="M217" t="str">
        <f>IF('S3'!K217&lt;&gt;"",'S3'!K217,"")</f>
        <v/>
      </c>
      <c r="N217">
        <f>+IFERROR(VLOOKUP(L217,Sheet3!A:C,3,0)," ")</f>
        <v>0</v>
      </c>
      <c r="Q217">
        <f>+'S3'!N217</f>
        <v>0</v>
      </c>
      <c r="R217" s="25">
        <f>+'S3'!T217</f>
        <v>0</v>
      </c>
      <c r="U217">
        <f t="shared" si="9"/>
        <v>0</v>
      </c>
      <c r="V217" s="12" t="str">
        <f>+'S3'!X217</f>
        <v/>
      </c>
      <c r="W217" s="34" t="str">
        <f>+'S3'!Y217</f>
        <v/>
      </c>
      <c r="Y217" s="12" t="str">
        <f t="shared" si="11"/>
        <v/>
      </c>
      <c r="Z217" s="27" t="str">
        <f t="shared" si="10"/>
        <v/>
      </c>
      <c r="AA217" s="22">
        <v>0</v>
      </c>
      <c r="AB217" s="26" t="str">
        <f>+'S3'!Z217</f>
        <v/>
      </c>
    </row>
    <row r="218" spans="3:28" x14ac:dyDescent="0.3">
      <c r="C218" t="str">
        <f>+'S3'!AB218</f>
        <v/>
      </c>
      <c r="D218" t="str">
        <f>+IFERROR(VLOOKUP(F218,Sheet2!F:G,2,0),"")</f>
        <v/>
      </c>
      <c r="E218" t="str">
        <f>+IFERROR(VLOOKUP(C218,'S3'!E:F,2,0),"")</f>
        <v/>
      </c>
      <c r="F218" s="30" t="str">
        <f>+IFERROR(VLOOKUP(C218,Sheet2!C:F,4,0),"")</f>
        <v/>
      </c>
      <c r="G218" t="str">
        <f>+IFERROR(VLOOKUP(F218,Sheet2!F:H,3,0),"")</f>
        <v/>
      </c>
      <c r="K218" s="28" t="str">
        <f>+'S3'!AC218</f>
        <v/>
      </c>
      <c r="L218" t="str">
        <f>IF('S3'!J218&lt;&gt;"",'S3'!J218,"")</f>
        <v/>
      </c>
      <c r="M218" t="str">
        <f>IF('S3'!K218&lt;&gt;"",'S3'!K218,"")</f>
        <v/>
      </c>
      <c r="N218">
        <f>+IFERROR(VLOOKUP(L218,Sheet3!A:C,3,0)," ")</f>
        <v>0</v>
      </c>
      <c r="Q218">
        <f>+'S3'!N218</f>
        <v>0</v>
      </c>
      <c r="R218" s="25">
        <f>+'S3'!T218</f>
        <v>0</v>
      </c>
      <c r="U218">
        <f t="shared" si="9"/>
        <v>0</v>
      </c>
      <c r="V218" s="12" t="str">
        <f>+'S3'!X218</f>
        <v/>
      </c>
      <c r="W218" s="34" t="str">
        <f>+'S3'!Y218</f>
        <v/>
      </c>
      <c r="Y218" s="12" t="str">
        <f t="shared" si="11"/>
        <v/>
      </c>
      <c r="Z218" s="27" t="str">
        <f t="shared" si="10"/>
        <v/>
      </c>
      <c r="AA218" s="22">
        <v>0</v>
      </c>
      <c r="AB218" s="26" t="str">
        <f>+'S3'!Z218</f>
        <v/>
      </c>
    </row>
    <row r="219" spans="3:28" x14ac:dyDescent="0.3">
      <c r="C219" t="str">
        <f>+'S3'!AB219</f>
        <v/>
      </c>
      <c r="D219" t="str">
        <f>+IFERROR(VLOOKUP(F219,Sheet2!F:G,2,0),"")</f>
        <v/>
      </c>
      <c r="E219" t="str">
        <f>+IFERROR(VLOOKUP(C219,'S3'!E:F,2,0),"")</f>
        <v/>
      </c>
      <c r="F219" s="30" t="str">
        <f>+IFERROR(VLOOKUP(C219,Sheet2!C:F,4,0),"")</f>
        <v/>
      </c>
      <c r="G219" t="str">
        <f>+IFERROR(VLOOKUP(F219,Sheet2!F:H,3,0),"")</f>
        <v/>
      </c>
      <c r="K219" s="28" t="str">
        <f>+'S3'!AC219</f>
        <v/>
      </c>
      <c r="L219" t="str">
        <f>IF('S3'!J219&lt;&gt;"",'S3'!J219,"")</f>
        <v/>
      </c>
      <c r="M219" t="str">
        <f>IF('S3'!K219&lt;&gt;"",'S3'!K219,"")</f>
        <v/>
      </c>
      <c r="N219">
        <f>+IFERROR(VLOOKUP(L219,Sheet3!A:C,3,0)," ")</f>
        <v>0</v>
      </c>
      <c r="Q219">
        <f>+'S3'!N219</f>
        <v>0</v>
      </c>
      <c r="R219" s="25">
        <f>+'S3'!T219</f>
        <v>0</v>
      </c>
      <c r="U219">
        <f t="shared" si="9"/>
        <v>0</v>
      </c>
      <c r="V219" s="12" t="str">
        <f>+'S3'!X219</f>
        <v/>
      </c>
      <c r="W219" s="34" t="str">
        <f>+'S3'!Y219</f>
        <v/>
      </c>
      <c r="Y219" s="12" t="str">
        <f t="shared" si="11"/>
        <v/>
      </c>
      <c r="Z219" s="27" t="str">
        <f t="shared" si="10"/>
        <v/>
      </c>
      <c r="AA219" s="22">
        <v>0</v>
      </c>
      <c r="AB219" s="26" t="str">
        <f>+'S3'!Z219</f>
        <v/>
      </c>
    </row>
    <row r="220" spans="3:28" x14ac:dyDescent="0.3">
      <c r="C220" t="str">
        <f>+'S3'!AB220</f>
        <v/>
      </c>
      <c r="D220" t="str">
        <f>+IFERROR(VLOOKUP(F220,Sheet2!F:G,2,0),"")</f>
        <v/>
      </c>
      <c r="E220" t="str">
        <f>+IFERROR(VLOOKUP(C220,'S3'!E:F,2,0),"")</f>
        <v/>
      </c>
      <c r="F220" s="30" t="str">
        <f>+IFERROR(VLOOKUP(C220,Sheet2!C:F,4,0),"")</f>
        <v/>
      </c>
      <c r="G220" t="str">
        <f>+IFERROR(VLOOKUP(F220,Sheet2!F:H,3,0),"")</f>
        <v/>
      </c>
      <c r="K220" s="28" t="str">
        <f>+'S3'!AC220</f>
        <v/>
      </c>
      <c r="L220" t="str">
        <f>IF('S3'!J220&lt;&gt;"",'S3'!J220,"")</f>
        <v/>
      </c>
      <c r="M220" t="str">
        <f>IF('S3'!K220&lt;&gt;"",'S3'!K220,"")</f>
        <v/>
      </c>
      <c r="N220">
        <f>+IFERROR(VLOOKUP(L220,Sheet3!A:C,3,0)," ")</f>
        <v>0</v>
      </c>
      <c r="Q220">
        <f>+'S3'!N220</f>
        <v>0</v>
      </c>
      <c r="R220" s="25">
        <f>+'S3'!T220</f>
        <v>0</v>
      </c>
      <c r="U220">
        <f t="shared" si="9"/>
        <v>0</v>
      </c>
      <c r="V220" s="12" t="str">
        <f>+'S3'!X220</f>
        <v/>
      </c>
      <c r="W220" s="34" t="str">
        <f>+'S3'!Y220</f>
        <v/>
      </c>
      <c r="Y220" s="12" t="str">
        <f t="shared" si="11"/>
        <v/>
      </c>
      <c r="Z220" s="27" t="str">
        <f t="shared" si="10"/>
        <v/>
      </c>
      <c r="AA220" s="22">
        <v>0</v>
      </c>
      <c r="AB220" s="26" t="str">
        <f>+'S3'!Z220</f>
        <v/>
      </c>
    </row>
    <row r="221" spans="3:28" x14ac:dyDescent="0.3">
      <c r="C221" t="str">
        <f>+'S3'!AB221</f>
        <v/>
      </c>
      <c r="D221" t="str">
        <f>+IFERROR(VLOOKUP(F221,Sheet2!F:G,2,0),"")</f>
        <v/>
      </c>
      <c r="E221" t="str">
        <f>+IFERROR(VLOOKUP(C221,'S3'!E:F,2,0),"")</f>
        <v/>
      </c>
      <c r="F221" s="30" t="str">
        <f>+IFERROR(VLOOKUP(C221,Sheet2!C:F,4,0),"")</f>
        <v/>
      </c>
      <c r="G221" t="str">
        <f>+IFERROR(VLOOKUP(F221,Sheet2!F:H,3,0),"")</f>
        <v/>
      </c>
      <c r="K221" s="28" t="str">
        <f>+'S3'!AC221</f>
        <v/>
      </c>
      <c r="L221" t="str">
        <f>IF('S3'!J221&lt;&gt;"",'S3'!J221,"")</f>
        <v/>
      </c>
      <c r="M221" t="str">
        <f>IF('S3'!K221&lt;&gt;"",'S3'!K221,"")</f>
        <v/>
      </c>
      <c r="N221">
        <f>+IFERROR(VLOOKUP(L221,Sheet3!A:C,3,0)," ")</f>
        <v>0</v>
      </c>
      <c r="Q221">
        <f>+'S3'!N221</f>
        <v>0</v>
      </c>
      <c r="R221" s="25">
        <f>+'S3'!T221</f>
        <v>0</v>
      </c>
      <c r="U221">
        <f t="shared" si="9"/>
        <v>0</v>
      </c>
      <c r="V221" s="12" t="str">
        <f>+'S3'!X221</f>
        <v/>
      </c>
      <c r="W221" s="34" t="str">
        <f>+'S3'!Y221</f>
        <v/>
      </c>
      <c r="Y221" s="12" t="str">
        <f t="shared" si="11"/>
        <v/>
      </c>
      <c r="Z221" s="27" t="str">
        <f t="shared" si="10"/>
        <v/>
      </c>
      <c r="AA221" s="22">
        <v>0</v>
      </c>
      <c r="AB221" s="26" t="str">
        <f>+'S3'!Z221</f>
        <v/>
      </c>
    </row>
    <row r="222" spans="3:28" x14ac:dyDescent="0.3">
      <c r="C222" t="str">
        <f>+'S3'!AB222</f>
        <v/>
      </c>
      <c r="D222" t="str">
        <f>+IFERROR(VLOOKUP(F222,Sheet2!F:G,2,0),"")</f>
        <v/>
      </c>
      <c r="E222" t="str">
        <f>+IFERROR(VLOOKUP(C222,'S3'!E:F,2,0),"")</f>
        <v/>
      </c>
      <c r="F222" s="30" t="str">
        <f>+IFERROR(VLOOKUP(C222,Sheet2!C:F,4,0),"")</f>
        <v/>
      </c>
      <c r="G222" t="str">
        <f>+IFERROR(VLOOKUP(F222,Sheet2!F:H,3,0),"")</f>
        <v/>
      </c>
      <c r="K222" s="28" t="str">
        <f>+'S3'!AC222</f>
        <v/>
      </c>
      <c r="L222" t="str">
        <f>IF('S3'!J222&lt;&gt;"",'S3'!J222,"")</f>
        <v/>
      </c>
      <c r="M222" t="str">
        <f>IF('S3'!K222&lt;&gt;"",'S3'!K222,"")</f>
        <v/>
      </c>
      <c r="N222">
        <f>+IFERROR(VLOOKUP(L222,Sheet3!A:C,3,0)," ")</f>
        <v>0</v>
      </c>
      <c r="Q222">
        <f>+'S3'!N222</f>
        <v>0</v>
      </c>
      <c r="R222" s="25">
        <f>+'S3'!T222</f>
        <v>0</v>
      </c>
      <c r="U222">
        <f t="shared" si="9"/>
        <v>0</v>
      </c>
      <c r="V222" s="12" t="str">
        <f>+'S3'!X222</f>
        <v/>
      </c>
      <c r="W222" s="34" t="str">
        <f>+'S3'!Y222</f>
        <v/>
      </c>
      <c r="Y222" s="12" t="str">
        <f t="shared" si="11"/>
        <v/>
      </c>
      <c r="Z222" s="27" t="str">
        <f t="shared" si="10"/>
        <v/>
      </c>
      <c r="AA222" s="22">
        <v>0</v>
      </c>
      <c r="AB222" s="26" t="str">
        <f>+'S3'!Z222</f>
        <v/>
      </c>
    </row>
    <row r="223" spans="3:28" x14ac:dyDescent="0.3">
      <c r="C223" t="str">
        <f>+'S3'!AB223</f>
        <v/>
      </c>
      <c r="D223" t="str">
        <f>+IFERROR(VLOOKUP(F223,Sheet2!F:G,2,0),"")</f>
        <v/>
      </c>
      <c r="E223" t="str">
        <f>+IFERROR(VLOOKUP(C223,'S3'!E:F,2,0),"")</f>
        <v/>
      </c>
      <c r="F223" s="30" t="str">
        <f>+IFERROR(VLOOKUP(C223,Sheet2!C:F,4,0),"")</f>
        <v/>
      </c>
      <c r="G223" t="str">
        <f>+IFERROR(VLOOKUP(F223,Sheet2!F:H,3,0),"")</f>
        <v/>
      </c>
      <c r="K223" s="28" t="str">
        <f>+'S3'!AC223</f>
        <v/>
      </c>
      <c r="L223" t="str">
        <f>IF('S3'!J223&lt;&gt;"",'S3'!J223,"")</f>
        <v/>
      </c>
      <c r="M223" t="str">
        <f>IF('S3'!K223&lt;&gt;"",'S3'!K223,"")</f>
        <v/>
      </c>
      <c r="N223">
        <f>+IFERROR(VLOOKUP(L223,Sheet3!A:C,3,0)," ")</f>
        <v>0</v>
      </c>
      <c r="Q223">
        <f>+'S3'!N223</f>
        <v>0</v>
      </c>
      <c r="R223" s="25">
        <f>+'S3'!T223</f>
        <v>0</v>
      </c>
      <c r="U223">
        <f t="shared" si="9"/>
        <v>0</v>
      </c>
      <c r="V223" s="12" t="str">
        <f>+'S3'!X223</f>
        <v/>
      </c>
      <c r="W223" s="34" t="str">
        <f>+'S3'!Y223</f>
        <v/>
      </c>
      <c r="Y223" s="12" t="str">
        <f t="shared" si="11"/>
        <v/>
      </c>
      <c r="Z223" s="27" t="str">
        <f t="shared" si="10"/>
        <v/>
      </c>
      <c r="AA223" s="22">
        <v>0</v>
      </c>
      <c r="AB223" s="26" t="str">
        <f>+'S3'!Z223</f>
        <v/>
      </c>
    </row>
    <row r="224" spans="3:28" x14ac:dyDescent="0.3">
      <c r="C224" t="str">
        <f>+'S3'!AB224</f>
        <v/>
      </c>
      <c r="D224" t="str">
        <f>+IFERROR(VLOOKUP(F224,Sheet2!F:G,2,0),"")</f>
        <v/>
      </c>
      <c r="E224" t="str">
        <f>+IFERROR(VLOOKUP(C224,'S3'!E:F,2,0),"")</f>
        <v/>
      </c>
      <c r="F224" s="30" t="str">
        <f>+IFERROR(VLOOKUP(C224,Sheet2!C:F,4,0),"")</f>
        <v/>
      </c>
      <c r="G224" t="str">
        <f>+IFERROR(VLOOKUP(F224,Sheet2!F:H,3,0),"")</f>
        <v/>
      </c>
      <c r="K224" s="28" t="str">
        <f>+'S3'!AC224</f>
        <v/>
      </c>
      <c r="L224" t="str">
        <f>IF('S3'!J224&lt;&gt;"",'S3'!J224,"")</f>
        <v/>
      </c>
      <c r="M224" t="str">
        <f>IF('S3'!K224&lt;&gt;"",'S3'!K224,"")</f>
        <v/>
      </c>
      <c r="N224">
        <f>+IFERROR(VLOOKUP(L224,Sheet3!A:C,3,0)," ")</f>
        <v>0</v>
      </c>
      <c r="Q224">
        <f>+'S3'!N224</f>
        <v>0</v>
      </c>
      <c r="R224" s="25">
        <f>+'S3'!T224</f>
        <v>0</v>
      </c>
      <c r="U224">
        <f t="shared" si="9"/>
        <v>0</v>
      </c>
      <c r="V224" s="12" t="str">
        <f>+'S3'!X224</f>
        <v/>
      </c>
      <c r="W224" s="34" t="str">
        <f>+'S3'!Y224</f>
        <v/>
      </c>
      <c r="Y224" s="12" t="str">
        <f t="shared" si="11"/>
        <v/>
      </c>
      <c r="Z224" s="27" t="str">
        <f t="shared" si="10"/>
        <v/>
      </c>
      <c r="AA224" s="22">
        <v>0</v>
      </c>
      <c r="AB224" s="26" t="str">
        <f>+'S3'!Z224</f>
        <v/>
      </c>
    </row>
    <row r="225" spans="3:28" x14ac:dyDescent="0.3">
      <c r="C225" t="str">
        <f>+'S3'!AB225</f>
        <v/>
      </c>
      <c r="D225" t="str">
        <f>+IFERROR(VLOOKUP(F225,Sheet2!F:G,2,0),"")</f>
        <v/>
      </c>
      <c r="E225" t="str">
        <f>+IFERROR(VLOOKUP(C225,'S3'!E:F,2,0),"")</f>
        <v/>
      </c>
      <c r="F225" s="30" t="str">
        <f>+IFERROR(VLOOKUP(C225,Sheet2!C:F,4,0),"")</f>
        <v/>
      </c>
      <c r="G225" t="str">
        <f>+IFERROR(VLOOKUP(F225,Sheet2!F:H,3,0),"")</f>
        <v/>
      </c>
      <c r="K225" s="28" t="str">
        <f>+'S3'!AC225</f>
        <v/>
      </c>
      <c r="L225" t="str">
        <f>IF('S3'!J225&lt;&gt;"",'S3'!J225,"")</f>
        <v/>
      </c>
      <c r="M225" t="str">
        <f>IF('S3'!K225&lt;&gt;"",'S3'!K225,"")</f>
        <v/>
      </c>
      <c r="N225">
        <f>+IFERROR(VLOOKUP(L225,Sheet3!A:C,3,0)," ")</f>
        <v>0</v>
      </c>
      <c r="Q225">
        <f>+'S3'!N225</f>
        <v>0</v>
      </c>
      <c r="R225" s="25">
        <f>+'S3'!T225</f>
        <v>0</v>
      </c>
      <c r="U225">
        <f t="shared" si="9"/>
        <v>0</v>
      </c>
      <c r="V225" s="12" t="str">
        <f>+'S3'!X225</f>
        <v/>
      </c>
      <c r="W225" s="34" t="str">
        <f>+'S3'!Y225</f>
        <v/>
      </c>
      <c r="Y225" s="12" t="str">
        <f t="shared" si="11"/>
        <v/>
      </c>
      <c r="Z225" s="27" t="str">
        <f t="shared" si="10"/>
        <v/>
      </c>
      <c r="AA225" s="22">
        <v>0</v>
      </c>
      <c r="AB225" s="26" t="str">
        <f>+'S3'!Z225</f>
        <v/>
      </c>
    </row>
    <row r="226" spans="3:28" x14ac:dyDescent="0.3">
      <c r="C226" t="str">
        <f>+'S3'!AB226</f>
        <v/>
      </c>
      <c r="D226" t="str">
        <f>+IFERROR(VLOOKUP(F226,Sheet2!F:G,2,0),"")</f>
        <v/>
      </c>
      <c r="E226" t="str">
        <f>+IFERROR(VLOOKUP(C226,'S3'!E:F,2,0),"")</f>
        <v/>
      </c>
      <c r="F226" s="30" t="str">
        <f>+IFERROR(VLOOKUP(C226,Sheet2!C:F,4,0),"")</f>
        <v/>
      </c>
      <c r="G226" t="str">
        <f>+IFERROR(VLOOKUP(F226,Sheet2!F:H,3,0),"")</f>
        <v/>
      </c>
      <c r="K226" s="28" t="str">
        <f>+'S3'!AC226</f>
        <v/>
      </c>
      <c r="L226" t="str">
        <f>IF('S3'!J226&lt;&gt;"",'S3'!J226,"")</f>
        <v/>
      </c>
      <c r="M226" t="str">
        <f>IF('S3'!K226&lt;&gt;"",'S3'!K226,"")</f>
        <v/>
      </c>
      <c r="N226">
        <f>+IFERROR(VLOOKUP(L226,Sheet3!A:C,3,0)," ")</f>
        <v>0</v>
      </c>
      <c r="Q226">
        <f>+'S3'!N226</f>
        <v>0</v>
      </c>
      <c r="R226" s="25">
        <f>+'S3'!T226</f>
        <v>0</v>
      </c>
      <c r="U226">
        <f t="shared" si="9"/>
        <v>0</v>
      </c>
      <c r="V226" s="12" t="str">
        <f>+'S3'!X226</f>
        <v/>
      </c>
      <c r="W226" s="34" t="str">
        <f>+'S3'!Y226</f>
        <v/>
      </c>
      <c r="Y226" s="12" t="str">
        <f t="shared" si="11"/>
        <v/>
      </c>
      <c r="Z226" s="27" t="str">
        <f t="shared" si="10"/>
        <v/>
      </c>
      <c r="AA226" s="22">
        <v>0</v>
      </c>
      <c r="AB226" s="26" t="str">
        <f>+'S3'!Z226</f>
        <v/>
      </c>
    </row>
    <row r="227" spans="3:28" x14ac:dyDescent="0.3">
      <c r="C227" t="str">
        <f>+'S3'!AB227</f>
        <v/>
      </c>
      <c r="D227" t="str">
        <f>+IFERROR(VLOOKUP(F227,Sheet2!F:G,2,0),"")</f>
        <v/>
      </c>
      <c r="E227" t="str">
        <f>+IFERROR(VLOOKUP(C227,'S3'!E:F,2,0),"")</f>
        <v/>
      </c>
      <c r="F227" s="30" t="str">
        <f>+IFERROR(VLOOKUP(C227,Sheet2!C:F,4,0),"")</f>
        <v/>
      </c>
      <c r="G227" t="str">
        <f>+IFERROR(VLOOKUP(F227,Sheet2!F:H,3,0),"")</f>
        <v/>
      </c>
      <c r="K227" s="28" t="str">
        <f>+'S3'!AC227</f>
        <v/>
      </c>
      <c r="L227" t="str">
        <f>IF('S3'!J227&lt;&gt;"",'S3'!J227,"")</f>
        <v/>
      </c>
      <c r="M227" t="str">
        <f>IF('S3'!K227&lt;&gt;"",'S3'!K227,"")</f>
        <v/>
      </c>
      <c r="N227">
        <f>+IFERROR(VLOOKUP(L227,Sheet3!A:C,3,0)," ")</f>
        <v>0</v>
      </c>
      <c r="Q227">
        <f>+'S3'!N227</f>
        <v>0</v>
      </c>
      <c r="R227" s="25">
        <f>+'S3'!T227</f>
        <v>0</v>
      </c>
      <c r="U227">
        <f t="shared" si="9"/>
        <v>0</v>
      </c>
      <c r="V227" s="12" t="str">
        <f>+'S3'!X227</f>
        <v/>
      </c>
      <c r="W227" s="34" t="str">
        <f>+'S3'!Y227</f>
        <v/>
      </c>
      <c r="Y227" s="12" t="str">
        <f t="shared" si="11"/>
        <v/>
      </c>
      <c r="Z227" s="27" t="str">
        <f t="shared" si="10"/>
        <v/>
      </c>
      <c r="AA227" s="22">
        <v>0</v>
      </c>
      <c r="AB227" s="26" t="str">
        <f>+'S3'!Z227</f>
        <v/>
      </c>
    </row>
    <row r="228" spans="3:28" x14ac:dyDescent="0.3">
      <c r="C228" t="str">
        <f>+'S3'!AB228</f>
        <v/>
      </c>
      <c r="D228" t="str">
        <f>+IFERROR(VLOOKUP(F228,Sheet2!F:G,2,0),"")</f>
        <v/>
      </c>
      <c r="E228" t="str">
        <f>+IFERROR(VLOOKUP(C228,'S3'!E:F,2,0),"")</f>
        <v/>
      </c>
      <c r="F228" s="30" t="str">
        <f>+IFERROR(VLOOKUP(C228,Sheet2!C:F,4,0),"")</f>
        <v/>
      </c>
      <c r="G228" t="str">
        <f>+IFERROR(VLOOKUP(F228,Sheet2!F:H,3,0),"")</f>
        <v/>
      </c>
      <c r="K228" s="28" t="str">
        <f>+'S3'!AC228</f>
        <v/>
      </c>
      <c r="L228" t="str">
        <f>IF('S3'!J228&lt;&gt;"",'S3'!J228,"")</f>
        <v/>
      </c>
      <c r="M228" t="str">
        <f>IF('S3'!K228&lt;&gt;"",'S3'!K228,"")</f>
        <v/>
      </c>
      <c r="N228">
        <f>+IFERROR(VLOOKUP(L228,Sheet3!A:C,3,0)," ")</f>
        <v>0</v>
      </c>
      <c r="Q228">
        <f>+'S3'!N228</f>
        <v>0</v>
      </c>
      <c r="R228" s="25">
        <f>+'S3'!T228</f>
        <v>0</v>
      </c>
      <c r="U228">
        <f t="shared" si="9"/>
        <v>0</v>
      </c>
      <c r="V228" s="12" t="str">
        <f>+'S3'!X228</f>
        <v/>
      </c>
      <c r="W228" s="34" t="str">
        <f>+'S3'!Y228</f>
        <v/>
      </c>
      <c r="Y228" s="12" t="str">
        <f t="shared" si="11"/>
        <v/>
      </c>
      <c r="Z228" s="27" t="str">
        <f t="shared" si="10"/>
        <v/>
      </c>
      <c r="AA228" s="22">
        <v>0</v>
      </c>
      <c r="AB228" s="26" t="str">
        <f>+'S3'!Z228</f>
        <v/>
      </c>
    </row>
    <row r="229" spans="3:28" x14ac:dyDescent="0.3">
      <c r="C229" t="str">
        <f>+'S3'!AB229</f>
        <v/>
      </c>
      <c r="D229" t="str">
        <f>+IFERROR(VLOOKUP(F229,Sheet2!F:G,2,0),"")</f>
        <v/>
      </c>
      <c r="E229" t="str">
        <f>+IFERROR(VLOOKUP(C229,'S3'!E:F,2,0),"")</f>
        <v/>
      </c>
      <c r="F229" s="30" t="str">
        <f>+IFERROR(VLOOKUP(C229,Sheet2!C:F,4,0),"")</f>
        <v/>
      </c>
      <c r="G229" t="str">
        <f>+IFERROR(VLOOKUP(F229,Sheet2!F:H,3,0),"")</f>
        <v/>
      </c>
      <c r="K229" s="28" t="str">
        <f>+'S3'!AC229</f>
        <v/>
      </c>
      <c r="L229" t="str">
        <f>IF('S3'!J229&lt;&gt;"",'S3'!J229,"")</f>
        <v/>
      </c>
      <c r="M229" t="str">
        <f>IF('S3'!K229&lt;&gt;"",'S3'!K229,"")</f>
        <v/>
      </c>
      <c r="N229">
        <f>+IFERROR(VLOOKUP(L229,Sheet3!A:C,3,0)," ")</f>
        <v>0</v>
      </c>
      <c r="Q229">
        <f>+'S3'!N229</f>
        <v>0</v>
      </c>
      <c r="R229" s="25">
        <f>+'S3'!T229</f>
        <v>0</v>
      </c>
      <c r="U229">
        <f t="shared" si="9"/>
        <v>0</v>
      </c>
      <c r="V229" s="12" t="str">
        <f>+'S3'!X229</f>
        <v/>
      </c>
      <c r="W229" s="34" t="str">
        <f>+'S3'!Y229</f>
        <v/>
      </c>
      <c r="Y229" s="12" t="str">
        <f t="shared" si="11"/>
        <v/>
      </c>
      <c r="Z229" s="27" t="str">
        <f t="shared" si="10"/>
        <v/>
      </c>
      <c r="AA229" s="22">
        <v>0</v>
      </c>
      <c r="AB229" s="26" t="str">
        <f>+'S3'!Z229</f>
        <v/>
      </c>
    </row>
    <row r="230" spans="3:28" x14ac:dyDescent="0.3">
      <c r="C230" t="str">
        <f>+'S3'!AB230</f>
        <v/>
      </c>
      <c r="D230" t="str">
        <f>+IFERROR(VLOOKUP(F230,Sheet2!F:G,2,0),"")</f>
        <v/>
      </c>
      <c r="E230" t="str">
        <f>+IFERROR(VLOOKUP(C230,'S3'!E:F,2,0),"")</f>
        <v/>
      </c>
      <c r="F230" s="30" t="str">
        <f>+IFERROR(VLOOKUP(C230,Sheet2!C:F,4,0),"")</f>
        <v/>
      </c>
      <c r="G230" t="str">
        <f>+IFERROR(VLOOKUP(F230,Sheet2!F:H,3,0),"")</f>
        <v/>
      </c>
      <c r="K230" s="28" t="str">
        <f>+'S3'!AC230</f>
        <v/>
      </c>
      <c r="L230" t="str">
        <f>IF('S3'!J230&lt;&gt;"",'S3'!J230,"")</f>
        <v/>
      </c>
      <c r="M230" t="str">
        <f>IF('S3'!K230&lt;&gt;"",'S3'!K230,"")</f>
        <v/>
      </c>
      <c r="N230">
        <f>+IFERROR(VLOOKUP(L230,Sheet3!A:C,3,0)," ")</f>
        <v>0</v>
      </c>
      <c r="Q230">
        <f>+'S3'!N230</f>
        <v>0</v>
      </c>
      <c r="R230" s="25">
        <f>+'S3'!T230</f>
        <v>0</v>
      </c>
      <c r="U230">
        <f t="shared" si="9"/>
        <v>0</v>
      </c>
      <c r="V230" s="12" t="str">
        <f>+'S3'!X230</f>
        <v/>
      </c>
      <c r="W230" s="34" t="str">
        <f>+'S3'!Y230</f>
        <v/>
      </c>
      <c r="Y230" s="12" t="str">
        <f t="shared" si="11"/>
        <v/>
      </c>
      <c r="Z230" s="27" t="str">
        <f t="shared" si="10"/>
        <v/>
      </c>
      <c r="AA230" s="22">
        <v>0</v>
      </c>
      <c r="AB230" s="26" t="str">
        <f>+'S3'!Z230</f>
        <v/>
      </c>
    </row>
    <row r="231" spans="3:28" x14ac:dyDescent="0.3">
      <c r="C231" t="str">
        <f>+'S3'!AB231</f>
        <v/>
      </c>
      <c r="D231" t="str">
        <f>+IFERROR(VLOOKUP(F231,Sheet2!F:G,2,0),"")</f>
        <v/>
      </c>
      <c r="E231" t="str">
        <f>+IFERROR(VLOOKUP(C231,'S3'!E:F,2,0),"")</f>
        <v/>
      </c>
      <c r="F231" s="30" t="str">
        <f>+IFERROR(VLOOKUP(C231,Sheet2!C:F,4,0),"")</f>
        <v/>
      </c>
      <c r="G231" t="str">
        <f>+IFERROR(VLOOKUP(F231,Sheet2!F:H,3,0),"")</f>
        <v/>
      </c>
      <c r="K231" s="28" t="str">
        <f>+'S3'!AC231</f>
        <v/>
      </c>
      <c r="L231" t="str">
        <f>IF('S3'!J231&lt;&gt;"",'S3'!J231,"")</f>
        <v/>
      </c>
      <c r="M231" t="str">
        <f>IF('S3'!K231&lt;&gt;"",'S3'!K231,"")</f>
        <v/>
      </c>
      <c r="N231">
        <f>+IFERROR(VLOOKUP(L231,Sheet3!A:C,3,0)," ")</f>
        <v>0</v>
      </c>
      <c r="Q231">
        <f>+'S3'!N231</f>
        <v>0</v>
      </c>
      <c r="R231" s="25">
        <f>+'S3'!T231</f>
        <v>0</v>
      </c>
      <c r="U231">
        <f t="shared" si="9"/>
        <v>0</v>
      </c>
      <c r="V231" s="12" t="str">
        <f>+'S3'!X231</f>
        <v/>
      </c>
      <c r="W231" s="34" t="str">
        <f>+'S3'!Y231</f>
        <v/>
      </c>
      <c r="Y231" s="12" t="str">
        <f t="shared" si="11"/>
        <v/>
      </c>
      <c r="Z231" s="27" t="str">
        <f t="shared" si="10"/>
        <v/>
      </c>
      <c r="AA231" s="22">
        <v>0</v>
      </c>
      <c r="AB231" s="26" t="str">
        <f>+'S3'!Z231</f>
        <v/>
      </c>
    </row>
    <row r="232" spans="3:28" x14ac:dyDescent="0.3">
      <c r="C232" t="str">
        <f>+'S3'!AB232</f>
        <v/>
      </c>
      <c r="D232" t="str">
        <f>+IFERROR(VLOOKUP(F232,Sheet2!F:G,2,0),"")</f>
        <v/>
      </c>
      <c r="E232" t="str">
        <f>+IFERROR(VLOOKUP(C232,'S3'!E:F,2,0),"")</f>
        <v/>
      </c>
      <c r="F232" s="30" t="str">
        <f>+IFERROR(VLOOKUP(C232,Sheet2!C:F,4,0),"")</f>
        <v/>
      </c>
      <c r="G232" t="str">
        <f>+IFERROR(VLOOKUP(F232,Sheet2!F:H,3,0),"")</f>
        <v/>
      </c>
      <c r="K232" s="28" t="str">
        <f>+'S3'!AC232</f>
        <v/>
      </c>
      <c r="L232" t="str">
        <f>IF('S3'!J232&lt;&gt;"",'S3'!J232,"")</f>
        <v/>
      </c>
      <c r="M232" t="str">
        <f>IF('S3'!K232&lt;&gt;"",'S3'!K232,"")</f>
        <v/>
      </c>
      <c r="N232">
        <f>+IFERROR(VLOOKUP(L232,Sheet3!A:C,3,0)," ")</f>
        <v>0</v>
      </c>
      <c r="Q232">
        <f>+'S3'!N232</f>
        <v>0</v>
      </c>
      <c r="R232" s="25">
        <f>+'S3'!T232</f>
        <v>0</v>
      </c>
      <c r="U232">
        <f t="shared" si="9"/>
        <v>0</v>
      </c>
      <c r="V232" s="12" t="str">
        <f>+'S3'!X232</f>
        <v/>
      </c>
      <c r="W232" s="34" t="str">
        <f>+'S3'!Y232</f>
        <v/>
      </c>
      <c r="Y232" s="12" t="str">
        <f t="shared" si="11"/>
        <v/>
      </c>
      <c r="Z232" s="27" t="str">
        <f t="shared" si="10"/>
        <v/>
      </c>
      <c r="AA232" s="22">
        <v>0</v>
      </c>
      <c r="AB232" s="26" t="str">
        <f>+'S3'!Z232</f>
        <v/>
      </c>
    </row>
    <row r="233" spans="3:28" x14ac:dyDescent="0.3">
      <c r="C233" t="str">
        <f>+'S3'!AB233</f>
        <v/>
      </c>
      <c r="D233" t="str">
        <f>+IFERROR(VLOOKUP(F233,Sheet2!F:G,2,0),"")</f>
        <v/>
      </c>
      <c r="E233" t="str">
        <f>+IFERROR(VLOOKUP(C233,'S3'!E:F,2,0),"")</f>
        <v/>
      </c>
      <c r="F233" s="30" t="str">
        <f>+IFERROR(VLOOKUP(C233,Sheet2!C:F,4,0),"")</f>
        <v/>
      </c>
      <c r="G233" t="str">
        <f>+IFERROR(VLOOKUP(F233,Sheet2!F:H,3,0),"")</f>
        <v/>
      </c>
      <c r="K233" s="28" t="str">
        <f>+'S3'!AC233</f>
        <v/>
      </c>
      <c r="L233" t="str">
        <f>IF('S3'!J233&lt;&gt;"",'S3'!J233,"")</f>
        <v/>
      </c>
      <c r="M233" t="str">
        <f>IF('S3'!K233&lt;&gt;"",'S3'!K233,"")</f>
        <v/>
      </c>
      <c r="N233">
        <f>+IFERROR(VLOOKUP(L233,Sheet3!A:C,3,0)," ")</f>
        <v>0</v>
      </c>
      <c r="Q233">
        <f>+'S3'!N233</f>
        <v>0</v>
      </c>
      <c r="R233" s="25">
        <f>+'S3'!T233</f>
        <v>0</v>
      </c>
      <c r="U233">
        <f t="shared" si="9"/>
        <v>0</v>
      </c>
      <c r="V233" s="12" t="str">
        <f>+'S3'!X233</f>
        <v/>
      </c>
      <c r="W233" s="34" t="str">
        <f>+'S3'!Y233</f>
        <v/>
      </c>
      <c r="Y233" s="12" t="str">
        <f t="shared" si="11"/>
        <v/>
      </c>
      <c r="Z233" s="27" t="str">
        <f t="shared" si="10"/>
        <v/>
      </c>
      <c r="AA233" s="22">
        <v>0</v>
      </c>
      <c r="AB233" s="26" t="str">
        <f>+'S3'!Z233</f>
        <v/>
      </c>
    </row>
    <row r="234" spans="3:28" x14ac:dyDescent="0.3">
      <c r="C234" t="str">
        <f>+'S3'!AB234</f>
        <v/>
      </c>
      <c r="D234" t="str">
        <f>+IFERROR(VLOOKUP(F234,Sheet2!F:G,2,0),"")</f>
        <v/>
      </c>
      <c r="E234" t="str">
        <f>+IFERROR(VLOOKUP(C234,'S3'!E:F,2,0),"")</f>
        <v/>
      </c>
      <c r="F234" s="30" t="str">
        <f>+IFERROR(VLOOKUP(C234,Sheet2!C:F,4,0),"")</f>
        <v/>
      </c>
      <c r="G234" t="str">
        <f>+IFERROR(VLOOKUP(F234,Sheet2!F:H,3,0),"")</f>
        <v/>
      </c>
      <c r="K234" s="28" t="str">
        <f>+'S3'!AC234</f>
        <v/>
      </c>
      <c r="L234" t="str">
        <f>IF('S3'!J234&lt;&gt;"",'S3'!J234,"")</f>
        <v/>
      </c>
      <c r="M234" t="str">
        <f>IF('S3'!K234&lt;&gt;"",'S3'!K234,"")</f>
        <v/>
      </c>
      <c r="N234">
        <f>+IFERROR(VLOOKUP(L234,Sheet3!A:C,3,0)," ")</f>
        <v>0</v>
      </c>
      <c r="Q234">
        <f>+'S3'!N234</f>
        <v>0</v>
      </c>
      <c r="R234" s="25">
        <f>+'S3'!T234</f>
        <v>0</v>
      </c>
      <c r="U234">
        <f t="shared" si="9"/>
        <v>0</v>
      </c>
      <c r="V234" s="12" t="str">
        <f>+'S3'!X234</f>
        <v/>
      </c>
      <c r="W234" s="34" t="str">
        <f>+'S3'!Y234</f>
        <v/>
      </c>
      <c r="Y234" s="12" t="str">
        <f t="shared" si="11"/>
        <v/>
      </c>
      <c r="Z234" s="27" t="str">
        <f t="shared" si="10"/>
        <v/>
      </c>
      <c r="AA234" s="22">
        <v>0</v>
      </c>
      <c r="AB234" s="26" t="str">
        <f>+'S3'!Z234</f>
        <v/>
      </c>
    </row>
    <row r="235" spans="3:28" x14ac:dyDescent="0.3">
      <c r="C235" t="str">
        <f>+'S3'!AB235</f>
        <v/>
      </c>
      <c r="D235" t="str">
        <f>+IFERROR(VLOOKUP(F235,Sheet2!F:G,2,0),"")</f>
        <v/>
      </c>
      <c r="E235" t="str">
        <f>+IFERROR(VLOOKUP(C235,'S3'!E:F,2,0),"")</f>
        <v/>
      </c>
      <c r="F235" s="30" t="str">
        <f>+IFERROR(VLOOKUP(C235,Sheet2!C:F,4,0),"")</f>
        <v/>
      </c>
      <c r="G235" t="str">
        <f>+IFERROR(VLOOKUP(F235,Sheet2!F:H,3,0),"")</f>
        <v/>
      </c>
      <c r="K235" s="28" t="str">
        <f>+'S3'!AC235</f>
        <v/>
      </c>
      <c r="L235" t="str">
        <f>IF('S3'!J235&lt;&gt;"",'S3'!J235,"")</f>
        <v/>
      </c>
      <c r="M235" t="str">
        <f>IF('S3'!K235&lt;&gt;"",'S3'!K235,"")</f>
        <v/>
      </c>
      <c r="N235">
        <f>+IFERROR(VLOOKUP(L235,Sheet3!A:C,3,0)," ")</f>
        <v>0</v>
      </c>
      <c r="Q235">
        <f>+'S3'!N235</f>
        <v>0</v>
      </c>
      <c r="R235" s="25">
        <f>+'S3'!T235</f>
        <v>0</v>
      </c>
      <c r="U235">
        <f t="shared" si="9"/>
        <v>0</v>
      </c>
      <c r="V235" s="12" t="str">
        <f>+'S3'!X235</f>
        <v/>
      </c>
      <c r="W235" s="34" t="str">
        <f>+'S3'!Y235</f>
        <v/>
      </c>
      <c r="Y235" s="12" t="str">
        <f t="shared" si="11"/>
        <v/>
      </c>
      <c r="Z235" s="27" t="str">
        <f t="shared" si="10"/>
        <v/>
      </c>
      <c r="AA235" s="22">
        <v>0</v>
      </c>
      <c r="AB235" s="26" t="str">
        <f>+'S3'!Z235</f>
        <v/>
      </c>
    </row>
    <row r="236" spans="3:28" x14ac:dyDescent="0.3">
      <c r="C236" t="str">
        <f>+'S3'!AB236</f>
        <v/>
      </c>
      <c r="D236" t="str">
        <f>+IFERROR(VLOOKUP(F236,Sheet2!F:G,2,0),"")</f>
        <v/>
      </c>
      <c r="E236" t="str">
        <f>+IFERROR(VLOOKUP(C236,'S3'!E:F,2,0),"")</f>
        <v/>
      </c>
      <c r="F236" s="30" t="str">
        <f>+IFERROR(VLOOKUP(C236,Sheet2!C:F,4,0),"")</f>
        <v/>
      </c>
      <c r="G236" t="str">
        <f>+IFERROR(VLOOKUP(F236,Sheet2!F:H,3,0),"")</f>
        <v/>
      </c>
      <c r="K236" s="28" t="str">
        <f>+'S3'!AC236</f>
        <v/>
      </c>
      <c r="L236" t="str">
        <f>IF('S3'!J236&lt;&gt;"",'S3'!J236,"")</f>
        <v/>
      </c>
      <c r="M236" t="str">
        <f>IF('S3'!K236&lt;&gt;"",'S3'!K236,"")</f>
        <v/>
      </c>
      <c r="N236">
        <f>+IFERROR(VLOOKUP(L236,Sheet3!A:C,3,0)," ")</f>
        <v>0</v>
      </c>
      <c r="Q236">
        <f>+'S3'!N236</f>
        <v>0</v>
      </c>
      <c r="R236" s="25">
        <f>+'S3'!T236</f>
        <v>0</v>
      </c>
      <c r="U236">
        <f t="shared" si="9"/>
        <v>0</v>
      </c>
      <c r="V236" s="12" t="str">
        <f>+'S3'!X236</f>
        <v/>
      </c>
      <c r="W236" s="34" t="str">
        <f>+'S3'!Y236</f>
        <v/>
      </c>
      <c r="Y236" s="12" t="str">
        <f t="shared" si="11"/>
        <v/>
      </c>
      <c r="Z236" s="27" t="str">
        <f t="shared" si="10"/>
        <v/>
      </c>
      <c r="AA236" s="22">
        <v>0</v>
      </c>
      <c r="AB236" s="26" t="str">
        <f>+'S3'!Z236</f>
        <v/>
      </c>
    </row>
    <row r="237" spans="3:28" x14ac:dyDescent="0.3">
      <c r="C237" t="str">
        <f>+'S3'!AB237</f>
        <v/>
      </c>
      <c r="D237" t="str">
        <f>+IFERROR(VLOOKUP(F237,Sheet2!F:G,2,0),"")</f>
        <v/>
      </c>
      <c r="E237" t="str">
        <f>+IFERROR(VLOOKUP(C237,'S3'!E:F,2,0),"")</f>
        <v/>
      </c>
      <c r="F237" s="30" t="str">
        <f>+IFERROR(VLOOKUP(C237,Sheet2!C:F,4,0),"")</f>
        <v/>
      </c>
      <c r="G237" t="str">
        <f>+IFERROR(VLOOKUP(F237,Sheet2!F:H,3,0),"")</f>
        <v/>
      </c>
      <c r="K237" s="28" t="str">
        <f>+'S3'!AC237</f>
        <v/>
      </c>
      <c r="L237" t="str">
        <f>IF('S3'!J237&lt;&gt;"",'S3'!J237,"")</f>
        <v/>
      </c>
      <c r="M237" t="str">
        <f>IF('S3'!K237&lt;&gt;"",'S3'!K237,"")</f>
        <v/>
      </c>
      <c r="N237">
        <f>+IFERROR(VLOOKUP(L237,Sheet3!A:C,3,0)," ")</f>
        <v>0</v>
      </c>
      <c r="Q237">
        <f>+'S3'!N237</f>
        <v>0</v>
      </c>
      <c r="R237" s="25">
        <f>+'S3'!T237</f>
        <v>0</v>
      </c>
      <c r="U237">
        <f t="shared" si="9"/>
        <v>0</v>
      </c>
      <c r="V237" s="12" t="str">
        <f>+'S3'!X237</f>
        <v/>
      </c>
      <c r="W237" s="34" t="str">
        <f>+'S3'!Y237</f>
        <v/>
      </c>
      <c r="Y237" s="12" t="str">
        <f t="shared" si="11"/>
        <v/>
      </c>
      <c r="Z237" s="27" t="str">
        <f t="shared" si="10"/>
        <v/>
      </c>
      <c r="AA237" s="22">
        <v>0</v>
      </c>
      <c r="AB237" s="26" t="str">
        <f>+'S3'!Z237</f>
        <v/>
      </c>
    </row>
    <row r="238" spans="3:28" x14ac:dyDescent="0.3">
      <c r="C238" t="str">
        <f>+'S3'!AB238</f>
        <v/>
      </c>
      <c r="D238" t="str">
        <f>+IFERROR(VLOOKUP(F238,Sheet2!F:G,2,0),"")</f>
        <v/>
      </c>
      <c r="E238" t="str">
        <f>+IFERROR(VLOOKUP(C238,'S3'!E:F,2,0),"")</f>
        <v/>
      </c>
      <c r="F238" s="30" t="str">
        <f>+IFERROR(VLOOKUP(C238,Sheet2!C:F,4,0),"")</f>
        <v/>
      </c>
      <c r="G238" t="str">
        <f>+IFERROR(VLOOKUP(F238,Sheet2!F:H,3,0),"")</f>
        <v/>
      </c>
      <c r="K238" s="28" t="str">
        <f>+'S3'!AC238</f>
        <v/>
      </c>
      <c r="L238" t="str">
        <f>IF('S3'!J238&lt;&gt;"",'S3'!J238,"")</f>
        <v/>
      </c>
      <c r="M238" t="str">
        <f>IF('S3'!K238&lt;&gt;"",'S3'!K238,"")</f>
        <v/>
      </c>
      <c r="N238">
        <f>+IFERROR(VLOOKUP(L238,Sheet3!A:C,3,0)," ")</f>
        <v>0</v>
      </c>
      <c r="Q238">
        <f>+'S3'!N238</f>
        <v>0</v>
      </c>
      <c r="R238" s="25">
        <f>+'S3'!T238</f>
        <v>0</v>
      </c>
      <c r="U238">
        <f t="shared" si="9"/>
        <v>0</v>
      </c>
      <c r="V238" s="12" t="str">
        <f>+'S3'!X238</f>
        <v/>
      </c>
      <c r="W238" s="34" t="str">
        <f>+'S3'!Y238</f>
        <v/>
      </c>
      <c r="Y238" s="12" t="str">
        <f t="shared" si="11"/>
        <v/>
      </c>
      <c r="Z238" s="27" t="str">
        <f t="shared" si="10"/>
        <v/>
      </c>
      <c r="AA238" s="22">
        <v>0</v>
      </c>
      <c r="AB238" s="26" t="str">
        <f>+'S3'!Z238</f>
        <v/>
      </c>
    </row>
    <row r="239" spans="3:28" x14ac:dyDescent="0.3">
      <c r="C239" t="str">
        <f>+'S3'!AB239</f>
        <v/>
      </c>
      <c r="D239" t="str">
        <f>+IFERROR(VLOOKUP(F239,Sheet2!F:G,2,0),"")</f>
        <v/>
      </c>
      <c r="E239" t="str">
        <f>+IFERROR(VLOOKUP(C239,'S3'!E:F,2,0),"")</f>
        <v/>
      </c>
      <c r="F239" s="30" t="str">
        <f>+IFERROR(VLOOKUP(C239,Sheet2!C:F,4,0),"")</f>
        <v/>
      </c>
      <c r="G239" t="str">
        <f>+IFERROR(VLOOKUP(F239,Sheet2!F:H,3,0),"")</f>
        <v/>
      </c>
      <c r="K239" s="28" t="str">
        <f>+'S3'!AC239</f>
        <v/>
      </c>
      <c r="L239" t="str">
        <f>IF('S3'!J239&lt;&gt;"",'S3'!J239,"")</f>
        <v/>
      </c>
      <c r="M239" t="str">
        <f>IF('S3'!K239&lt;&gt;"",'S3'!K239,"")</f>
        <v/>
      </c>
      <c r="N239">
        <f>+IFERROR(VLOOKUP(L239,Sheet3!A:C,3,0)," ")</f>
        <v>0</v>
      </c>
      <c r="Q239">
        <f>+'S3'!N239</f>
        <v>0</v>
      </c>
      <c r="R239" s="25">
        <f>+'S3'!T239</f>
        <v>0</v>
      </c>
      <c r="U239">
        <f t="shared" si="9"/>
        <v>0</v>
      </c>
      <c r="V239" s="12" t="str">
        <f>+'S3'!X239</f>
        <v/>
      </c>
      <c r="W239" s="34" t="str">
        <f>+'S3'!Y239</f>
        <v/>
      </c>
      <c r="Y239" s="12" t="str">
        <f t="shared" si="11"/>
        <v/>
      </c>
      <c r="Z239" s="27" t="str">
        <f t="shared" si="10"/>
        <v/>
      </c>
      <c r="AA239" s="22">
        <v>0</v>
      </c>
      <c r="AB239" s="26" t="str">
        <f>+'S3'!Z239</f>
        <v/>
      </c>
    </row>
    <row r="240" spans="3:28" x14ac:dyDescent="0.3">
      <c r="C240" t="str">
        <f>+'S3'!AB240</f>
        <v/>
      </c>
      <c r="D240" t="str">
        <f>+IFERROR(VLOOKUP(F240,Sheet2!F:G,2,0),"")</f>
        <v/>
      </c>
      <c r="E240" t="str">
        <f>+IFERROR(VLOOKUP(C240,'S3'!E:F,2,0),"")</f>
        <v/>
      </c>
      <c r="F240" s="30" t="str">
        <f>+IFERROR(VLOOKUP(C240,Sheet2!C:F,4,0),"")</f>
        <v/>
      </c>
      <c r="G240" t="str">
        <f>+IFERROR(VLOOKUP(F240,Sheet2!F:H,3,0),"")</f>
        <v/>
      </c>
      <c r="K240" s="28" t="str">
        <f>+'S3'!AC240</f>
        <v/>
      </c>
      <c r="L240" t="str">
        <f>IF('S3'!J240&lt;&gt;"",'S3'!J240,"")</f>
        <v/>
      </c>
      <c r="M240" t="str">
        <f>IF('S3'!K240&lt;&gt;"",'S3'!K240,"")</f>
        <v/>
      </c>
      <c r="N240">
        <f>+IFERROR(VLOOKUP(L240,Sheet3!A:C,3,0)," ")</f>
        <v>0</v>
      </c>
      <c r="Q240">
        <f>+'S3'!N240</f>
        <v>0</v>
      </c>
      <c r="R240" s="25">
        <f>+'S3'!T240</f>
        <v>0</v>
      </c>
      <c r="U240">
        <f t="shared" si="9"/>
        <v>0</v>
      </c>
      <c r="V240" s="12" t="str">
        <f>+'S3'!X240</f>
        <v/>
      </c>
      <c r="W240" s="34" t="str">
        <f>+'S3'!Y240</f>
        <v/>
      </c>
      <c r="Y240" s="12" t="str">
        <f t="shared" si="11"/>
        <v/>
      </c>
      <c r="Z240" s="27" t="str">
        <f t="shared" si="10"/>
        <v/>
      </c>
      <c r="AA240" s="22">
        <v>0</v>
      </c>
      <c r="AB240" s="26" t="str">
        <f>+'S3'!Z240</f>
        <v/>
      </c>
    </row>
    <row r="241" spans="3:28" x14ac:dyDescent="0.3">
      <c r="C241" t="str">
        <f>+'S3'!AB241</f>
        <v/>
      </c>
      <c r="D241" t="str">
        <f>+IFERROR(VLOOKUP(F241,Sheet2!F:G,2,0),"")</f>
        <v/>
      </c>
      <c r="E241" t="str">
        <f>+IFERROR(VLOOKUP(C241,'S3'!E:F,2,0),"")</f>
        <v/>
      </c>
      <c r="F241" s="30" t="str">
        <f>+IFERROR(VLOOKUP(C241,Sheet2!C:F,4,0),"")</f>
        <v/>
      </c>
      <c r="G241" t="str">
        <f>+IFERROR(VLOOKUP(F241,Sheet2!F:H,3,0),"")</f>
        <v/>
      </c>
      <c r="K241" s="28" t="str">
        <f>+'S3'!AC241</f>
        <v/>
      </c>
      <c r="L241" t="str">
        <f>IF('S3'!J241&lt;&gt;"",'S3'!J241,"")</f>
        <v/>
      </c>
      <c r="M241" t="str">
        <f>IF('S3'!K241&lt;&gt;"",'S3'!K241,"")</f>
        <v/>
      </c>
      <c r="N241">
        <f>+IFERROR(VLOOKUP(L241,Sheet3!A:C,3,0)," ")</f>
        <v>0</v>
      </c>
      <c r="Q241">
        <f>+'S3'!N241</f>
        <v>0</v>
      </c>
      <c r="R241" s="25">
        <f>+'S3'!T241</f>
        <v>0</v>
      </c>
      <c r="U241">
        <f t="shared" si="9"/>
        <v>0</v>
      </c>
      <c r="V241" s="12" t="str">
        <f>+'S3'!X241</f>
        <v/>
      </c>
      <c r="W241" s="34" t="str">
        <f>+'S3'!Y241</f>
        <v/>
      </c>
      <c r="Y241" s="12" t="str">
        <f t="shared" si="11"/>
        <v/>
      </c>
      <c r="Z241" s="27" t="str">
        <f t="shared" si="10"/>
        <v/>
      </c>
      <c r="AA241" s="22">
        <v>0</v>
      </c>
      <c r="AB241" s="26" t="str">
        <f>+'S3'!Z241</f>
        <v/>
      </c>
    </row>
    <row r="242" spans="3:28" x14ac:dyDescent="0.3">
      <c r="C242" t="str">
        <f>+'S3'!AB242</f>
        <v/>
      </c>
      <c r="D242" t="str">
        <f>+IFERROR(VLOOKUP(F242,Sheet2!F:G,2,0),"")</f>
        <v/>
      </c>
      <c r="E242" t="str">
        <f>+IFERROR(VLOOKUP(C242,'S3'!E:F,2,0),"")</f>
        <v/>
      </c>
      <c r="F242" s="30" t="str">
        <f>+IFERROR(VLOOKUP(C242,Sheet2!C:F,4,0),"")</f>
        <v/>
      </c>
      <c r="G242" t="str">
        <f>+IFERROR(VLOOKUP(F242,Sheet2!F:H,3,0),"")</f>
        <v/>
      </c>
      <c r="K242" s="28" t="str">
        <f>+'S3'!AC242</f>
        <v/>
      </c>
      <c r="L242" t="str">
        <f>IF('S3'!J242&lt;&gt;"",'S3'!J242,"")</f>
        <v/>
      </c>
      <c r="M242" t="str">
        <f>IF('S3'!K242&lt;&gt;"",'S3'!K242,"")</f>
        <v/>
      </c>
      <c r="N242">
        <f>+IFERROR(VLOOKUP(L242,Sheet3!A:C,3,0)," ")</f>
        <v>0</v>
      </c>
      <c r="Q242">
        <f>+'S3'!N242</f>
        <v>0</v>
      </c>
      <c r="R242" s="25">
        <f>+'S3'!T242</f>
        <v>0</v>
      </c>
      <c r="U242">
        <f t="shared" si="9"/>
        <v>0</v>
      </c>
      <c r="V242" s="12" t="str">
        <f>+'S3'!X242</f>
        <v/>
      </c>
      <c r="W242" s="34" t="str">
        <f>+'S3'!Y242</f>
        <v/>
      </c>
      <c r="Y242" s="12" t="str">
        <f t="shared" si="11"/>
        <v/>
      </c>
      <c r="Z242" s="27" t="str">
        <f t="shared" si="10"/>
        <v/>
      </c>
      <c r="AA242" s="22">
        <v>0</v>
      </c>
      <c r="AB242" s="26" t="str">
        <f>+'S3'!Z242</f>
        <v/>
      </c>
    </row>
    <row r="243" spans="3:28" x14ac:dyDescent="0.3">
      <c r="C243" t="str">
        <f>+'S3'!AB243</f>
        <v/>
      </c>
      <c r="D243" t="str">
        <f>+IFERROR(VLOOKUP(F243,Sheet2!F:G,2,0),"")</f>
        <v/>
      </c>
      <c r="E243" t="str">
        <f>+IFERROR(VLOOKUP(C243,'S3'!E:F,2,0),"")</f>
        <v/>
      </c>
      <c r="F243" s="30" t="str">
        <f>+IFERROR(VLOOKUP(C243,Sheet2!C:F,4,0),"")</f>
        <v/>
      </c>
      <c r="G243" t="str">
        <f>+IFERROR(VLOOKUP(F243,Sheet2!F:H,3,0),"")</f>
        <v/>
      </c>
      <c r="K243" s="28" t="str">
        <f>+'S3'!AC243</f>
        <v/>
      </c>
      <c r="L243" t="str">
        <f>IF('S3'!J243&lt;&gt;"",'S3'!J243,"")</f>
        <v/>
      </c>
      <c r="M243" t="str">
        <f>IF('S3'!K243&lt;&gt;"",'S3'!K243,"")</f>
        <v/>
      </c>
      <c r="N243">
        <f>+IFERROR(VLOOKUP(L243,Sheet3!A:C,3,0)," ")</f>
        <v>0</v>
      </c>
      <c r="Q243">
        <f>+'S3'!N243</f>
        <v>0</v>
      </c>
      <c r="R243" s="25">
        <f>+'S3'!T243</f>
        <v>0</v>
      </c>
      <c r="U243">
        <f t="shared" si="9"/>
        <v>0</v>
      </c>
      <c r="V243" s="12" t="str">
        <f>+'S3'!X243</f>
        <v/>
      </c>
      <c r="W243" s="34" t="str">
        <f>+'S3'!Y243</f>
        <v/>
      </c>
      <c r="Y243" s="12" t="str">
        <f t="shared" si="11"/>
        <v/>
      </c>
      <c r="Z243" s="27" t="str">
        <f t="shared" si="10"/>
        <v/>
      </c>
      <c r="AA243" s="22">
        <v>0</v>
      </c>
      <c r="AB243" s="26" t="str">
        <f>+'S3'!Z243</f>
        <v/>
      </c>
    </row>
    <row r="244" spans="3:28" x14ac:dyDescent="0.3">
      <c r="C244" t="str">
        <f>+'S3'!AB244</f>
        <v/>
      </c>
      <c r="D244" t="str">
        <f>+IFERROR(VLOOKUP(F244,Sheet2!F:G,2,0),"")</f>
        <v/>
      </c>
      <c r="E244" t="str">
        <f>+IFERROR(VLOOKUP(C244,'S3'!E:F,2,0),"")</f>
        <v/>
      </c>
      <c r="F244" s="30" t="str">
        <f>+IFERROR(VLOOKUP(C244,Sheet2!C:F,4,0),"")</f>
        <v/>
      </c>
      <c r="G244" t="str">
        <f>+IFERROR(VLOOKUP(F244,Sheet2!F:H,3,0),"")</f>
        <v/>
      </c>
      <c r="K244" s="28" t="str">
        <f>+'S3'!AC244</f>
        <v/>
      </c>
      <c r="L244" t="str">
        <f>IF('S3'!J244&lt;&gt;"",'S3'!J244,"")</f>
        <v/>
      </c>
      <c r="M244" t="str">
        <f>IF('S3'!K244&lt;&gt;"",'S3'!K244,"")</f>
        <v/>
      </c>
      <c r="N244">
        <f>+IFERROR(VLOOKUP(L244,Sheet3!A:C,3,0)," ")</f>
        <v>0</v>
      </c>
      <c r="Q244">
        <f>+'S3'!N244</f>
        <v>0</v>
      </c>
      <c r="R244" s="25">
        <f>+'S3'!T244</f>
        <v>0</v>
      </c>
      <c r="U244">
        <f t="shared" ref="U244:U307" si="12">+R244*Q244</f>
        <v>0</v>
      </c>
      <c r="V244" s="12" t="str">
        <f>+'S3'!X244</f>
        <v/>
      </c>
      <c r="W244" s="34" t="str">
        <f>+'S3'!Y244</f>
        <v/>
      </c>
      <c r="Y244" s="12" t="str">
        <f t="shared" si="11"/>
        <v/>
      </c>
      <c r="Z244" s="27" t="str">
        <f t="shared" ref="Z244:Z307" si="13">IFERROR(ROUND(V244+Y244,0),"")</f>
        <v/>
      </c>
      <c r="AA244" s="22">
        <v>0</v>
      </c>
      <c r="AB244" s="26" t="str">
        <f>+'S3'!Z244</f>
        <v/>
      </c>
    </row>
    <row r="245" spans="3:28" x14ac:dyDescent="0.3">
      <c r="C245" t="str">
        <f>+'S3'!AB245</f>
        <v/>
      </c>
      <c r="D245" t="str">
        <f>+IFERROR(VLOOKUP(F245,Sheet2!F:G,2,0),"")</f>
        <v/>
      </c>
      <c r="E245" t="str">
        <f>+IFERROR(VLOOKUP(C245,'S3'!E:F,2,0),"")</f>
        <v/>
      </c>
      <c r="F245" s="30" t="str">
        <f>+IFERROR(VLOOKUP(C245,Sheet2!C:F,4,0),"")</f>
        <v/>
      </c>
      <c r="G245" t="str">
        <f>+IFERROR(VLOOKUP(F245,Sheet2!F:H,3,0),"")</f>
        <v/>
      </c>
      <c r="K245" s="28" t="str">
        <f>+'S3'!AC245</f>
        <v/>
      </c>
      <c r="L245" t="str">
        <f>IF('S3'!J245&lt;&gt;"",'S3'!J245,"")</f>
        <v/>
      </c>
      <c r="M245" t="str">
        <f>IF('S3'!K245&lt;&gt;"",'S3'!K245,"")</f>
        <v/>
      </c>
      <c r="N245">
        <f>+IFERROR(VLOOKUP(L245,Sheet3!A:C,3,0)," ")</f>
        <v>0</v>
      </c>
      <c r="Q245">
        <f>+'S3'!N245</f>
        <v>0</v>
      </c>
      <c r="R245" s="25">
        <f>+'S3'!T245</f>
        <v>0</v>
      </c>
      <c r="U245">
        <f t="shared" si="12"/>
        <v>0</v>
      </c>
      <c r="V245" s="12" t="str">
        <f>+'S3'!X245</f>
        <v/>
      </c>
      <c r="W245" s="34" t="str">
        <f>+'S3'!Y245</f>
        <v/>
      </c>
      <c r="Y245" s="12" t="str">
        <f t="shared" si="11"/>
        <v/>
      </c>
      <c r="Z245" s="27" t="str">
        <f t="shared" si="13"/>
        <v/>
      </c>
      <c r="AA245" s="22">
        <v>0</v>
      </c>
      <c r="AB245" s="26" t="str">
        <f>+'S3'!Z245</f>
        <v/>
      </c>
    </row>
    <row r="246" spans="3:28" x14ac:dyDescent="0.3">
      <c r="C246" t="str">
        <f>+'S3'!AB246</f>
        <v/>
      </c>
      <c r="D246" t="str">
        <f>+IFERROR(VLOOKUP(F246,Sheet2!F:G,2,0),"")</f>
        <v/>
      </c>
      <c r="E246" t="str">
        <f>+IFERROR(VLOOKUP(C246,'S3'!E:F,2,0),"")</f>
        <v/>
      </c>
      <c r="F246" s="30" t="str">
        <f>+IFERROR(VLOOKUP(C246,Sheet2!C:F,4,0),"")</f>
        <v/>
      </c>
      <c r="G246" t="str">
        <f>+IFERROR(VLOOKUP(F246,Sheet2!F:H,3,0),"")</f>
        <v/>
      </c>
      <c r="K246" s="28" t="str">
        <f>+'S3'!AC246</f>
        <v/>
      </c>
      <c r="L246" t="str">
        <f>IF('S3'!J246&lt;&gt;"",'S3'!J246,"")</f>
        <v/>
      </c>
      <c r="M246" t="str">
        <f>IF('S3'!K246&lt;&gt;"",'S3'!K246,"")</f>
        <v/>
      </c>
      <c r="N246">
        <f>+IFERROR(VLOOKUP(L246,Sheet3!A:C,3,0)," ")</f>
        <v>0</v>
      </c>
      <c r="Q246">
        <f>+'S3'!N246</f>
        <v>0</v>
      </c>
      <c r="R246" s="25">
        <f>+'S3'!T246</f>
        <v>0</v>
      </c>
      <c r="U246">
        <f t="shared" si="12"/>
        <v>0</v>
      </c>
      <c r="V246" s="12" t="str">
        <f>+'S3'!X246</f>
        <v/>
      </c>
      <c r="W246" s="34" t="str">
        <f>+'S3'!Y246</f>
        <v/>
      </c>
      <c r="Y246" s="12" t="str">
        <f t="shared" si="11"/>
        <v/>
      </c>
      <c r="Z246" s="27" t="str">
        <f t="shared" si="13"/>
        <v/>
      </c>
      <c r="AA246" s="22">
        <v>0</v>
      </c>
      <c r="AB246" s="26" t="str">
        <f>+'S3'!Z246</f>
        <v/>
      </c>
    </row>
    <row r="247" spans="3:28" x14ac:dyDescent="0.3">
      <c r="C247" t="str">
        <f>+'S3'!AB247</f>
        <v/>
      </c>
      <c r="D247" t="str">
        <f>+IFERROR(VLOOKUP(F247,Sheet2!F:G,2,0),"")</f>
        <v/>
      </c>
      <c r="E247" t="str">
        <f>+IFERROR(VLOOKUP(C247,'S3'!E:F,2,0),"")</f>
        <v/>
      </c>
      <c r="F247" s="30" t="str">
        <f>+IFERROR(VLOOKUP(C247,Sheet2!C:F,4,0),"")</f>
        <v/>
      </c>
      <c r="G247" t="str">
        <f>+IFERROR(VLOOKUP(F247,Sheet2!F:H,3,0),"")</f>
        <v/>
      </c>
      <c r="K247" s="28" t="str">
        <f>+'S3'!AC247</f>
        <v/>
      </c>
      <c r="L247" t="str">
        <f>IF('S3'!J247&lt;&gt;"",'S3'!J247,"")</f>
        <v/>
      </c>
      <c r="M247" t="str">
        <f>IF('S3'!K247&lt;&gt;"",'S3'!K247,"")</f>
        <v/>
      </c>
      <c r="N247">
        <f>+IFERROR(VLOOKUP(L247,Sheet3!A:C,3,0)," ")</f>
        <v>0</v>
      </c>
      <c r="Q247">
        <f>+'S3'!N247</f>
        <v>0</v>
      </c>
      <c r="R247" s="25">
        <f>+'S3'!T247</f>
        <v>0</v>
      </c>
      <c r="U247">
        <f t="shared" si="12"/>
        <v>0</v>
      </c>
      <c r="V247" s="12" t="str">
        <f>+'S3'!X247</f>
        <v/>
      </c>
      <c r="W247" s="34" t="str">
        <f>+'S3'!Y247</f>
        <v/>
      </c>
      <c r="Y247" s="12" t="str">
        <f t="shared" si="11"/>
        <v/>
      </c>
      <c r="Z247" s="27" t="str">
        <f t="shared" si="13"/>
        <v/>
      </c>
      <c r="AA247" s="22">
        <v>0</v>
      </c>
      <c r="AB247" s="26" t="str">
        <f>+'S3'!Z247</f>
        <v/>
      </c>
    </row>
    <row r="248" spans="3:28" x14ac:dyDescent="0.3">
      <c r="C248" t="str">
        <f>+'S3'!AB248</f>
        <v/>
      </c>
      <c r="D248" t="str">
        <f>+IFERROR(VLOOKUP(F248,Sheet2!F:G,2,0),"")</f>
        <v/>
      </c>
      <c r="E248" t="str">
        <f>+IFERROR(VLOOKUP(C248,'S3'!E:F,2,0),"")</f>
        <v/>
      </c>
      <c r="F248" s="30" t="str">
        <f>+IFERROR(VLOOKUP(C248,Sheet2!C:F,4,0),"")</f>
        <v/>
      </c>
      <c r="G248" t="str">
        <f>+IFERROR(VLOOKUP(F248,Sheet2!F:H,3,0),"")</f>
        <v/>
      </c>
      <c r="K248" s="28" t="str">
        <f>+'S3'!AC248</f>
        <v/>
      </c>
      <c r="L248" t="str">
        <f>IF('S3'!J248&lt;&gt;"",'S3'!J248,"")</f>
        <v/>
      </c>
      <c r="M248" t="str">
        <f>IF('S3'!K248&lt;&gt;"",'S3'!K248,"")</f>
        <v/>
      </c>
      <c r="N248">
        <f>+IFERROR(VLOOKUP(L248,Sheet3!A:C,3,0)," ")</f>
        <v>0</v>
      </c>
      <c r="Q248">
        <f>+'S3'!N248</f>
        <v>0</v>
      </c>
      <c r="R248" s="25">
        <f>+'S3'!T248</f>
        <v>0</v>
      </c>
      <c r="U248">
        <f t="shared" si="12"/>
        <v>0</v>
      </c>
      <c r="V248" s="12" t="str">
        <f>+'S3'!X248</f>
        <v/>
      </c>
      <c r="W248" s="34" t="str">
        <f>+'S3'!Y248</f>
        <v/>
      </c>
      <c r="Y248" s="12" t="str">
        <f t="shared" si="11"/>
        <v/>
      </c>
      <c r="Z248" s="27" t="str">
        <f t="shared" si="13"/>
        <v/>
      </c>
      <c r="AA248" s="22">
        <v>0</v>
      </c>
      <c r="AB248" s="26" t="str">
        <f>+'S3'!Z248</f>
        <v/>
      </c>
    </row>
    <row r="249" spans="3:28" x14ac:dyDescent="0.3">
      <c r="C249" t="str">
        <f>+'S3'!AB249</f>
        <v/>
      </c>
      <c r="D249" t="str">
        <f>+IFERROR(VLOOKUP(F249,Sheet2!F:G,2,0),"")</f>
        <v/>
      </c>
      <c r="E249" t="str">
        <f>+IFERROR(VLOOKUP(C249,'S3'!E:F,2,0),"")</f>
        <v/>
      </c>
      <c r="F249" s="30" t="str">
        <f>+IFERROR(VLOOKUP(C249,Sheet2!C:F,4,0),"")</f>
        <v/>
      </c>
      <c r="G249" t="str">
        <f>+IFERROR(VLOOKUP(F249,Sheet2!F:H,3,0),"")</f>
        <v/>
      </c>
      <c r="K249" s="28" t="str">
        <f>+'S3'!AC249</f>
        <v/>
      </c>
      <c r="L249" t="str">
        <f>IF('S3'!J249&lt;&gt;"",'S3'!J249,"")</f>
        <v/>
      </c>
      <c r="M249" t="str">
        <f>IF('S3'!K249&lt;&gt;"",'S3'!K249,"")</f>
        <v/>
      </c>
      <c r="N249">
        <f>+IFERROR(VLOOKUP(L249,Sheet3!A:C,3,0)," ")</f>
        <v>0</v>
      </c>
      <c r="Q249">
        <f>+'S3'!N249</f>
        <v>0</v>
      </c>
      <c r="R249" s="25">
        <f>+'S3'!T249</f>
        <v>0</v>
      </c>
      <c r="U249">
        <f t="shared" si="12"/>
        <v>0</v>
      </c>
      <c r="V249" s="12" t="str">
        <f>+'S3'!X249</f>
        <v/>
      </c>
      <c r="W249" s="34" t="str">
        <f>+'S3'!Y249</f>
        <v/>
      </c>
      <c r="Y249" s="12" t="str">
        <f t="shared" si="11"/>
        <v/>
      </c>
      <c r="Z249" s="27" t="str">
        <f t="shared" si="13"/>
        <v/>
      </c>
      <c r="AA249" s="22">
        <v>0</v>
      </c>
      <c r="AB249" s="26" t="str">
        <f>+'S3'!Z249</f>
        <v/>
      </c>
    </row>
    <row r="250" spans="3:28" x14ac:dyDescent="0.3">
      <c r="C250" t="str">
        <f>+'S3'!AB250</f>
        <v/>
      </c>
      <c r="D250" t="str">
        <f>+IFERROR(VLOOKUP(F250,Sheet2!F:G,2,0),"")</f>
        <v/>
      </c>
      <c r="E250" t="str">
        <f>+IFERROR(VLOOKUP(C250,'S3'!E:F,2,0),"")</f>
        <v/>
      </c>
      <c r="F250" s="30" t="str">
        <f>+IFERROR(VLOOKUP(C250,Sheet2!C:F,4,0),"")</f>
        <v/>
      </c>
      <c r="G250" t="str">
        <f>+IFERROR(VLOOKUP(F250,Sheet2!F:H,3,0),"")</f>
        <v/>
      </c>
      <c r="K250" s="28" t="str">
        <f>+'S3'!AC250</f>
        <v/>
      </c>
      <c r="L250" t="str">
        <f>IF('S3'!J250&lt;&gt;"",'S3'!J250,"")</f>
        <v/>
      </c>
      <c r="M250" t="str">
        <f>IF('S3'!K250&lt;&gt;"",'S3'!K250,"")</f>
        <v/>
      </c>
      <c r="N250">
        <f>+IFERROR(VLOOKUP(L250,Sheet3!A:C,3,0)," ")</f>
        <v>0</v>
      </c>
      <c r="Q250">
        <f>+'S3'!N250</f>
        <v>0</v>
      </c>
      <c r="R250" s="25">
        <f>+'S3'!T250</f>
        <v>0</v>
      </c>
      <c r="U250">
        <f t="shared" si="12"/>
        <v>0</v>
      </c>
      <c r="V250" s="12" t="str">
        <f>+'S3'!X250</f>
        <v/>
      </c>
      <c r="W250" s="34" t="str">
        <f>+'S3'!Y250</f>
        <v/>
      </c>
      <c r="Y250" s="12" t="str">
        <f t="shared" si="11"/>
        <v/>
      </c>
      <c r="Z250" s="27" t="str">
        <f t="shared" si="13"/>
        <v/>
      </c>
      <c r="AA250" s="22">
        <v>0</v>
      </c>
      <c r="AB250" s="26" t="str">
        <f>+'S3'!Z250</f>
        <v/>
      </c>
    </row>
    <row r="251" spans="3:28" x14ac:dyDescent="0.3">
      <c r="C251" t="str">
        <f>+'S3'!AB251</f>
        <v/>
      </c>
      <c r="D251" t="str">
        <f>+IFERROR(VLOOKUP(F251,Sheet2!F:G,2,0),"")</f>
        <v/>
      </c>
      <c r="E251" t="str">
        <f>+IFERROR(VLOOKUP(C251,'S3'!E:F,2,0),"")</f>
        <v/>
      </c>
      <c r="F251" s="30" t="str">
        <f>+IFERROR(VLOOKUP(C251,Sheet2!C:F,4,0),"")</f>
        <v/>
      </c>
      <c r="G251" t="str">
        <f>+IFERROR(VLOOKUP(F251,Sheet2!F:H,3,0),"")</f>
        <v/>
      </c>
      <c r="K251" s="28" t="str">
        <f>+'S3'!AC251</f>
        <v/>
      </c>
      <c r="L251" t="str">
        <f>IF('S3'!J251&lt;&gt;"",'S3'!J251,"")</f>
        <v/>
      </c>
      <c r="M251" t="str">
        <f>IF('S3'!K251&lt;&gt;"",'S3'!K251,"")</f>
        <v/>
      </c>
      <c r="N251">
        <f>+IFERROR(VLOOKUP(L251,Sheet3!A:C,3,0)," ")</f>
        <v>0</v>
      </c>
      <c r="Q251">
        <f>+'S3'!N251</f>
        <v>0</v>
      </c>
      <c r="R251" s="25">
        <f>+'S3'!T251</f>
        <v>0</v>
      </c>
      <c r="U251">
        <f t="shared" si="12"/>
        <v>0</v>
      </c>
      <c r="V251" s="12" t="str">
        <f>+'S3'!X251</f>
        <v/>
      </c>
      <c r="W251" s="34" t="str">
        <f>+'S3'!Y251</f>
        <v/>
      </c>
      <c r="Y251" s="12" t="str">
        <f t="shared" si="11"/>
        <v/>
      </c>
      <c r="Z251" s="27" t="str">
        <f t="shared" si="13"/>
        <v/>
      </c>
      <c r="AA251" s="22">
        <v>0</v>
      </c>
      <c r="AB251" s="26" t="str">
        <f>+'S3'!Z251</f>
        <v/>
      </c>
    </row>
    <row r="252" spans="3:28" x14ac:dyDescent="0.3">
      <c r="C252" t="str">
        <f>+'S3'!AB252</f>
        <v/>
      </c>
      <c r="D252" t="str">
        <f>+IFERROR(VLOOKUP(F252,Sheet2!F:G,2,0),"")</f>
        <v/>
      </c>
      <c r="E252" t="str">
        <f>+IFERROR(VLOOKUP(C252,'S3'!E:F,2,0),"")</f>
        <v/>
      </c>
      <c r="F252" s="30" t="str">
        <f>+IFERROR(VLOOKUP(C252,Sheet2!C:F,4,0),"")</f>
        <v/>
      </c>
      <c r="G252" t="str">
        <f>+IFERROR(VLOOKUP(F252,Sheet2!F:H,3,0),"")</f>
        <v/>
      </c>
      <c r="K252" s="28" t="str">
        <f>+'S3'!AC252</f>
        <v/>
      </c>
      <c r="L252" t="str">
        <f>IF('S3'!J252&lt;&gt;"",'S3'!J252,"")</f>
        <v/>
      </c>
      <c r="M252" t="str">
        <f>IF('S3'!K252&lt;&gt;"",'S3'!K252,"")</f>
        <v/>
      </c>
      <c r="N252">
        <f>+IFERROR(VLOOKUP(L252,Sheet3!A:C,3,0)," ")</f>
        <v>0</v>
      </c>
      <c r="Q252">
        <f>+'S3'!N252</f>
        <v>0</v>
      </c>
      <c r="R252" s="25">
        <f>+'S3'!T252</f>
        <v>0</v>
      </c>
      <c r="U252">
        <f t="shared" si="12"/>
        <v>0</v>
      </c>
      <c r="V252" s="12" t="str">
        <f>+'S3'!X252</f>
        <v/>
      </c>
      <c r="W252" s="34" t="str">
        <f>+'S3'!Y252</f>
        <v/>
      </c>
      <c r="Y252" s="12" t="str">
        <f t="shared" si="11"/>
        <v/>
      </c>
      <c r="Z252" s="27" t="str">
        <f t="shared" si="13"/>
        <v/>
      </c>
      <c r="AA252" s="22">
        <v>0</v>
      </c>
      <c r="AB252" s="26" t="str">
        <f>+'S3'!Z252</f>
        <v/>
      </c>
    </row>
    <row r="253" spans="3:28" x14ac:dyDescent="0.3">
      <c r="C253" t="str">
        <f>+'S3'!AB253</f>
        <v/>
      </c>
      <c r="D253" t="str">
        <f>+IFERROR(VLOOKUP(F253,Sheet2!F:G,2,0),"")</f>
        <v/>
      </c>
      <c r="E253" t="str">
        <f>+IFERROR(VLOOKUP(C253,'S3'!E:F,2,0),"")</f>
        <v/>
      </c>
      <c r="F253" s="30" t="str">
        <f>+IFERROR(VLOOKUP(C253,Sheet2!C:F,4,0),"")</f>
        <v/>
      </c>
      <c r="G253" t="str">
        <f>+IFERROR(VLOOKUP(F253,Sheet2!F:H,3,0),"")</f>
        <v/>
      </c>
      <c r="K253" s="28" t="str">
        <f>+'S3'!AC253</f>
        <v/>
      </c>
      <c r="L253" t="str">
        <f>IF('S3'!J253&lt;&gt;"",'S3'!J253,"")</f>
        <v/>
      </c>
      <c r="M253" t="str">
        <f>IF('S3'!K253&lt;&gt;"",'S3'!K253,"")</f>
        <v/>
      </c>
      <c r="N253">
        <f>+IFERROR(VLOOKUP(L253,Sheet3!A:C,3,0)," ")</f>
        <v>0</v>
      </c>
      <c r="Q253">
        <f>+'S3'!N253</f>
        <v>0</v>
      </c>
      <c r="R253" s="25">
        <f>+'S3'!T253</f>
        <v>0</v>
      </c>
      <c r="U253">
        <f t="shared" si="12"/>
        <v>0</v>
      </c>
      <c r="V253" s="12" t="str">
        <f>+'S3'!X253</f>
        <v/>
      </c>
      <c r="W253" s="34" t="str">
        <f>+'S3'!Y253</f>
        <v/>
      </c>
      <c r="Y253" s="12" t="str">
        <f t="shared" si="11"/>
        <v/>
      </c>
      <c r="Z253" s="27" t="str">
        <f t="shared" si="13"/>
        <v/>
      </c>
      <c r="AA253" s="22">
        <v>0</v>
      </c>
      <c r="AB253" s="26" t="str">
        <f>+'S3'!Z253</f>
        <v/>
      </c>
    </row>
    <row r="254" spans="3:28" x14ac:dyDescent="0.3">
      <c r="C254" t="str">
        <f>+'S3'!AB254</f>
        <v/>
      </c>
      <c r="D254" t="str">
        <f>+IFERROR(VLOOKUP(F254,Sheet2!F:G,2,0),"")</f>
        <v/>
      </c>
      <c r="E254" t="str">
        <f>+IFERROR(VLOOKUP(C254,'S3'!E:F,2,0),"")</f>
        <v/>
      </c>
      <c r="F254" s="30" t="str">
        <f>+IFERROR(VLOOKUP(C254,Sheet2!C:F,4,0),"")</f>
        <v/>
      </c>
      <c r="G254" t="str">
        <f>+IFERROR(VLOOKUP(F254,Sheet2!F:H,3,0),"")</f>
        <v/>
      </c>
      <c r="K254" s="28" t="str">
        <f>+'S3'!AC254</f>
        <v/>
      </c>
      <c r="L254" t="str">
        <f>IF('S3'!J254&lt;&gt;"",'S3'!J254,"")</f>
        <v/>
      </c>
      <c r="M254" t="str">
        <f>IF('S3'!K254&lt;&gt;"",'S3'!K254,"")</f>
        <v/>
      </c>
      <c r="N254">
        <f>+IFERROR(VLOOKUP(L254,Sheet3!A:C,3,0)," ")</f>
        <v>0</v>
      </c>
      <c r="Q254">
        <f>+'S3'!N254</f>
        <v>0</v>
      </c>
      <c r="R254" s="25">
        <f>+'S3'!T254</f>
        <v>0</v>
      </c>
      <c r="U254">
        <f t="shared" si="12"/>
        <v>0</v>
      </c>
      <c r="V254" s="12" t="str">
        <f>+'S3'!X254</f>
        <v/>
      </c>
      <c r="W254" s="34" t="str">
        <f>+'S3'!Y254</f>
        <v/>
      </c>
      <c r="Y254" s="12" t="str">
        <f t="shared" si="11"/>
        <v/>
      </c>
      <c r="Z254" s="27" t="str">
        <f t="shared" si="13"/>
        <v/>
      </c>
      <c r="AA254" s="22">
        <v>0</v>
      </c>
      <c r="AB254" s="26" t="str">
        <f>+'S3'!Z254</f>
        <v/>
      </c>
    </row>
    <row r="255" spans="3:28" x14ac:dyDescent="0.3">
      <c r="C255" t="str">
        <f>+'S3'!AB255</f>
        <v/>
      </c>
      <c r="D255" t="str">
        <f>+IFERROR(VLOOKUP(F255,Sheet2!F:G,2,0),"")</f>
        <v/>
      </c>
      <c r="E255" t="str">
        <f>+IFERROR(VLOOKUP(C255,'S3'!E:F,2,0),"")</f>
        <v/>
      </c>
      <c r="F255" s="30" t="str">
        <f>+IFERROR(VLOOKUP(C255,Sheet2!C:F,4,0),"")</f>
        <v/>
      </c>
      <c r="G255" t="str">
        <f>+IFERROR(VLOOKUP(F255,Sheet2!F:H,3,0),"")</f>
        <v/>
      </c>
      <c r="K255" s="28" t="str">
        <f>+'S3'!AC255</f>
        <v/>
      </c>
      <c r="L255" t="str">
        <f>IF('S3'!J255&lt;&gt;"",'S3'!J255,"")</f>
        <v/>
      </c>
      <c r="M255" t="str">
        <f>IF('S3'!K255&lt;&gt;"",'S3'!K255,"")</f>
        <v/>
      </c>
      <c r="N255">
        <f>+IFERROR(VLOOKUP(L255,Sheet3!A:C,3,0)," ")</f>
        <v>0</v>
      </c>
      <c r="Q255">
        <f>+'S3'!N255</f>
        <v>0</v>
      </c>
      <c r="R255" s="25">
        <f>+'S3'!T255</f>
        <v>0</v>
      </c>
      <c r="U255">
        <f t="shared" si="12"/>
        <v>0</v>
      </c>
      <c r="V255" s="12" t="str">
        <f>+'S3'!X255</f>
        <v/>
      </c>
      <c r="W255" s="34" t="str">
        <f>+'S3'!Y255</f>
        <v/>
      </c>
      <c r="Y255" s="12" t="str">
        <f t="shared" si="11"/>
        <v/>
      </c>
      <c r="Z255" s="27" t="str">
        <f t="shared" si="13"/>
        <v/>
      </c>
      <c r="AA255" s="22">
        <v>0</v>
      </c>
      <c r="AB255" s="26" t="str">
        <f>+'S3'!Z255</f>
        <v/>
      </c>
    </row>
    <row r="256" spans="3:28" x14ac:dyDescent="0.3">
      <c r="C256" t="str">
        <f>+'S3'!AB256</f>
        <v/>
      </c>
      <c r="D256" t="str">
        <f>+IFERROR(VLOOKUP(F256,Sheet2!F:G,2,0),"")</f>
        <v/>
      </c>
      <c r="E256" t="str">
        <f>+IFERROR(VLOOKUP(C256,'S3'!E:F,2,0),"")</f>
        <v/>
      </c>
      <c r="F256" s="30" t="str">
        <f>+IFERROR(VLOOKUP(C256,Sheet2!C:F,4,0),"")</f>
        <v/>
      </c>
      <c r="G256" t="str">
        <f>+IFERROR(VLOOKUP(F256,Sheet2!F:H,3,0),"")</f>
        <v/>
      </c>
      <c r="K256" s="28" t="str">
        <f>+'S3'!AC256</f>
        <v/>
      </c>
      <c r="L256" t="str">
        <f>IF('S3'!J256&lt;&gt;"",'S3'!J256,"")</f>
        <v/>
      </c>
      <c r="M256" t="str">
        <f>IF('S3'!K256&lt;&gt;"",'S3'!K256,"")</f>
        <v/>
      </c>
      <c r="N256">
        <f>+IFERROR(VLOOKUP(L256,Sheet3!A:C,3,0)," ")</f>
        <v>0</v>
      </c>
      <c r="Q256">
        <f>+'S3'!N256</f>
        <v>0</v>
      </c>
      <c r="R256" s="25">
        <f>+'S3'!T256</f>
        <v>0</v>
      </c>
      <c r="U256">
        <f t="shared" si="12"/>
        <v>0</v>
      </c>
      <c r="V256" s="12" t="str">
        <f>+'S3'!X256</f>
        <v/>
      </c>
      <c r="W256" s="34" t="str">
        <f>+'S3'!Y256</f>
        <v/>
      </c>
      <c r="Y256" s="12" t="str">
        <f t="shared" si="11"/>
        <v/>
      </c>
      <c r="Z256" s="27" t="str">
        <f t="shared" si="13"/>
        <v/>
      </c>
      <c r="AA256" s="22">
        <v>0</v>
      </c>
      <c r="AB256" s="26" t="str">
        <f>+'S3'!Z256</f>
        <v/>
      </c>
    </row>
    <row r="257" spans="3:28" x14ac:dyDescent="0.3">
      <c r="C257" t="str">
        <f>+'S3'!AB257</f>
        <v/>
      </c>
      <c r="D257" t="str">
        <f>+IFERROR(VLOOKUP(F257,Sheet2!F:G,2,0),"")</f>
        <v/>
      </c>
      <c r="E257" t="str">
        <f>+IFERROR(VLOOKUP(C257,'S3'!E:F,2,0),"")</f>
        <v/>
      </c>
      <c r="F257" s="30" t="str">
        <f>+IFERROR(VLOOKUP(C257,Sheet2!C:F,4,0),"")</f>
        <v/>
      </c>
      <c r="G257" t="str">
        <f>+IFERROR(VLOOKUP(F257,Sheet2!F:H,3,0),"")</f>
        <v/>
      </c>
      <c r="K257" s="28" t="str">
        <f>+'S3'!AC257</f>
        <v/>
      </c>
      <c r="L257" t="str">
        <f>IF('S3'!J257&lt;&gt;"",'S3'!J257,"")</f>
        <v/>
      </c>
      <c r="M257" t="str">
        <f>IF('S3'!K257&lt;&gt;"",'S3'!K257,"")</f>
        <v/>
      </c>
      <c r="N257">
        <f>+IFERROR(VLOOKUP(L257,Sheet3!A:C,3,0)," ")</f>
        <v>0</v>
      </c>
      <c r="Q257">
        <f>+'S3'!N257</f>
        <v>0</v>
      </c>
      <c r="R257" s="25">
        <f>+'S3'!T257</f>
        <v>0</v>
      </c>
      <c r="U257">
        <f t="shared" si="12"/>
        <v>0</v>
      </c>
      <c r="V257" s="12" t="str">
        <f>+'S3'!X257</f>
        <v/>
      </c>
      <c r="W257" s="34" t="str">
        <f>+'S3'!Y257</f>
        <v/>
      </c>
      <c r="Y257" s="12" t="str">
        <f t="shared" si="11"/>
        <v/>
      </c>
      <c r="Z257" s="27" t="str">
        <f t="shared" si="13"/>
        <v/>
      </c>
      <c r="AA257" s="22">
        <v>0</v>
      </c>
      <c r="AB257" s="26" t="str">
        <f>+'S3'!Z257</f>
        <v/>
      </c>
    </row>
    <row r="258" spans="3:28" x14ac:dyDescent="0.3">
      <c r="C258" t="str">
        <f>+'S3'!AB258</f>
        <v/>
      </c>
      <c r="D258" t="str">
        <f>+IFERROR(VLOOKUP(F258,Sheet2!F:G,2,0),"")</f>
        <v/>
      </c>
      <c r="E258" t="str">
        <f>+IFERROR(VLOOKUP(C258,'S3'!E:F,2,0),"")</f>
        <v/>
      </c>
      <c r="F258" s="30" t="str">
        <f>+IFERROR(VLOOKUP(C258,Sheet2!C:F,4,0),"")</f>
        <v/>
      </c>
      <c r="G258" t="str">
        <f>+IFERROR(VLOOKUP(F258,Sheet2!F:H,3,0),"")</f>
        <v/>
      </c>
      <c r="K258" s="28" t="str">
        <f>+'S3'!AC258</f>
        <v/>
      </c>
      <c r="L258" t="str">
        <f>IF('S3'!J258&lt;&gt;"",'S3'!J258,"")</f>
        <v/>
      </c>
      <c r="M258" t="str">
        <f>IF('S3'!K258&lt;&gt;"",'S3'!K258,"")</f>
        <v/>
      </c>
      <c r="N258">
        <f>+IFERROR(VLOOKUP(L258,Sheet3!A:C,3,0)," ")</f>
        <v>0</v>
      </c>
      <c r="Q258">
        <f>+'S3'!N258</f>
        <v>0</v>
      </c>
      <c r="R258" s="25">
        <f>+'S3'!T258</f>
        <v>0</v>
      </c>
      <c r="U258">
        <f t="shared" si="12"/>
        <v>0</v>
      </c>
      <c r="V258" s="12" t="str">
        <f>+'S3'!X258</f>
        <v/>
      </c>
      <c r="W258" s="34" t="str">
        <f>+'S3'!Y258</f>
        <v/>
      </c>
      <c r="Y258" s="12" t="str">
        <f t="shared" si="11"/>
        <v/>
      </c>
      <c r="Z258" s="27" t="str">
        <f t="shared" si="13"/>
        <v/>
      </c>
      <c r="AA258" s="22">
        <v>0</v>
      </c>
      <c r="AB258" s="26" t="str">
        <f>+'S3'!Z258</f>
        <v/>
      </c>
    </row>
    <row r="259" spans="3:28" x14ac:dyDescent="0.3">
      <c r="C259" t="str">
        <f>+'S3'!AB259</f>
        <v/>
      </c>
      <c r="D259" t="str">
        <f>+IFERROR(VLOOKUP(F259,Sheet2!F:G,2,0),"")</f>
        <v/>
      </c>
      <c r="E259" t="str">
        <f>+IFERROR(VLOOKUP(C259,'S3'!E:F,2,0),"")</f>
        <v/>
      </c>
      <c r="F259" s="30" t="str">
        <f>+IFERROR(VLOOKUP(C259,Sheet2!C:F,4,0),"")</f>
        <v/>
      </c>
      <c r="G259" t="str">
        <f>+IFERROR(VLOOKUP(F259,Sheet2!F:H,3,0),"")</f>
        <v/>
      </c>
      <c r="K259" s="28" t="str">
        <f>+'S3'!AC259</f>
        <v/>
      </c>
      <c r="L259" t="str">
        <f>IF('S3'!J259&lt;&gt;"",'S3'!J259,"")</f>
        <v/>
      </c>
      <c r="M259" t="str">
        <f>IF('S3'!K259&lt;&gt;"",'S3'!K259,"")</f>
        <v/>
      </c>
      <c r="N259">
        <f>+IFERROR(VLOOKUP(L259,Sheet3!A:C,3,0)," ")</f>
        <v>0</v>
      </c>
      <c r="Q259">
        <f>+'S3'!N259</f>
        <v>0</v>
      </c>
      <c r="R259" s="25">
        <f>+'S3'!T259</f>
        <v>0</v>
      </c>
      <c r="U259">
        <f t="shared" si="12"/>
        <v>0</v>
      </c>
      <c r="V259" s="12" t="str">
        <f>+'S3'!X259</f>
        <v/>
      </c>
      <c r="W259" s="34" t="str">
        <f>+'S3'!Y259</f>
        <v/>
      </c>
      <c r="Y259" s="12" t="str">
        <f t="shared" ref="Y259:Y322" si="14">IFERROR(W259%*V259,"")</f>
        <v/>
      </c>
      <c r="Z259" s="27" t="str">
        <f t="shared" si="13"/>
        <v/>
      </c>
      <c r="AA259" s="22">
        <v>0</v>
      </c>
      <c r="AB259" s="26" t="str">
        <f>+'S3'!Z259</f>
        <v/>
      </c>
    </row>
    <row r="260" spans="3:28" x14ac:dyDescent="0.3">
      <c r="C260" t="str">
        <f>+'S3'!AB260</f>
        <v/>
      </c>
      <c r="D260" t="str">
        <f>+IFERROR(VLOOKUP(F260,Sheet2!F:G,2,0),"")</f>
        <v/>
      </c>
      <c r="E260" t="str">
        <f>+IFERROR(VLOOKUP(C260,'S3'!E:F,2,0),"")</f>
        <v/>
      </c>
      <c r="F260" s="30" t="str">
        <f>+IFERROR(VLOOKUP(C260,Sheet2!C:F,4,0),"")</f>
        <v/>
      </c>
      <c r="G260" t="str">
        <f>+IFERROR(VLOOKUP(F260,Sheet2!F:H,3,0),"")</f>
        <v/>
      </c>
      <c r="K260" s="28" t="str">
        <f>+'S3'!AC260</f>
        <v/>
      </c>
      <c r="L260" t="str">
        <f>IF('S3'!J260&lt;&gt;"",'S3'!J260,"")</f>
        <v/>
      </c>
      <c r="M260" t="str">
        <f>IF('S3'!K260&lt;&gt;"",'S3'!K260,"")</f>
        <v/>
      </c>
      <c r="N260">
        <f>+IFERROR(VLOOKUP(L260,Sheet3!A:C,3,0)," ")</f>
        <v>0</v>
      </c>
      <c r="Q260">
        <f>+'S3'!N260</f>
        <v>0</v>
      </c>
      <c r="R260" s="25">
        <f>+'S3'!T260</f>
        <v>0</v>
      </c>
      <c r="U260">
        <f t="shared" si="12"/>
        <v>0</v>
      </c>
      <c r="V260" s="12" t="str">
        <f>+'S3'!X260</f>
        <v/>
      </c>
      <c r="W260" s="34" t="str">
        <f>+'S3'!Y260</f>
        <v/>
      </c>
      <c r="Y260" s="12" t="str">
        <f t="shared" si="14"/>
        <v/>
      </c>
      <c r="Z260" s="27" t="str">
        <f t="shared" si="13"/>
        <v/>
      </c>
      <c r="AA260" s="22">
        <v>0</v>
      </c>
      <c r="AB260" s="26" t="str">
        <f>+'S3'!Z260</f>
        <v/>
      </c>
    </row>
    <row r="261" spans="3:28" x14ac:dyDescent="0.3">
      <c r="C261" t="str">
        <f>+'S3'!AB261</f>
        <v/>
      </c>
      <c r="D261" t="str">
        <f>+IFERROR(VLOOKUP(F261,Sheet2!F:G,2,0),"")</f>
        <v/>
      </c>
      <c r="E261" t="str">
        <f>+IFERROR(VLOOKUP(C261,'S3'!E:F,2,0),"")</f>
        <v/>
      </c>
      <c r="F261" s="30" t="str">
        <f>+IFERROR(VLOOKUP(C261,Sheet2!C:F,4,0),"")</f>
        <v/>
      </c>
      <c r="G261" t="str">
        <f>+IFERROR(VLOOKUP(F261,Sheet2!F:H,3,0),"")</f>
        <v/>
      </c>
      <c r="K261" s="28" t="str">
        <f>+'S3'!AC261</f>
        <v/>
      </c>
      <c r="L261" t="str">
        <f>IF('S3'!J261&lt;&gt;"",'S3'!J261,"")</f>
        <v/>
      </c>
      <c r="M261" t="str">
        <f>IF('S3'!K261&lt;&gt;"",'S3'!K261,"")</f>
        <v/>
      </c>
      <c r="N261">
        <f>+IFERROR(VLOOKUP(L261,Sheet3!A:C,3,0)," ")</f>
        <v>0</v>
      </c>
      <c r="Q261">
        <f>+'S3'!N261</f>
        <v>0</v>
      </c>
      <c r="R261" s="25">
        <f>+'S3'!T261</f>
        <v>0</v>
      </c>
      <c r="U261">
        <f t="shared" si="12"/>
        <v>0</v>
      </c>
      <c r="V261" s="12" t="str">
        <f>+'S3'!X261</f>
        <v/>
      </c>
      <c r="W261" s="34" t="str">
        <f>+'S3'!Y261</f>
        <v/>
      </c>
      <c r="Y261" s="12" t="str">
        <f t="shared" si="14"/>
        <v/>
      </c>
      <c r="Z261" s="27" t="str">
        <f t="shared" si="13"/>
        <v/>
      </c>
      <c r="AA261" s="22">
        <v>0</v>
      </c>
      <c r="AB261" s="26" t="str">
        <f>+'S3'!Z261</f>
        <v/>
      </c>
    </row>
    <row r="262" spans="3:28" x14ac:dyDescent="0.3">
      <c r="C262" t="str">
        <f>+'S3'!AB262</f>
        <v/>
      </c>
      <c r="D262" t="str">
        <f>+IFERROR(VLOOKUP(F262,Sheet2!F:G,2,0),"")</f>
        <v/>
      </c>
      <c r="E262" t="str">
        <f>+IFERROR(VLOOKUP(C262,'S3'!E:F,2,0),"")</f>
        <v/>
      </c>
      <c r="F262" s="30" t="str">
        <f>+IFERROR(VLOOKUP(C262,Sheet2!C:F,4,0),"")</f>
        <v/>
      </c>
      <c r="G262" t="str">
        <f>+IFERROR(VLOOKUP(F262,Sheet2!F:H,3,0),"")</f>
        <v/>
      </c>
      <c r="K262" s="28" t="str">
        <f>+'S3'!AC262</f>
        <v/>
      </c>
      <c r="L262" t="str">
        <f>IF('S3'!J262&lt;&gt;"",'S3'!J262,"")</f>
        <v/>
      </c>
      <c r="M262" t="str">
        <f>IF('S3'!K262&lt;&gt;"",'S3'!K262,"")</f>
        <v/>
      </c>
      <c r="N262">
        <f>+IFERROR(VLOOKUP(L262,Sheet3!A:C,3,0)," ")</f>
        <v>0</v>
      </c>
      <c r="Q262">
        <f>+'S3'!N262</f>
        <v>0</v>
      </c>
      <c r="R262" s="25">
        <f>+'S3'!T262</f>
        <v>0</v>
      </c>
      <c r="U262">
        <f t="shared" si="12"/>
        <v>0</v>
      </c>
      <c r="V262" s="12" t="str">
        <f>+'S3'!X262</f>
        <v/>
      </c>
      <c r="W262" s="34" t="str">
        <f>+'S3'!Y262</f>
        <v/>
      </c>
      <c r="Y262" s="12" t="str">
        <f t="shared" si="14"/>
        <v/>
      </c>
      <c r="Z262" s="27" t="str">
        <f t="shared" si="13"/>
        <v/>
      </c>
      <c r="AA262" s="22">
        <v>0</v>
      </c>
      <c r="AB262" s="26" t="str">
        <f>+'S3'!Z262</f>
        <v/>
      </c>
    </row>
    <row r="263" spans="3:28" x14ac:dyDescent="0.3">
      <c r="C263" t="str">
        <f>+'S3'!AB263</f>
        <v/>
      </c>
      <c r="D263" t="str">
        <f>+IFERROR(VLOOKUP(F263,Sheet2!F:G,2,0),"")</f>
        <v/>
      </c>
      <c r="E263" t="str">
        <f>+IFERROR(VLOOKUP(C263,'S3'!E:F,2,0),"")</f>
        <v/>
      </c>
      <c r="F263" s="30" t="str">
        <f>+IFERROR(VLOOKUP(C263,Sheet2!C:F,4,0),"")</f>
        <v/>
      </c>
      <c r="G263" t="str">
        <f>+IFERROR(VLOOKUP(F263,Sheet2!F:H,3,0),"")</f>
        <v/>
      </c>
      <c r="K263" s="28" t="str">
        <f>+'S3'!AC263</f>
        <v/>
      </c>
      <c r="L263" t="str">
        <f>IF('S3'!J263&lt;&gt;"",'S3'!J263,"")</f>
        <v/>
      </c>
      <c r="M263" t="str">
        <f>IF('S3'!K263&lt;&gt;"",'S3'!K263,"")</f>
        <v/>
      </c>
      <c r="N263">
        <f>+IFERROR(VLOOKUP(L263,Sheet3!A:C,3,0)," ")</f>
        <v>0</v>
      </c>
      <c r="Q263">
        <f>+'S3'!N263</f>
        <v>0</v>
      </c>
      <c r="R263" s="25">
        <f>+'S3'!T263</f>
        <v>0</v>
      </c>
      <c r="U263">
        <f t="shared" si="12"/>
        <v>0</v>
      </c>
      <c r="V263" s="12" t="str">
        <f>+'S3'!X263</f>
        <v/>
      </c>
      <c r="W263" s="34" t="str">
        <f>+'S3'!Y263</f>
        <v/>
      </c>
      <c r="Y263" s="12" t="str">
        <f t="shared" si="14"/>
        <v/>
      </c>
      <c r="Z263" s="27" t="str">
        <f t="shared" si="13"/>
        <v/>
      </c>
      <c r="AA263" s="22">
        <v>0</v>
      </c>
      <c r="AB263" s="26" t="str">
        <f>+'S3'!Z263</f>
        <v/>
      </c>
    </row>
    <row r="264" spans="3:28" x14ac:dyDescent="0.3">
      <c r="C264" t="str">
        <f>+'S3'!AB264</f>
        <v/>
      </c>
      <c r="D264" t="str">
        <f>+IFERROR(VLOOKUP(F264,Sheet2!F:G,2,0),"")</f>
        <v/>
      </c>
      <c r="E264" t="str">
        <f>+IFERROR(VLOOKUP(C264,'S3'!E:F,2,0),"")</f>
        <v/>
      </c>
      <c r="F264" s="30" t="str">
        <f>+IFERROR(VLOOKUP(C264,Sheet2!C:F,4,0),"")</f>
        <v/>
      </c>
      <c r="G264" t="str">
        <f>+IFERROR(VLOOKUP(F264,Sheet2!F:H,3,0),"")</f>
        <v/>
      </c>
      <c r="K264" s="28" t="str">
        <f>+'S3'!AC264</f>
        <v/>
      </c>
      <c r="L264" t="str">
        <f>IF('S3'!J264&lt;&gt;"",'S3'!J264,"")</f>
        <v/>
      </c>
      <c r="M264" t="str">
        <f>IF('S3'!K264&lt;&gt;"",'S3'!K264,"")</f>
        <v/>
      </c>
      <c r="N264">
        <f>+IFERROR(VLOOKUP(L264,Sheet3!A:C,3,0)," ")</f>
        <v>0</v>
      </c>
      <c r="Q264">
        <f>+'S3'!N264</f>
        <v>0</v>
      </c>
      <c r="R264" s="25">
        <f>+'S3'!T264</f>
        <v>0</v>
      </c>
      <c r="U264">
        <f t="shared" si="12"/>
        <v>0</v>
      </c>
      <c r="V264" s="12" t="str">
        <f>+'S3'!X264</f>
        <v/>
      </c>
      <c r="W264" s="34" t="str">
        <f>+'S3'!Y264</f>
        <v/>
      </c>
      <c r="Y264" s="12" t="str">
        <f t="shared" si="14"/>
        <v/>
      </c>
      <c r="Z264" s="27" t="str">
        <f t="shared" si="13"/>
        <v/>
      </c>
      <c r="AA264" s="22">
        <v>0</v>
      </c>
      <c r="AB264" s="26" t="str">
        <f>+'S3'!Z264</f>
        <v/>
      </c>
    </row>
    <row r="265" spans="3:28" x14ac:dyDescent="0.3">
      <c r="C265" t="str">
        <f>+'S3'!AB265</f>
        <v/>
      </c>
      <c r="D265" t="str">
        <f>+IFERROR(VLOOKUP(F265,Sheet2!F:G,2,0),"")</f>
        <v/>
      </c>
      <c r="E265" t="str">
        <f>+IFERROR(VLOOKUP(C265,'S3'!E:F,2,0),"")</f>
        <v/>
      </c>
      <c r="F265" s="30" t="str">
        <f>+IFERROR(VLOOKUP(C265,Sheet2!C:F,4,0),"")</f>
        <v/>
      </c>
      <c r="G265" t="str">
        <f>+IFERROR(VLOOKUP(F265,Sheet2!F:H,3,0),"")</f>
        <v/>
      </c>
      <c r="K265" s="28" t="str">
        <f>+'S3'!AC265</f>
        <v/>
      </c>
      <c r="L265" t="str">
        <f>IF('S3'!J265&lt;&gt;"",'S3'!J265,"")</f>
        <v/>
      </c>
      <c r="M265" t="str">
        <f>IF('S3'!K265&lt;&gt;"",'S3'!K265,"")</f>
        <v/>
      </c>
      <c r="N265">
        <f>+IFERROR(VLOOKUP(L265,Sheet3!A:C,3,0)," ")</f>
        <v>0</v>
      </c>
      <c r="Q265">
        <f>+'S3'!N265</f>
        <v>0</v>
      </c>
      <c r="R265" s="25">
        <f>+'S3'!T265</f>
        <v>0</v>
      </c>
      <c r="U265">
        <f t="shared" si="12"/>
        <v>0</v>
      </c>
      <c r="V265" s="12" t="str">
        <f>+'S3'!X265</f>
        <v/>
      </c>
      <c r="W265" s="34" t="str">
        <f>+'S3'!Y265</f>
        <v/>
      </c>
      <c r="Y265" s="12" t="str">
        <f t="shared" si="14"/>
        <v/>
      </c>
      <c r="Z265" s="27" t="str">
        <f t="shared" si="13"/>
        <v/>
      </c>
      <c r="AA265" s="22">
        <v>0</v>
      </c>
      <c r="AB265" s="26" t="str">
        <f>+'S3'!Z265</f>
        <v/>
      </c>
    </row>
    <row r="266" spans="3:28" x14ac:dyDescent="0.3">
      <c r="C266" t="str">
        <f>+'S3'!AB266</f>
        <v/>
      </c>
      <c r="D266" t="str">
        <f>+IFERROR(VLOOKUP(F266,Sheet2!F:G,2,0),"")</f>
        <v/>
      </c>
      <c r="E266" t="str">
        <f>+IFERROR(VLOOKUP(C266,'S3'!E:F,2,0),"")</f>
        <v/>
      </c>
      <c r="F266" s="30" t="str">
        <f>+IFERROR(VLOOKUP(C266,Sheet2!C:F,4,0),"")</f>
        <v/>
      </c>
      <c r="G266" t="str">
        <f>+IFERROR(VLOOKUP(F266,Sheet2!F:H,3,0),"")</f>
        <v/>
      </c>
      <c r="K266" s="28" t="str">
        <f>+'S3'!AC266</f>
        <v/>
      </c>
      <c r="L266" t="str">
        <f>IF('S3'!J266&lt;&gt;"",'S3'!J266,"")</f>
        <v/>
      </c>
      <c r="M266" t="str">
        <f>IF('S3'!K266&lt;&gt;"",'S3'!K266,"")</f>
        <v/>
      </c>
      <c r="N266">
        <f>+IFERROR(VLOOKUP(L266,Sheet3!A:C,3,0)," ")</f>
        <v>0</v>
      </c>
      <c r="Q266">
        <f>+'S3'!N266</f>
        <v>0</v>
      </c>
      <c r="R266" s="25">
        <f>+'S3'!T266</f>
        <v>0</v>
      </c>
      <c r="U266">
        <f t="shared" si="12"/>
        <v>0</v>
      </c>
      <c r="V266" s="12" t="str">
        <f>+'S3'!X266</f>
        <v/>
      </c>
      <c r="W266" s="34" t="str">
        <f>+'S3'!Y266</f>
        <v/>
      </c>
      <c r="Y266" s="12" t="str">
        <f t="shared" si="14"/>
        <v/>
      </c>
      <c r="Z266" s="27" t="str">
        <f t="shared" si="13"/>
        <v/>
      </c>
      <c r="AA266" s="22">
        <v>0</v>
      </c>
      <c r="AB266" s="26" t="str">
        <f>+'S3'!Z266</f>
        <v/>
      </c>
    </row>
    <row r="267" spans="3:28" x14ac:dyDescent="0.3">
      <c r="C267" t="str">
        <f>+'S3'!AB267</f>
        <v/>
      </c>
      <c r="D267" t="str">
        <f>+IFERROR(VLOOKUP(F267,Sheet2!F:G,2,0),"")</f>
        <v/>
      </c>
      <c r="E267" t="str">
        <f>+IFERROR(VLOOKUP(C267,'S3'!E:F,2,0),"")</f>
        <v/>
      </c>
      <c r="F267" s="30" t="str">
        <f>+IFERROR(VLOOKUP(C267,Sheet2!C:F,4,0),"")</f>
        <v/>
      </c>
      <c r="G267" t="str">
        <f>+IFERROR(VLOOKUP(F267,Sheet2!F:H,3,0),"")</f>
        <v/>
      </c>
      <c r="K267" s="28" t="str">
        <f>+'S3'!AC267</f>
        <v/>
      </c>
      <c r="L267" t="str">
        <f>IF('S3'!J267&lt;&gt;"",'S3'!J267,"")</f>
        <v/>
      </c>
      <c r="M267" t="str">
        <f>IF('S3'!K267&lt;&gt;"",'S3'!K267,"")</f>
        <v/>
      </c>
      <c r="N267">
        <f>+IFERROR(VLOOKUP(L267,Sheet3!A:C,3,0)," ")</f>
        <v>0</v>
      </c>
      <c r="Q267">
        <f>+'S3'!N267</f>
        <v>0</v>
      </c>
      <c r="R267" s="25">
        <f>+'S3'!T267</f>
        <v>0</v>
      </c>
      <c r="U267">
        <f t="shared" si="12"/>
        <v>0</v>
      </c>
      <c r="V267" s="12" t="str">
        <f>+'S3'!X267</f>
        <v/>
      </c>
      <c r="W267" s="34" t="str">
        <f>+'S3'!Y267</f>
        <v/>
      </c>
      <c r="Y267" s="12" t="str">
        <f t="shared" si="14"/>
        <v/>
      </c>
      <c r="Z267" s="27" t="str">
        <f t="shared" si="13"/>
        <v/>
      </c>
      <c r="AA267" s="22">
        <v>0</v>
      </c>
      <c r="AB267" s="26" t="str">
        <f>+'S3'!Z267</f>
        <v/>
      </c>
    </row>
    <row r="268" spans="3:28" x14ac:dyDescent="0.3">
      <c r="C268" t="str">
        <f>+'S3'!AB268</f>
        <v/>
      </c>
      <c r="D268" t="str">
        <f>+IFERROR(VLOOKUP(F268,Sheet2!F:G,2,0),"")</f>
        <v/>
      </c>
      <c r="E268" t="str">
        <f>+IFERROR(VLOOKUP(C268,'S3'!E:F,2,0),"")</f>
        <v/>
      </c>
      <c r="F268" s="30" t="str">
        <f>+IFERROR(VLOOKUP(C268,Sheet2!C:F,4,0),"")</f>
        <v/>
      </c>
      <c r="G268" t="str">
        <f>+IFERROR(VLOOKUP(F268,Sheet2!F:H,3,0),"")</f>
        <v/>
      </c>
      <c r="K268" s="28" t="str">
        <f>+'S3'!AC268</f>
        <v/>
      </c>
      <c r="L268" t="str">
        <f>IF('S3'!J268&lt;&gt;"",'S3'!J268,"")</f>
        <v/>
      </c>
      <c r="M268" t="str">
        <f>IF('S3'!K268&lt;&gt;"",'S3'!K268,"")</f>
        <v/>
      </c>
      <c r="N268">
        <f>+IFERROR(VLOOKUP(L268,Sheet3!A:C,3,0)," ")</f>
        <v>0</v>
      </c>
      <c r="Q268">
        <f>+'S3'!N268</f>
        <v>0</v>
      </c>
      <c r="R268" s="25">
        <f>+'S3'!T268</f>
        <v>0</v>
      </c>
      <c r="U268">
        <f t="shared" si="12"/>
        <v>0</v>
      </c>
      <c r="V268" s="12" t="str">
        <f>+'S3'!X268</f>
        <v/>
      </c>
      <c r="W268" s="34" t="str">
        <f>+'S3'!Y268</f>
        <v/>
      </c>
      <c r="Y268" s="12" t="str">
        <f t="shared" si="14"/>
        <v/>
      </c>
      <c r="Z268" s="27" t="str">
        <f t="shared" si="13"/>
        <v/>
      </c>
      <c r="AA268" s="22">
        <v>0</v>
      </c>
      <c r="AB268" s="26" t="str">
        <f>+'S3'!Z268</f>
        <v/>
      </c>
    </row>
    <row r="269" spans="3:28" x14ac:dyDescent="0.3">
      <c r="C269" t="str">
        <f>+'S3'!AB269</f>
        <v/>
      </c>
      <c r="D269" t="str">
        <f>+IFERROR(VLOOKUP(F269,Sheet2!F:G,2,0),"")</f>
        <v/>
      </c>
      <c r="E269" t="str">
        <f>+IFERROR(VLOOKUP(C269,'S3'!E:F,2,0),"")</f>
        <v/>
      </c>
      <c r="F269" s="30" t="str">
        <f>+IFERROR(VLOOKUP(C269,Sheet2!C:F,4,0),"")</f>
        <v/>
      </c>
      <c r="G269" t="str">
        <f>+IFERROR(VLOOKUP(F269,Sheet2!F:H,3,0),"")</f>
        <v/>
      </c>
      <c r="K269" s="28" t="str">
        <f>+'S3'!AC269</f>
        <v/>
      </c>
      <c r="L269" t="str">
        <f>IF('S3'!J269&lt;&gt;"",'S3'!J269,"")</f>
        <v/>
      </c>
      <c r="M269" t="str">
        <f>IF('S3'!K269&lt;&gt;"",'S3'!K269,"")</f>
        <v/>
      </c>
      <c r="N269">
        <f>+IFERROR(VLOOKUP(L269,Sheet3!A:C,3,0)," ")</f>
        <v>0</v>
      </c>
      <c r="Q269">
        <f>+'S3'!N269</f>
        <v>0</v>
      </c>
      <c r="R269" s="25">
        <f>+'S3'!T269</f>
        <v>0</v>
      </c>
      <c r="U269">
        <f t="shared" si="12"/>
        <v>0</v>
      </c>
      <c r="V269" s="12" t="str">
        <f>+'S3'!X269</f>
        <v/>
      </c>
      <c r="W269" s="34" t="str">
        <f>+'S3'!Y269</f>
        <v/>
      </c>
      <c r="Y269" s="12" t="str">
        <f t="shared" si="14"/>
        <v/>
      </c>
      <c r="Z269" s="27" t="str">
        <f t="shared" si="13"/>
        <v/>
      </c>
      <c r="AA269" s="22">
        <v>0</v>
      </c>
      <c r="AB269" s="26" t="str">
        <f>+'S3'!Z269</f>
        <v/>
      </c>
    </row>
    <row r="270" spans="3:28" x14ac:dyDescent="0.3">
      <c r="C270" t="str">
        <f>+'S3'!AB270</f>
        <v/>
      </c>
      <c r="D270" t="str">
        <f>+IFERROR(VLOOKUP(F270,Sheet2!F:G,2,0),"")</f>
        <v/>
      </c>
      <c r="E270" t="str">
        <f>+IFERROR(VLOOKUP(C270,'S3'!E:F,2,0),"")</f>
        <v/>
      </c>
      <c r="F270" s="30" t="str">
        <f>+IFERROR(VLOOKUP(C270,Sheet2!C:F,4,0),"")</f>
        <v/>
      </c>
      <c r="G270" t="str">
        <f>+IFERROR(VLOOKUP(F270,Sheet2!F:H,3,0),"")</f>
        <v/>
      </c>
      <c r="K270" s="28" t="str">
        <f>+'S3'!AC270</f>
        <v/>
      </c>
      <c r="L270" t="str">
        <f>IF('S3'!J270&lt;&gt;"",'S3'!J270,"")</f>
        <v/>
      </c>
      <c r="M270" t="str">
        <f>IF('S3'!K270&lt;&gt;"",'S3'!K270,"")</f>
        <v/>
      </c>
      <c r="N270">
        <f>+IFERROR(VLOOKUP(L270,Sheet3!A:C,3,0)," ")</f>
        <v>0</v>
      </c>
      <c r="Q270">
        <f>+'S3'!N270</f>
        <v>0</v>
      </c>
      <c r="R270" s="25">
        <f>+'S3'!T270</f>
        <v>0</v>
      </c>
      <c r="U270">
        <f t="shared" si="12"/>
        <v>0</v>
      </c>
      <c r="V270" s="12" t="str">
        <f>+'S3'!X270</f>
        <v/>
      </c>
      <c r="W270" s="34" t="str">
        <f>+'S3'!Y270</f>
        <v/>
      </c>
      <c r="Y270" s="12" t="str">
        <f t="shared" si="14"/>
        <v/>
      </c>
      <c r="Z270" s="27" t="str">
        <f t="shared" si="13"/>
        <v/>
      </c>
      <c r="AA270" s="22">
        <v>0</v>
      </c>
      <c r="AB270" s="26" t="str">
        <f>+'S3'!Z270</f>
        <v/>
      </c>
    </row>
    <row r="271" spans="3:28" x14ac:dyDescent="0.3">
      <c r="C271" t="str">
        <f>+'S3'!AB271</f>
        <v/>
      </c>
      <c r="D271" t="str">
        <f>+IFERROR(VLOOKUP(F271,Sheet2!F:G,2,0),"")</f>
        <v/>
      </c>
      <c r="E271" t="str">
        <f>+IFERROR(VLOOKUP(C271,'S3'!E:F,2,0),"")</f>
        <v/>
      </c>
      <c r="F271" s="30" t="str">
        <f>+IFERROR(VLOOKUP(C271,Sheet2!C:F,4,0),"")</f>
        <v/>
      </c>
      <c r="G271" t="str">
        <f>+IFERROR(VLOOKUP(F271,Sheet2!F:H,3,0),"")</f>
        <v/>
      </c>
      <c r="K271" s="28" t="str">
        <f>+'S3'!AC271</f>
        <v/>
      </c>
      <c r="L271" t="str">
        <f>IF('S3'!J271&lt;&gt;"",'S3'!J271,"")</f>
        <v/>
      </c>
      <c r="M271" t="str">
        <f>IF('S3'!K271&lt;&gt;"",'S3'!K271,"")</f>
        <v/>
      </c>
      <c r="N271">
        <f>+IFERROR(VLOOKUP(L271,Sheet3!A:C,3,0)," ")</f>
        <v>0</v>
      </c>
      <c r="Q271">
        <f>+'S3'!N271</f>
        <v>0</v>
      </c>
      <c r="R271" s="25">
        <f>+'S3'!T271</f>
        <v>0</v>
      </c>
      <c r="U271">
        <f t="shared" si="12"/>
        <v>0</v>
      </c>
      <c r="V271" s="12" t="str">
        <f>+'S3'!X271</f>
        <v/>
      </c>
      <c r="W271" s="34" t="str">
        <f>+'S3'!Y271</f>
        <v/>
      </c>
      <c r="Y271" s="12" t="str">
        <f t="shared" si="14"/>
        <v/>
      </c>
      <c r="Z271" s="27" t="str">
        <f t="shared" si="13"/>
        <v/>
      </c>
      <c r="AA271" s="22">
        <v>0</v>
      </c>
      <c r="AB271" s="26" t="str">
        <f>+'S3'!Z271</f>
        <v/>
      </c>
    </row>
    <row r="272" spans="3:28" x14ac:dyDescent="0.3">
      <c r="C272" t="str">
        <f>+'S3'!AB272</f>
        <v/>
      </c>
      <c r="D272" t="str">
        <f>+IFERROR(VLOOKUP(F272,Sheet2!F:G,2,0),"")</f>
        <v/>
      </c>
      <c r="E272" t="str">
        <f>+IFERROR(VLOOKUP(C272,'S3'!E:F,2,0),"")</f>
        <v/>
      </c>
      <c r="F272" s="30" t="str">
        <f>+IFERROR(VLOOKUP(C272,Sheet2!C:F,4,0),"")</f>
        <v/>
      </c>
      <c r="G272" t="str">
        <f>+IFERROR(VLOOKUP(F272,Sheet2!F:H,3,0),"")</f>
        <v/>
      </c>
      <c r="K272" s="28" t="str">
        <f>+'S3'!AC272</f>
        <v/>
      </c>
      <c r="L272" t="str">
        <f>IF('S3'!J272&lt;&gt;"",'S3'!J272,"")</f>
        <v/>
      </c>
      <c r="M272" t="str">
        <f>IF('S3'!K272&lt;&gt;"",'S3'!K272,"")</f>
        <v/>
      </c>
      <c r="N272">
        <f>+IFERROR(VLOOKUP(L272,Sheet3!A:C,3,0)," ")</f>
        <v>0</v>
      </c>
      <c r="Q272">
        <f>+'S3'!N272</f>
        <v>0</v>
      </c>
      <c r="R272" s="25">
        <f>+'S3'!T272</f>
        <v>0</v>
      </c>
      <c r="U272">
        <f t="shared" si="12"/>
        <v>0</v>
      </c>
      <c r="V272" s="12" t="str">
        <f>+'S3'!X272</f>
        <v/>
      </c>
      <c r="W272" s="34" t="str">
        <f>+'S3'!Y272</f>
        <v/>
      </c>
      <c r="Y272" s="12" t="str">
        <f t="shared" si="14"/>
        <v/>
      </c>
      <c r="Z272" s="27" t="str">
        <f t="shared" si="13"/>
        <v/>
      </c>
      <c r="AA272" s="22">
        <v>0</v>
      </c>
      <c r="AB272" s="26" t="str">
        <f>+'S3'!Z272</f>
        <v/>
      </c>
    </row>
    <row r="273" spans="3:28" x14ac:dyDescent="0.3">
      <c r="C273" t="str">
        <f>+'S3'!AB273</f>
        <v/>
      </c>
      <c r="D273" t="str">
        <f>+IFERROR(VLOOKUP(F273,Sheet2!F:G,2,0),"")</f>
        <v/>
      </c>
      <c r="E273" t="str">
        <f>+IFERROR(VLOOKUP(C273,'S3'!E:F,2,0),"")</f>
        <v/>
      </c>
      <c r="F273" s="30" t="str">
        <f>+IFERROR(VLOOKUP(C273,Sheet2!C:F,4,0),"")</f>
        <v/>
      </c>
      <c r="G273" t="str">
        <f>+IFERROR(VLOOKUP(F273,Sheet2!F:H,3,0),"")</f>
        <v/>
      </c>
      <c r="K273" s="28" t="str">
        <f>+'S3'!AC273</f>
        <v/>
      </c>
      <c r="L273" t="str">
        <f>IF('S3'!J273&lt;&gt;"",'S3'!J273,"")</f>
        <v/>
      </c>
      <c r="M273" t="str">
        <f>IF('S3'!K273&lt;&gt;"",'S3'!K273,"")</f>
        <v/>
      </c>
      <c r="N273">
        <f>+IFERROR(VLOOKUP(L273,Sheet3!A:C,3,0)," ")</f>
        <v>0</v>
      </c>
      <c r="Q273">
        <f>+'S3'!N273</f>
        <v>0</v>
      </c>
      <c r="R273" s="25">
        <f>+'S3'!T273</f>
        <v>0</v>
      </c>
      <c r="U273">
        <f t="shared" si="12"/>
        <v>0</v>
      </c>
      <c r="V273" s="12" t="str">
        <f>+'S3'!X273</f>
        <v/>
      </c>
      <c r="W273" s="34" t="str">
        <f>+'S3'!Y273</f>
        <v/>
      </c>
      <c r="Y273" s="12" t="str">
        <f t="shared" si="14"/>
        <v/>
      </c>
      <c r="Z273" s="27" t="str">
        <f t="shared" si="13"/>
        <v/>
      </c>
      <c r="AA273" s="22">
        <v>0</v>
      </c>
      <c r="AB273" s="26" t="str">
        <f>+'S3'!Z273</f>
        <v/>
      </c>
    </row>
    <row r="274" spans="3:28" x14ac:dyDescent="0.3">
      <c r="C274" t="str">
        <f>+'S3'!AB274</f>
        <v/>
      </c>
      <c r="D274" t="str">
        <f>+IFERROR(VLOOKUP(F274,Sheet2!F:G,2,0),"")</f>
        <v/>
      </c>
      <c r="E274" t="str">
        <f>+IFERROR(VLOOKUP(C274,'S3'!E:F,2,0),"")</f>
        <v/>
      </c>
      <c r="F274" s="30" t="str">
        <f>+IFERROR(VLOOKUP(C274,Sheet2!C:F,4,0),"")</f>
        <v/>
      </c>
      <c r="G274" t="str">
        <f>+IFERROR(VLOOKUP(F274,Sheet2!F:H,3,0),"")</f>
        <v/>
      </c>
      <c r="K274" s="28" t="str">
        <f>+'S3'!AC274</f>
        <v/>
      </c>
      <c r="L274" t="str">
        <f>IF('S3'!J274&lt;&gt;"",'S3'!J274,"")</f>
        <v/>
      </c>
      <c r="M274" t="str">
        <f>IF('S3'!K274&lt;&gt;"",'S3'!K274,"")</f>
        <v/>
      </c>
      <c r="N274">
        <f>+IFERROR(VLOOKUP(L274,Sheet3!A:C,3,0)," ")</f>
        <v>0</v>
      </c>
      <c r="Q274">
        <f>+'S3'!N274</f>
        <v>0</v>
      </c>
      <c r="R274" s="25">
        <f>+'S3'!T274</f>
        <v>0</v>
      </c>
      <c r="U274">
        <f t="shared" si="12"/>
        <v>0</v>
      </c>
      <c r="V274" s="12" t="str">
        <f>+'S3'!X274</f>
        <v/>
      </c>
      <c r="W274" s="34" t="str">
        <f>+'S3'!Y274</f>
        <v/>
      </c>
      <c r="Y274" s="12" t="str">
        <f t="shared" si="14"/>
        <v/>
      </c>
      <c r="Z274" s="27" t="str">
        <f t="shared" si="13"/>
        <v/>
      </c>
      <c r="AA274" s="22">
        <v>0</v>
      </c>
      <c r="AB274" s="26" t="str">
        <f>+'S3'!Z274</f>
        <v/>
      </c>
    </row>
    <row r="275" spans="3:28" x14ac:dyDescent="0.3">
      <c r="C275" t="str">
        <f>+'S3'!AB275</f>
        <v/>
      </c>
      <c r="D275" t="str">
        <f>+IFERROR(VLOOKUP(F275,Sheet2!F:G,2,0),"")</f>
        <v/>
      </c>
      <c r="E275" t="str">
        <f>+IFERROR(VLOOKUP(C275,'S3'!E:F,2,0),"")</f>
        <v/>
      </c>
      <c r="F275" s="30" t="str">
        <f>+IFERROR(VLOOKUP(C275,Sheet2!C:F,4,0),"")</f>
        <v/>
      </c>
      <c r="G275" t="str">
        <f>+IFERROR(VLOOKUP(F275,Sheet2!F:H,3,0),"")</f>
        <v/>
      </c>
      <c r="K275" s="28" t="str">
        <f>+'S3'!AC275</f>
        <v/>
      </c>
      <c r="L275" t="str">
        <f>IF('S3'!J275&lt;&gt;"",'S3'!J275,"")</f>
        <v/>
      </c>
      <c r="M275" t="str">
        <f>IF('S3'!K275&lt;&gt;"",'S3'!K275,"")</f>
        <v/>
      </c>
      <c r="N275">
        <f>+IFERROR(VLOOKUP(L275,Sheet3!A:C,3,0)," ")</f>
        <v>0</v>
      </c>
      <c r="Q275">
        <f>+'S3'!N275</f>
        <v>0</v>
      </c>
      <c r="R275" s="25">
        <f>+'S3'!T275</f>
        <v>0</v>
      </c>
      <c r="U275">
        <f t="shared" si="12"/>
        <v>0</v>
      </c>
      <c r="V275" s="12" t="str">
        <f>+'S3'!X275</f>
        <v/>
      </c>
      <c r="W275" s="34" t="str">
        <f>+'S3'!Y275</f>
        <v/>
      </c>
      <c r="Y275" s="12" t="str">
        <f t="shared" si="14"/>
        <v/>
      </c>
      <c r="Z275" s="27" t="str">
        <f t="shared" si="13"/>
        <v/>
      </c>
      <c r="AA275" s="22">
        <v>0</v>
      </c>
      <c r="AB275" s="26" t="str">
        <f>+'S3'!Z275</f>
        <v/>
      </c>
    </row>
    <row r="276" spans="3:28" x14ac:dyDescent="0.3">
      <c r="C276" t="str">
        <f>+'S3'!AB276</f>
        <v/>
      </c>
      <c r="D276" t="str">
        <f>+IFERROR(VLOOKUP(F276,Sheet2!F:G,2,0),"")</f>
        <v/>
      </c>
      <c r="E276" t="str">
        <f>+IFERROR(VLOOKUP(C276,'S3'!E:F,2,0),"")</f>
        <v/>
      </c>
      <c r="F276" s="30" t="str">
        <f>+IFERROR(VLOOKUP(C276,Sheet2!C:F,4,0),"")</f>
        <v/>
      </c>
      <c r="G276" t="str">
        <f>+IFERROR(VLOOKUP(F276,Sheet2!F:H,3,0),"")</f>
        <v/>
      </c>
      <c r="K276" s="28" t="str">
        <f>+'S3'!AC276</f>
        <v/>
      </c>
      <c r="L276" t="str">
        <f>IF('S3'!J276&lt;&gt;"",'S3'!J276,"")</f>
        <v/>
      </c>
      <c r="M276" t="str">
        <f>IF('S3'!K276&lt;&gt;"",'S3'!K276,"")</f>
        <v/>
      </c>
      <c r="N276">
        <f>+IFERROR(VLOOKUP(L276,Sheet3!A:C,3,0)," ")</f>
        <v>0</v>
      </c>
      <c r="Q276">
        <f>+'S3'!N276</f>
        <v>0</v>
      </c>
      <c r="R276" s="25">
        <f>+'S3'!T276</f>
        <v>0</v>
      </c>
      <c r="U276">
        <f t="shared" si="12"/>
        <v>0</v>
      </c>
      <c r="V276" s="12" t="str">
        <f>+'S3'!X276</f>
        <v/>
      </c>
      <c r="W276" s="34" t="str">
        <f>+'S3'!Y276</f>
        <v/>
      </c>
      <c r="Y276" s="12" t="str">
        <f t="shared" si="14"/>
        <v/>
      </c>
      <c r="Z276" s="27" t="str">
        <f t="shared" si="13"/>
        <v/>
      </c>
      <c r="AA276" s="22">
        <v>0</v>
      </c>
      <c r="AB276" s="26" t="str">
        <f>+'S3'!Z276</f>
        <v/>
      </c>
    </row>
    <row r="277" spans="3:28" x14ac:dyDescent="0.3">
      <c r="C277" t="str">
        <f>+'S3'!AB277</f>
        <v/>
      </c>
      <c r="D277" t="str">
        <f>+IFERROR(VLOOKUP(F277,Sheet2!F:G,2,0),"")</f>
        <v/>
      </c>
      <c r="E277" t="str">
        <f>+IFERROR(VLOOKUP(C277,'S3'!E:F,2,0),"")</f>
        <v/>
      </c>
      <c r="F277" s="30" t="str">
        <f>+IFERROR(VLOOKUP(C277,Sheet2!C:F,4,0),"")</f>
        <v/>
      </c>
      <c r="G277" t="str">
        <f>+IFERROR(VLOOKUP(F277,Sheet2!F:H,3,0),"")</f>
        <v/>
      </c>
      <c r="K277" s="28" t="str">
        <f>+'S3'!AC277</f>
        <v/>
      </c>
      <c r="L277" t="str">
        <f>IF('S3'!J277&lt;&gt;"",'S3'!J277,"")</f>
        <v/>
      </c>
      <c r="M277" t="str">
        <f>IF('S3'!K277&lt;&gt;"",'S3'!K277,"")</f>
        <v/>
      </c>
      <c r="N277">
        <f>+IFERROR(VLOOKUP(L277,Sheet3!A:C,3,0)," ")</f>
        <v>0</v>
      </c>
      <c r="Q277">
        <f>+'S3'!N277</f>
        <v>0</v>
      </c>
      <c r="R277" s="25">
        <f>+'S3'!T277</f>
        <v>0</v>
      </c>
      <c r="U277">
        <f t="shared" si="12"/>
        <v>0</v>
      </c>
      <c r="V277" s="12" t="str">
        <f>+'S3'!X277</f>
        <v/>
      </c>
      <c r="W277" s="34" t="str">
        <f>+'S3'!Y277</f>
        <v/>
      </c>
      <c r="Y277" s="12" t="str">
        <f t="shared" si="14"/>
        <v/>
      </c>
      <c r="Z277" s="27" t="str">
        <f t="shared" si="13"/>
        <v/>
      </c>
      <c r="AA277" s="22">
        <v>0</v>
      </c>
      <c r="AB277" s="26" t="str">
        <f>+'S3'!Z277</f>
        <v/>
      </c>
    </row>
    <row r="278" spans="3:28" x14ac:dyDescent="0.3">
      <c r="C278" t="str">
        <f>+'S3'!AB278</f>
        <v/>
      </c>
      <c r="D278" t="str">
        <f>+IFERROR(VLOOKUP(F278,Sheet2!F:G,2,0),"")</f>
        <v/>
      </c>
      <c r="E278" t="str">
        <f>+IFERROR(VLOOKUP(C278,'S3'!E:F,2,0),"")</f>
        <v/>
      </c>
      <c r="F278" s="30" t="str">
        <f>+IFERROR(VLOOKUP(C278,Sheet2!C:F,4,0),"")</f>
        <v/>
      </c>
      <c r="G278" t="str">
        <f>+IFERROR(VLOOKUP(F278,Sheet2!F:H,3,0),"")</f>
        <v/>
      </c>
      <c r="K278" s="28" t="str">
        <f>+'S3'!AC278</f>
        <v/>
      </c>
      <c r="L278" t="str">
        <f>IF('S3'!J278&lt;&gt;"",'S3'!J278,"")</f>
        <v/>
      </c>
      <c r="M278" t="str">
        <f>IF('S3'!K278&lt;&gt;"",'S3'!K278,"")</f>
        <v/>
      </c>
      <c r="N278">
        <f>+IFERROR(VLOOKUP(L278,Sheet3!A:C,3,0)," ")</f>
        <v>0</v>
      </c>
      <c r="Q278">
        <f>+'S3'!N278</f>
        <v>0</v>
      </c>
      <c r="R278" s="25">
        <f>+'S3'!T278</f>
        <v>0</v>
      </c>
      <c r="U278">
        <f t="shared" si="12"/>
        <v>0</v>
      </c>
      <c r="V278" s="12" t="str">
        <f>+'S3'!X278</f>
        <v/>
      </c>
      <c r="W278" s="34" t="str">
        <f>+'S3'!Y278</f>
        <v/>
      </c>
      <c r="Y278" s="12" t="str">
        <f t="shared" si="14"/>
        <v/>
      </c>
      <c r="Z278" s="27" t="str">
        <f t="shared" si="13"/>
        <v/>
      </c>
      <c r="AA278" s="22">
        <v>0</v>
      </c>
      <c r="AB278" s="26" t="str">
        <f>+'S3'!Z278</f>
        <v/>
      </c>
    </row>
    <row r="279" spans="3:28" x14ac:dyDescent="0.3">
      <c r="C279" t="str">
        <f>+'S3'!AB279</f>
        <v/>
      </c>
      <c r="D279" t="str">
        <f>+IFERROR(VLOOKUP(F279,Sheet2!F:G,2,0),"")</f>
        <v/>
      </c>
      <c r="E279" t="str">
        <f>+IFERROR(VLOOKUP(C279,'S3'!E:F,2,0),"")</f>
        <v/>
      </c>
      <c r="F279" s="30" t="str">
        <f>+IFERROR(VLOOKUP(C279,Sheet2!C:F,4,0),"")</f>
        <v/>
      </c>
      <c r="G279" t="str">
        <f>+IFERROR(VLOOKUP(F279,Sheet2!F:H,3,0),"")</f>
        <v/>
      </c>
      <c r="K279" s="28" t="str">
        <f>+'S3'!AC279</f>
        <v/>
      </c>
      <c r="L279" t="str">
        <f>IF('S3'!J279&lt;&gt;"",'S3'!J279,"")</f>
        <v/>
      </c>
      <c r="M279" t="str">
        <f>IF('S3'!K279&lt;&gt;"",'S3'!K279,"")</f>
        <v/>
      </c>
      <c r="N279">
        <f>+IFERROR(VLOOKUP(L279,Sheet3!A:C,3,0)," ")</f>
        <v>0</v>
      </c>
      <c r="Q279">
        <f>+'S3'!N279</f>
        <v>0</v>
      </c>
      <c r="R279" s="25">
        <f>+'S3'!T279</f>
        <v>0</v>
      </c>
      <c r="U279">
        <f t="shared" si="12"/>
        <v>0</v>
      </c>
      <c r="V279" s="12" t="str">
        <f>+'S3'!X279</f>
        <v/>
      </c>
      <c r="W279" s="34" t="str">
        <f>+'S3'!Y279</f>
        <v/>
      </c>
      <c r="Y279" s="12" t="str">
        <f t="shared" si="14"/>
        <v/>
      </c>
      <c r="Z279" s="27" t="str">
        <f t="shared" si="13"/>
        <v/>
      </c>
      <c r="AA279" s="22">
        <v>0</v>
      </c>
      <c r="AB279" s="26" t="str">
        <f>+'S3'!Z279</f>
        <v/>
      </c>
    </row>
    <row r="280" spans="3:28" x14ac:dyDescent="0.3">
      <c r="C280" t="str">
        <f>+'S3'!AB280</f>
        <v/>
      </c>
      <c r="D280" t="str">
        <f>+IFERROR(VLOOKUP(F280,Sheet2!F:G,2,0),"")</f>
        <v/>
      </c>
      <c r="E280" t="str">
        <f>+IFERROR(VLOOKUP(C280,'S3'!E:F,2,0),"")</f>
        <v/>
      </c>
      <c r="F280" s="30" t="str">
        <f>+IFERROR(VLOOKUP(C280,Sheet2!C:F,4,0),"")</f>
        <v/>
      </c>
      <c r="G280" t="str">
        <f>+IFERROR(VLOOKUP(F280,Sheet2!F:H,3,0),"")</f>
        <v/>
      </c>
      <c r="K280" s="28" t="str">
        <f>+'S3'!AC280</f>
        <v/>
      </c>
      <c r="L280" t="str">
        <f>IF('S3'!J280&lt;&gt;"",'S3'!J280,"")</f>
        <v/>
      </c>
      <c r="M280" t="str">
        <f>IF('S3'!K280&lt;&gt;"",'S3'!K280,"")</f>
        <v/>
      </c>
      <c r="N280">
        <f>+IFERROR(VLOOKUP(L280,Sheet3!A:C,3,0)," ")</f>
        <v>0</v>
      </c>
      <c r="Q280">
        <f>+'S3'!N280</f>
        <v>0</v>
      </c>
      <c r="R280" s="25">
        <f>+'S3'!T280</f>
        <v>0</v>
      </c>
      <c r="U280">
        <f t="shared" si="12"/>
        <v>0</v>
      </c>
      <c r="V280" s="12" t="str">
        <f>+'S3'!X280</f>
        <v/>
      </c>
      <c r="W280" s="34" t="str">
        <f>+'S3'!Y280</f>
        <v/>
      </c>
      <c r="Y280" s="12" t="str">
        <f t="shared" si="14"/>
        <v/>
      </c>
      <c r="Z280" s="27" t="str">
        <f t="shared" si="13"/>
        <v/>
      </c>
      <c r="AA280" s="22">
        <v>0</v>
      </c>
      <c r="AB280" s="26" t="str">
        <f>+'S3'!Z280</f>
        <v/>
      </c>
    </row>
    <row r="281" spans="3:28" x14ac:dyDescent="0.3">
      <c r="C281" t="str">
        <f>+'S3'!AB281</f>
        <v/>
      </c>
      <c r="D281" t="str">
        <f>+IFERROR(VLOOKUP(F281,Sheet2!F:G,2,0),"")</f>
        <v/>
      </c>
      <c r="E281" t="str">
        <f>+IFERROR(VLOOKUP(C281,'S3'!E:F,2,0),"")</f>
        <v/>
      </c>
      <c r="F281" s="30" t="str">
        <f>+IFERROR(VLOOKUP(C281,Sheet2!C:F,4,0),"")</f>
        <v/>
      </c>
      <c r="G281" t="str">
        <f>+IFERROR(VLOOKUP(F281,Sheet2!F:H,3,0),"")</f>
        <v/>
      </c>
      <c r="K281" s="28" t="str">
        <f>+'S3'!AC281</f>
        <v/>
      </c>
      <c r="L281" t="str">
        <f>IF('S3'!J281&lt;&gt;"",'S3'!J281,"")</f>
        <v/>
      </c>
      <c r="M281" t="str">
        <f>IF('S3'!K281&lt;&gt;"",'S3'!K281,"")</f>
        <v/>
      </c>
      <c r="N281">
        <f>+IFERROR(VLOOKUP(L281,Sheet3!A:C,3,0)," ")</f>
        <v>0</v>
      </c>
      <c r="Q281">
        <f>+'S3'!N281</f>
        <v>0</v>
      </c>
      <c r="R281" s="25">
        <f>+'S3'!T281</f>
        <v>0</v>
      </c>
      <c r="U281">
        <f t="shared" si="12"/>
        <v>0</v>
      </c>
      <c r="V281" s="12" t="str">
        <f>+'S3'!X281</f>
        <v/>
      </c>
      <c r="W281" s="34" t="str">
        <f>+'S3'!Y281</f>
        <v/>
      </c>
      <c r="Y281" s="12" t="str">
        <f t="shared" si="14"/>
        <v/>
      </c>
      <c r="Z281" s="27" t="str">
        <f t="shared" si="13"/>
        <v/>
      </c>
      <c r="AA281" s="22">
        <v>0</v>
      </c>
      <c r="AB281" s="26" t="str">
        <f>+'S3'!Z281</f>
        <v/>
      </c>
    </row>
    <row r="282" spans="3:28" x14ac:dyDescent="0.3">
      <c r="C282" t="str">
        <f>+'S3'!AB282</f>
        <v/>
      </c>
      <c r="D282" t="str">
        <f>+IFERROR(VLOOKUP(F282,Sheet2!F:G,2,0),"")</f>
        <v/>
      </c>
      <c r="E282" t="str">
        <f>+IFERROR(VLOOKUP(C282,'S3'!E:F,2,0),"")</f>
        <v/>
      </c>
      <c r="F282" s="30" t="str">
        <f>+IFERROR(VLOOKUP(C282,Sheet2!C:F,4,0),"")</f>
        <v/>
      </c>
      <c r="G282" t="str">
        <f>+IFERROR(VLOOKUP(F282,Sheet2!F:H,3,0),"")</f>
        <v/>
      </c>
      <c r="K282" s="28" t="str">
        <f>+'S3'!AC282</f>
        <v/>
      </c>
      <c r="L282" t="str">
        <f>IF('S3'!J282&lt;&gt;"",'S3'!J282,"")</f>
        <v/>
      </c>
      <c r="M282" t="str">
        <f>IF('S3'!K282&lt;&gt;"",'S3'!K282,"")</f>
        <v/>
      </c>
      <c r="N282">
        <f>+IFERROR(VLOOKUP(L282,Sheet3!A:C,3,0)," ")</f>
        <v>0</v>
      </c>
      <c r="Q282">
        <f>+'S3'!N282</f>
        <v>0</v>
      </c>
      <c r="R282" s="25">
        <f>+'S3'!T282</f>
        <v>0</v>
      </c>
      <c r="U282">
        <f t="shared" si="12"/>
        <v>0</v>
      </c>
      <c r="V282" s="12" t="str">
        <f>+'S3'!X282</f>
        <v/>
      </c>
      <c r="W282" s="34" t="str">
        <f>+'S3'!Y282</f>
        <v/>
      </c>
      <c r="Y282" s="12" t="str">
        <f t="shared" si="14"/>
        <v/>
      </c>
      <c r="Z282" s="27" t="str">
        <f t="shared" si="13"/>
        <v/>
      </c>
      <c r="AA282" s="22">
        <v>0</v>
      </c>
      <c r="AB282" s="26" t="str">
        <f>+'S3'!Z282</f>
        <v/>
      </c>
    </row>
    <row r="283" spans="3:28" x14ac:dyDescent="0.3">
      <c r="C283" t="str">
        <f>+'S3'!AB283</f>
        <v/>
      </c>
      <c r="D283" t="str">
        <f>+IFERROR(VLOOKUP(F283,Sheet2!F:G,2,0),"")</f>
        <v/>
      </c>
      <c r="E283" t="str">
        <f>+IFERROR(VLOOKUP(C283,'S3'!E:F,2,0),"")</f>
        <v/>
      </c>
      <c r="F283" s="30" t="str">
        <f>+IFERROR(VLOOKUP(C283,Sheet2!C:F,4,0),"")</f>
        <v/>
      </c>
      <c r="G283" t="str">
        <f>+IFERROR(VLOOKUP(F283,Sheet2!F:H,3,0),"")</f>
        <v/>
      </c>
      <c r="K283" s="28" t="str">
        <f>+'S3'!AC283</f>
        <v/>
      </c>
      <c r="L283" t="str">
        <f>IF('S3'!J283&lt;&gt;"",'S3'!J283,"")</f>
        <v/>
      </c>
      <c r="M283" t="str">
        <f>IF('S3'!K283&lt;&gt;"",'S3'!K283,"")</f>
        <v/>
      </c>
      <c r="N283">
        <f>+IFERROR(VLOOKUP(L283,Sheet3!A:C,3,0)," ")</f>
        <v>0</v>
      </c>
      <c r="Q283">
        <f>+'S3'!N283</f>
        <v>0</v>
      </c>
      <c r="R283" s="25">
        <f>+'S3'!T283</f>
        <v>0</v>
      </c>
      <c r="U283">
        <f t="shared" si="12"/>
        <v>0</v>
      </c>
      <c r="V283" s="12" t="str">
        <f>+'S3'!X283</f>
        <v/>
      </c>
      <c r="W283" s="34" t="str">
        <f>+'S3'!Y283</f>
        <v/>
      </c>
      <c r="Y283" s="12" t="str">
        <f t="shared" si="14"/>
        <v/>
      </c>
      <c r="Z283" s="27" t="str">
        <f t="shared" si="13"/>
        <v/>
      </c>
      <c r="AA283" s="22">
        <v>0</v>
      </c>
      <c r="AB283" s="26" t="str">
        <f>+'S3'!Z283</f>
        <v/>
      </c>
    </row>
    <row r="284" spans="3:28" x14ac:dyDescent="0.3">
      <c r="C284" t="str">
        <f>+'S3'!AB284</f>
        <v/>
      </c>
      <c r="D284" t="str">
        <f>+IFERROR(VLOOKUP(F284,Sheet2!F:G,2,0),"")</f>
        <v/>
      </c>
      <c r="E284" t="str">
        <f>+IFERROR(VLOOKUP(C284,'S3'!E:F,2,0),"")</f>
        <v/>
      </c>
      <c r="F284" s="30" t="str">
        <f>+IFERROR(VLOOKUP(C284,Sheet2!C:F,4,0),"")</f>
        <v/>
      </c>
      <c r="G284" t="str">
        <f>+IFERROR(VLOOKUP(F284,Sheet2!F:H,3,0),"")</f>
        <v/>
      </c>
      <c r="K284" s="28" t="str">
        <f>+'S3'!AC284</f>
        <v/>
      </c>
      <c r="L284" t="str">
        <f>IF('S3'!J284&lt;&gt;"",'S3'!J284,"")</f>
        <v/>
      </c>
      <c r="M284" t="str">
        <f>IF('S3'!K284&lt;&gt;"",'S3'!K284,"")</f>
        <v/>
      </c>
      <c r="N284">
        <f>+IFERROR(VLOOKUP(L284,Sheet3!A:C,3,0)," ")</f>
        <v>0</v>
      </c>
      <c r="Q284">
        <f>+'S3'!N284</f>
        <v>0</v>
      </c>
      <c r="R284" s="25">
        <f>+'S3'!T284</f>
        <v>0</v>
      </c>
      <c r="U284">
        <f t="shared" si="12"/>
        <v>0</v>
      </c>
      <c r="V284" s="12" t="str">
        <f>+'S3'!X284</f>
        <v/>
      </c>
      <c r="W284" s="34" t="str">
        <f>+'S3'!Y284</f>
        <v/>
      </c>
      <c r="Y284" s="12" t="str">
        <f t="shared" si="14"/>
        <v/>
      </c>
      <c r="Z284" s="27" t="str">
        <f t="shared" si="13"/>
        <v/>
      </c>
      <c r="AA284" s="22">
        <v>0</v>
      </c>
      <c r="AB284" s="26" t="str">
        <f>+'S3'!Z284</f>
        <v/>
      </c>
    </row>
    <row r="285" spans="3:28" x14ac:dyDescent="0.3">
      <c r="C285" t="str">
        <f>+'S3'!AB285</f>
        <v/>
      </c>
      <c r="D285" t="str">
        <f>+IFERROR(VLOOKUP(F285,Sheet2!F:G,2,0),"")</f>
        <v/>
      </c>
      <c r="E285" t="str">
        <f>+IFERROR(VLOOKUP(C285,'S3'!E:F,2,0),"")</f>
        <v/>
      </c>
      <c r="F285" s="30" t="str">
        <f>+IFERROR(VLOOKUP(C285,Sheet2!C:F,4,0),"")</f>
        <v/>
      </c>
      <c r="G285" t="str">
        <f>+IFERROR(VLOOKUP(F285,Sheet2!F:H,3,0),"")</f>
        <v/>
      </c>
      <c r="K285" s="28" t="str">
        <f>+'S3'!AC285</f>
        <v/>
      </c>
      <c r="L285" t="str">
        <f>IF('S3'!J285&lt;&gt;"",'S3'!J285,"")</f>
        <v/>
      </c>
      <c r="M285" t="str">
        <f>IF('S3'!K285&lt;&gt;"",'S3'!K285,"")</f>
        <v/>
      </c>
      <c r="N285">
        <f>+IFERROR(VLOOKUP(L285,Sheet3!A:C,3,0)," ")</f>
        <v>0</v>
      </c>
      <c r="Q285">
        <f>+'S3'!N285</f>
        <v>0</v>
      </c>
      <c r="R285" s="25">
        <f>+'S3'!T285</f>
        <v>0</v>
      </c>
      <c r="U285">
        <f t="shared" si="12"/>
        <v>0</v>
      </c>
      <c r="V285" s="12" t="str">
        <f>+'S3'!X285</f>
        <v/>
      </c>
      <c r="W285" s="34" t="str">
        <f>+'S3'!Y285</f>
        <v/>
      </c>
      <c r="Y285" s="12" t="str">
        <f t="shared" si="14"/>
        <v/>
      </c>
      <c r="Z285" s="27" t="str">
        <f t="shared" si="13"/>
        <v/>
      </c>
      <c r="AA285" s="22">
        <v>0</v>
      </c>
      <c r="AB285" s="26" t="str">
        <f>+'S3'!Z285</f>
        <v/>
      </c>
    </row>
    <row r="286" spans="3:28" x14ac:dyDescent="0.3">
      <c r="C286" t="str">
        <f>+'S3'!AB286</f>
        <v/>
      </c>
      <c r="D286" t="str">
        <f>+IFERROR(VLOOKUP(F286,Sheet2!F:G,2,0),"")</f>
        <v/>
      </c>
      <c r="E286" t="str">
        <f>+IFERROR(VLOOKUP(C286,'S3'!E:F,2,0),"")</f>
        <v/>
      </c>
      <c r="F286" s="30" t="str">
        <f>+IFERROR(VLOOKUP(C286,Sheet2!C:F,4,0),"")</f>
        <v/>
      </c>
      <c r="G286" t="str">
        <f>+IFERROR(VLOOKUP(F286,Sheet2!F:H,3,0),"")</f>
        <v/>
      </c>
      <c r="K286" s="28" t="str">
        <f>+'S3'!AC286</f>
        <v/>
      </c>
      <c r="L286" t="str">
        <f>IF('S3'!J286&lt;&gt;"",'S3'!J286,"")</f>
        <v/>
      </c>
      <c r="M286" t="str">
        <f>IF('S3'!K286&lt;&gt;"",'S3'!K286,"")</f>
        <v/>
      </c>
      <c r="N286">
        <f>+IFERROR(VLOOKUP(L286,Sheet3!A:C,3,0)," ")</f>
        <v>0</v>
      </c>
      <c r="Q286">
        <f>+'S3'!N286</f>
        <v>0</v>
      </c>
      <c r="R286" s="25">
        <f>+'S3'!T286</f>
        <v>0</v>
      </c>
      <c r="U286">
        <f t="shared" si="12"/>
        <v>0</v>
      </c>
      <c r="V286" s="12" t="str">
        <f>+'S3'!X286</f>
        <v/>
      </c>
      <c r="W286" s="34" t="str">
        <f>+'S3'!Y286</f>
        <v/>
      </c>
      <c r="Y286" s="12" t="str">
        <f t="shared" si="14"/>
        <v/>
      </c>
      <c r="Z286" s="27" t="str">
        <f t="shared" si="13"/>
        <v/>
      </c>
      <c r="AA286" s="22">
        <v>0</v>
      </c>
      <c r="AB286" s="26" t="str">
        <f>+'S3'!Z286</f>
        <v/>
      </c>
    </row>
    <row r="287" spans="3:28" x14ac:dyDescent="0.3">
      <c r="C287" t="str">
        <f>+'S3'!AB287</f>
        <v/>
      </c>
      <c r="D287" t="str">
        <f>+IFERROR(VLOOKUP(F287,Sheet2!F:G,2,0),"")</f>
        <v/>
      </c>
      <c r="E287" t="str">
        <f>+IFERROR(VLOOKUP(C287,'S3'!E:F,2,0),"")</f>
        <v/>
      </c>
      <c r="F287" s="30" t="str">
        <f>+IFERROR(VLOOKUP(C287,Sheet2!C:F,4,0),"")</f>
        <v/>
      </c>
      <c r="G287" t="str">
        <f>+IFERROR(VLOOKUP(F287,Sheet2!F:H,3,0),"")</f>
        <v/>
      </c>
      <c r="K287" s="28" t="str">
        <f>+'S3'!AC287</f>
        <v/>
      </c>
      <c r="L287" t="str">
        <f>IF('S3'!J287&lt;&gt;"",'S3'!J287,"")</f>
        <v/>
      </c>
      <c r="M287" t="str">
        <f>IF('S3'!K287&lt;&gt;"",'S3'!K287,"")</f>
        <v/>
      </c>
      <c r="N287">
        <f>+IFERROR(VLOOKUP(L287,Sheet3!A:C,3,0)," ")</f>
        <v>0</v>
      </c>
      <c r="Q287">
        <f>+'S3'!N287</f>
        <v>0</v>
      </c>
      <c r="R287" s="25">
        <f>+'S3'!T287</f>
        <v>0</v>
      </c>
      <c r="U287">
        <f t="shared" si="12"/>
        <v>0</v>
      </c>
      <c r="V287" s="12" t="str">
        <f>+'S3'!X287</f>
        <v/>
      </c>
      <c r="W287" s="34" t="str">
        <f>+'S3'!Y287</f>
        <v/>
      </c>
      <c r="Y287" s="12" t="str">
        <f t="shared" si="14"/>
        <v/>
      </c>
      <c r="Z287" s="27" t="str">
        <f t="shared" si="13"/>
        <v/>
      </c>
      <c r="AA287" s="22">
        <v>0</v>
      </c>
      <c r="AB287" s="26" t="str">
        <f>+'S3'!Z287</f>
        <v/>
      </c>
    </row>
    <row r="288" spans="3:28" x14ac:dyDescent="0.3">
      <c r="C288" t="str">
        <f>+'S3'!AB288</f>
        <v/>
      </c>
      <c r="D288" t="str">
        <f>+IFERROR(VLOOKUP(F288,Sheet2!F:G,2,0),"")</f>
        <v/>
      </c>
      <c r="E288" t="str">
        <f>+IFERROR(VLOOKUP(C288,'S3'!E:F,2,0),"")</f>
        <v/>
      </c>
      <c r="F288" s="30" t="str">
        <f>+IFERROR(VLOOKUP(C288,Sheet2!C:F,4,0),"")</f>
        <v/>
      </c>
      <c r="G288" t="str">
        <f>+IFERROR(VLOOKUP(F288,Sheet2!F:H,3,0),"")</f>
        <v/>
      </c>
      <c r="K288" s="28" t="str">
        <f>+'S3'!AC288</f>
        <v/>
      </c>
      <c r="L288" t="str">
        <f>IF('S3'!J288&lt;&gt;"",'S3'!J288,"")</f>
        <v/>
      </c>
      <c r="M288" t="str">
        <f>IF('S3'!K288&lt;&gt;"",'S3'!K288,"")</f>
        <v/>
      </c>
      <c r="N288">
        <f>+IFERROR(VLOOKUP(L288,Sheet3!A:C,3,0)," ")</f>
        <v>0</v>
      </c>
      <c r="Q288">
        <f>+'S3'!N288</f>
        <v>0</v>
      </c>
      <c r="R288" s="25">
        <f>+'S3'!T288</f>
        <v>0</v>
      </c>
      <c r="U288">
        <f t="shared" si="12"/>
        <v>0</v>
      </c>
      <c r="V288" s="12" t="str">
        <f>+'S3'!X288</f>
        <v/>
      </c>
      <c r="W288" s="34" t="str">
        <f>+'S3'!Y288</f>
        <v/>
      </c>
      <c r="Y288" s="12" t="str">
        <f t="shared" si="14"/>
        <v/>
      </c>
      <c r="Z288" s="27" t="str">
        <f t="shared" si="13"/>
        <v/>
      </c>
      <c r="AA288" s="22">
        <v>0</v>
      </c>
      <c r="AB288" s="26" t="str">
        <f>+'S3'!Z288</f>
        <v/>
      </c>
    </row>
    <row r="289" spans="3:28" x14ac:dyDescent="0.3">
      <c r="C289" t="str">
        <f>+'S3'!AB289</f>
        <v/>
      </c>
      <c r="D289" t="str">
        <f>+IFERROR(VLOOKUP(F289,Sheet2!F:G,2,0),"")</f>
        <v/>
      </c>
      <c r="E289" t="str">
        <f>+IFERROR(VLOOKUP(C289,'S3'!E:F,2,0),"")</f>
        <v/>
      </c>
      <c r="F289" s="30" t="str">
        <f>+IFERROR(VLOOKUP(C289,Sheet2!C:F,4,0),"")</f>
        <v/>
      </c>
      <c r="G289" t="str">
        <f>+IFERROR(VLOOKUP(F289,Sheet2!F:H,3,0),"")</f>
        <v/>
      </c>
      <c r="K289" s="28" t="str">
        <f>+'S3'!AC289</f>
        <v/>
      </c>
      <c r="L289" t="str">
        <f>IF('S3'!J289&lt;&gt;"",'S3'!J289,"")</f>
        <v/>
      </c>
      <c r="M289" t="str">
        <f>IF('S3'!K289&lt;&gt;"",'S3'!K289,"")</f>
        <v/>
      </c>
      <c r="N289">
        <f>+IFERROR(VLOOKUP(L289,Sheet3!A:C,3,0)," ")</f>
        <v>0</v>
      </c>
      <c r="Q289">
        <f>+'S3'!N289</f>
        <v>0</v>
      </c>
      <c r="R289" s="25">
        <f>+'S3'!T289</f>
        <v>0</v>
      </c>
      <c r="U289">
        <f t="shared" si="12"/>
        <v>0</v>
      </c>
      <c r="V289" s="12" t="str">
        <f>+'S3'!X289</f>
        <v/>
      </c>
      <c r="W289" s="34" t="str">
        <f>+'S3'!Y289</f>
        <v/>
      </c>
      <c r="Y289" s="12" t="str">
        <f t="shared" si="14"/>
        <v/>
      </c>
      <c r="Z289" s="27" t="str">
        <f t="shared" si="13"/>
        <v/>
      </c>
      <c r="AA289" s="22">
        <v>0</v>
      </c>
      <c r="AB289" s="26" t="str">
        <f>+'S3'!Z289</f>
        <v/>
      </c>
    </row>
    <row r="290" spans="3:28" x14ac:dyDescent="0.3">
      <c r="C290" t="str">
        <f>+'S3'!AB290</f>
        <v/>
      </c>
      <c r="D290" t="str">
        <f>+IFERROR(VLOOKUP(F290,Sheet2!F:G,2,0),"")</f>
        <v/>
      </c>
      <c r="E290" t="str">
        <f>+IFERROR(VLOOKUP(C290,'S3'!E:F,2,0),"")</f>
        <v/>
      </c>
      <c r="F290" s="30" t="str">
        <f>+IFERROR(VLOOKUP(C290,Sheet2!C:F,4,0),"")</f>
        <v/>
      </c>
      <c r="G290" t="str">
        <f>+IFERROR(VLOOKUP(F290,Sheet2!F:H,3,0),"")</f>
        <v/>
      </c>
      <c r="K290" s="28" t="str">
        <f>+'S3'!AC290</f>
        <v/>
      </c>
      <c r="L290" t="str">
        <f>IF('S3'!J290&lt;&gt;"",'S3'!J290,"")</f>
        <v/>
      </c>
      <c r="M290" t="str">
        <f>IF('S3'!K290&lt;&gt;"",'S3'!K290,"")</f>
        <v/>
      </c>
      <c r="N290">
        <f>+IFERROR(VLOOKUP(L290,Sheet3!A:C,3,0)," ")</f>
        <v>0</v>
      </c>
      <c r="Q290">
        <f>+'S3'!N290</f>
        <v>0</v>
      </c>
      <c r="R290" s="25">
        <f>+'S3'!T290</f>
        <v>0</v>
      </c>
      <c r="U290">
        <f t="shared" si="12"/>
        <v>0</v>
      </c>
      <c r="V290" s="12" t="str">
        <f>+'S3'!X290</f>
        <v/>
      </c>
      <c r="W290" s="34" t="str">
        <f>+'S3'!Y290</f>
        <v/>
      </c>
      <c r="Y290" s="12" t="str">
        <f t="shared" si="14"/>
        <v/>
      </c>
      <c r="Z290" s="27" t="str">
        <f t="shared" si="13"/>
        <v/>
      </c>
      <c r="AA290" s="22">
        <v>0</v>
      </c>
      <c r="AB290" s="26" t="str">
        <f>+'S3'!Z290</f>
        <v/>
      </c>
    </row>
    <row r="291" spans="3:28" x14ac:dyDescent="0.3">
      <c r="C291" t="str">
        <f>+'S3'!AB291</f>
        <v/>
      </c>
      <c r="D291" t="str">
        <f>+IFERROR(VLOOKUP(F291,Sheet2!F:G,2,0),"")</f>
        <v/>
      </c>
      <c r="E291" t="str">
        <f>+IFERROR(VLOOKUP(C291,'S3'!E:F,2,0),"")</f>
        <v/>
      </c>
      <c r="F291" s="30" t="str">
        <f>+IFERROR(VLOOKUP(C291,Sheet2!C:F,4,0),"")</f>
        <v/>
      </c>
      <c r="G291" t="str">
        <f>+IFERROR(VLOOKUP(F291,Sheet2!F:H,3,0),"")</f>
        <v/>
      </c>
      <c r="K291" s="28" t="str">
        <f>+'S3'!AC291</f>
        <v/>
      </c>
      <c r="L291" t="str">
        <f>IF('S3'!J291&lt;&gt;"",'S3'!J291,"")</f>
        <v/>
      </c>
      <c r="M291" t="str">
        <f>IF('S3'!K291&lt;&gt;"",'S3'!K291,"")</f>
        <v/>
      </c>
      <c r="N291">
        <f>+IFERROR(VLOOKUP(L291,Sheet3!A:C,3,0)," ")</f>
        <v>0</v>
      </c>
      <c r="Q291">
        <f>+'S3'!N291</f>
        <v>0</v>
      </c>
      <c r="R291" s="25">
        <f>+'S3'!T291</f>
        <v>0</v>
      </c>
      <c r="U291">
        <f t="shared" si="12"/>
        <v>0</v>
      </c>
      <c r="V291" s="12" t="str">
        <f>+'S3'!X291</f>
        <v/>
      </c>
      <c r="W291" s="34" t="str">
        <f>+'S3'!Y291</f>
        <v/>
      </c>
      <c r="Y291" s="12" t="str">
        <f t="shared" si="14"/>
        <v/>
      </c>
      <c r="Z291" s="27" t="str">
        <f t="shared" si="13"/>
        <v/>
      </c>
      <c r="AA291" s="22">
        <v>0</v>
      </c>
      <c r="AB291" s="26" t="str">
        <f>+'S3'!Z291</f>
        <v/>
      </c>
    </row>
    <row r="292" spans="3:28" x14ac:dyDescent="0.3">
      <c r="C292" t="str">
        <f>+'S3'!AB292</f>
        <v/>
      </c>
      <c r="D292" t="str">
        <f>+IFERROR(VLOOKUP(F292,Sheet2!F:G,2,0),"")</f>
        <v/>
      </c>
      <c r="E292" t="str">
        <f>+IFERROR(VLOOKUP(C292,'S3'!E:F,2,0),"")</f>
        <v/>
      </c>
      <c r="F292" s="30" t="str">
        <f>+IFERROR(VLOOKUP(C292,Sheet2!C:F,4,0),"")</f>
        <v/>
      </c>
      <c r="G292" t="str">
        <f>+IFERROR(VLOOKUP(F292,Sheet2!F:H,3,0),"")</f>
        <v/>
      </c>
      <c r="K292" s="28" t="str">
        <f>+'S3'!AC292</f>
        <v/>
      </c>
      <c r="L292" t="str">
        <f>IF('S3'!J292&lt;&gt;"",'S3'!J292,"")</f>
        <v/>
      </c>
      <c r="M292" t="str">
        <f>IF('S3'!K292&lt;&gt;"",'S3'!K292,"")</f>
        <v/>
      </c>
      <c r="N292">
        <f>+IFERROR(VLOOKUP(L292,Sheet3!A:C,3,0)," ")</f>
        <v>0</v>
      </c>
      <c r="Q292">
        <f>+'S3'!N292</f>
        <v>0</v>
      </c>
      <c r="R292" s="25">
        <f>+'S3'!T292</f>
        <v>0</v>
      </c>
      <c r="U292">
        <f t="shared" si="12"/>
        <v>0</v>
      </c>
      <c r="V292" s="12" t="str">
        <f>+'S3'!X292</f>
        <v/>
      </c>
      <c r="W292" s="34" t="str">
        <f>+'S3'!Y292</f>
        <v/>
      </c>
      <c r="Y292" s="12" t="str">
        <f t="shared" si="14"/>
        <v/>
      </c>
      <c r="Z292" s="27" t="str">
        <f t="shared" si="13"/>
        <v/>
      </c>
      <c r="AA292" s="22">
        <v>0</v>
      </c>
      <c r="AB292" s="26" t="str">
        <f>+'S3'!Z292</f>
        <v/>
      </c>
    </row>
    <row r="293" spans="3:28" x14ac:dyDescent="0.3">
      <c r="C293" t="str">
        <f>+'S3'!AB293</f>
        <v/>
      </c>
      <c r="D293" t="str">
        <f>+IFERROR(VLOOKUP(F293,Sheet2!F:G,2,0),"")</f>
        <v/>
      </c>
      <c r="E293" t="str">
        <f>+IFERROR(VLOOKUP(C293,'S3'!E:F,2,0),"")</f>
        <v/>
      </c>
      <c r="F293" s="30" t="str">
        <f>+IFERROR(VLOOKUP(C293,Sheet2!C:F,4,0),"")</f>
        <v/>
      </c>
      <c r="G293" t="str">
        <f>+IFERROR(VLOOKUP(F293,Sheet2!F:H,3,0),"")</f>
        <v/>
      </c>
      <c r="K293" s="28" t="str">
        <f>+'S3'!AC293</f>
        <v/>
      </c>
      <c r="L293" t="str">
        <f>IF('S3'!J293&lt;&gt;"",'S3'!J293,"")</f>
        <v/>
      </c>
      <c r="M293" t="str">
        <f>IF('S3'!K293&lt;&gt;"",'S3'!K293,"")</f>
        <v/>
      </c>
      <c r="N293">
        <f>+IFERROR(VLOOKUP(L293,Sheet3!A:C,3,0)," ")</f>
        <v>0</v>
      </c>
      <c r="Q293">
        <f>+'S3'!N293</f>
        <v>0</v>
      </c>
      <c r="R293" s="25">
        <f>+'S3'!T293</f>
        <v>0</v>
      </c>
      <c r="U293">
        <f t="shared" si="12"/>
        <v>0</v>
      </c>
      <c r="V293" s="12" t="str">
        <f>+'S3'!X293</f>
        <v/>
      </c>
      <c r="W293" s="34" t="str">
        <f>+'S3'!Y293</f>
        <v/>
      </c>
      <c r="Y293" s="12" t="str">
        <f t="shared" si="14"/>
        <v/>
      </c>
      <c r="Z293" s="27" t="str">
        <f t="shared" si="13"/>
        <v/>
      </c>
      <c r="AA293" s="22">
        <v>0</v>
      </c>
      <c r="AB293" s="26" t="str">
        <f>+'S3'!Z293</f>
        <v/>
      </c>
    </row>
    <row r="294" spans="3:28" x14ac:dyDescent="0.3">
      <c r="C294" t="str">
        <f>+'S3'!AB294</f>
        <v/>
      </c>
      <c r="D294" t="str">
        <f>+IFERROR(VLOOKUP(F294,Sheet2!F:G,2,0),"")</f>
        <v/>
      </c>
      <c r="E294" t="str">
        <f>+IFERROR(VLOOKUP(C294,'S3'!E:F,2,0),"")</f>
        <v/>
      </c>
      <c r="F294" s="30" t="str">
        <f>+IFERROR(VLOOKUP(C294,Sheet2!C:F,4,0),"")</f>
        <v/>
      </c>
      <c r="G294" t="str">
        <f>+IFERROR(VLOOKUP(F294,Sheet2!F:H,3,0),"")</f>
        <v/>
      </c>
      <c r="K294" s="28" t="str">
        <f>+'S3'!AC294</f>
        <v/>
      </c>
      <c r="L294" t="str">
        <f>IF('S3'!J294&lt;&gt;"",'S3'!J294,"")</f>
        <v/>
      </c>
      <c r="M294" t="str">
        <f>IF('S3'!K294&lt;&gt;"",'S3'!K294,"")</f>
        <v/>
      </c>
      <c r="N294">
        <f>+IFERROR(VLOOKUP(L294,Sheet3!A:C,3,0)," ")</f>
        <v>0</v>
      </c>
      <c r="Q294">
        <f>+'S3'!N294</f>
        <v>0</v>
      </c>
      <c r="R294" s="25">
        <f>+'S3'!T294</f>
        <v>0</v>
      </c>
      <c r="U294">
        <f t="shared" si="12"/>
        <v>0</v>
      </c>
      <c r="V294" s="12" t="str">
        <f>+'S3'!X294</f>
        <v/>
      </c>
      <c r="W294" s="34" t="str">
        <f>+'S3'!Y294</f>
        <v/>
      </c>
      <c r="Y294" s="12" t="str">
        <f t="shared" si="14"/>
        <v/>
      </c>
      <c r="Z294" s="27" t="str">
        <f t="shared" si="13"/>
        <v/>
      </c>
      <c r="AA294" s="22">
        <v>0</v>
      </c>
      <c r="AB294" s="26" t="str">
        <f>+'S3'!Z294</f>
        <v/>
      </c>
    </row>
    <row r="295" spans="3:28" x14ac:dyDescent="0.3">
      <c r="C295" t="str">
        <f>+'S3'!AB295</f>
        <v/>
      </c>
      <c r="D295" t="str">
        <f>+IFERROR(VLOOKUP(F295,Sheet2!F:G,2,0),"")</f>
        <v/>
      </c>
      <c r="E295" t="str">
        <f>+IFERROR(VLOOKUP(C295,'S3'!E:F,2,0),"")</f>
        <v/>
      </c>
      <c r="F295" s="30" t="str">
        <f>+IFERROR(VLOOKUP(C295,Sheet2!C:F,4,0),"")</f>
        <v/>
      </c>
      <c r="G295" t="str">
        <f>+IFERROR(VLOOKUP(F295,Sheet2!F:H,3,0),"")</f>
        <v/>
      </c>
      <c r="K295" s="28" t="str">
        <f>+'S3'!AC295</f>
        <v/>
      </c>
      <c r="L295" t="str">
        <f>IF('S3'!J295&lt;&gt;"",'S3'!J295,"")</f>
        <v/>
      </c>
      <c r="M295" t="str">
        <f>IF('S3'!K295&lt;&gt;"",'S3'!K295,"")</f>
        <v/>
      </c>
      <c r="N295">
        <f>+IFERROR(VLOOKUP(L295,Sheet3!A:C,3,0)," ")</f>
        <v>0</v>
      </c>
      <c r="Q295">
        <f>+'S3'!N295</f>
        <v>0</v>
      </c>
      <c r="R295" s="25">
        <f>+'S3'!T295</f>
        <v>0</v>
      </c>
      <c r="U295">
        <f t="shared" si="12"/>
        <v>0</v>
      </c>
      <c r="V295" s="12" t="str">
        <f>+'S3'!X295</f>
        <v/>
      </c>
      <c r="W295" s="34" t="str">
        <f>+'S3'!Y295</f>
        <v/>
      </c>
      <c r="Y295" s="12" t="str">
        <f t="shared" si="14"/>
        <v/>
      </c>
      <c r="Z295" s="27" t="str">
        <f t="shared" si="13"/>
        <v/>
      </c>
      <c r="AA295" s="22">
        <v>0</v>
      </c>
      <c r="AB295" s="26" t="str">
        <f>+'S3'!Z295</f>
        <v/>
      </c>
    </row>
    <row r="296" spans="3:28" x14ac:dyDescent="0.3">
      <c r="C296" t="str">
        <f>+'S3'!AB296</f>
        <v/>
      </c>
      <c r="D296" t="str">
        <f>+IFERROR(VLOOKUP(F296,Sheet2!F:G,2,0),"")</f>
        <v/>
      </c>
      <c r="E296" t="str">
        <f>+IFERROR(VLOOKUP(C296,'S3'!E:F,2,0),"")</f>
        <v/>
      </c>
      <c r="F296" s="30" t="str">
        <f>+IFERROR(VLOOKUP(C296,Sheet2!C:F,4,0),"")</f>
        <v/>
      </c>
      <c r="G296" t="str">
        <f>+IFERROR(VLOOKUP(F296,Sheet2!F:H,3,0),"")</f>
        <v/>
      </c>
      <c r="K296" s="28" t="str">
        <f>+'S3'!AC296</f>
        <v/>
      </c>
      <c r="L296" t="str">
        <f>IF('S3'!J296&lt;&gt;"",'S3'!J296,"")</f>
        <v/>
      </c>
      <c r="M296" t="str">
        <f>IF('S3'!K296&lt;&gt;"",'S3'!K296,"")</f>
        <v/>
      </c>
      <c r="N296">
        <f>+IFERROR(VLOOKUP(L296,Sheet3!A:C,3,0)," ")</f>
        <v>0</v>
      </c>
      <c r="Q296">
        <f>+'S3'!N296</f>
        <v>0</v>
      </c>
      <c r="R296" s="25">
        <f>+'S3'!T296</f>
        <v>0</v>
      </c>
      <c r="U296">
        <f t="shared" si="12"/>
        <v>0</v>
      </c>
      <c r="V296" s="12" t="str">
        <f>+'S3'!X296</f>
        <v/>
      </c>
      <c r="W296" s="34" t="str">
        <f>+'S3'!Y296</f>
        <v/>
      </c>
      <c r="Y296" s="12" t="str">
        <f t="shared" si="14"/>
        <v/>
      </c>
      <c r="Z296" s="27" t="str">
        <f t="shared" si="13"/>
        <v/>
      </c>
      <c r="AA296" s="22">
        <v>0</v>
      </c>
      <c r="AB296" s="26" t="str">
        <f>+'S3'!Z296</f>
        <v/>
      </c>
    </row>
    <row r="297" spans="3:28" x14ac:dyDescent="0.3">
      <c r="C297" t="str">
        <f>+'S3'!AB297</f>
        <v/>
      </c>
      <c r="D297" t="str">
        <f>+IFERROR(VLOOKUP(F297,Sheet2!F:G,2,0),"")</f>
        <v/>
      </c>
      <c r="E297" t="str">
        <f>+IFERROR(VLOOKUP(C297,'S3'!E:F,2,0),"")</f>
        <v/>
      </c>
      <c r="F297" s="30" t="str">
        <f>+IFERROR(VLOOKUP(C297,Sheet2!C:F,4,0),"")</f>
        <v/>
      </c>
      <c r="G297" t="str">
        <f>+IFERROR(VLOOKUP(F297,Sheet2!F:H,3,0),"")</f>
        <v/>
      </c>
      <c r="K297" s="28" t="str">
        <f>+'S3'!AC297</f>
        <v/>
      </c>
      <c r="L297" t="str">
        <f>IF('S3'!J297&lt;&gt;"",'S3'!J297,"")</f>
        <v/>
      </c>
      <c r="M297" t="str">
        <f>IF('S3'!K297&lt;&gt;"",'S3'!K297,"")</f>
        <v/>
      </c>
      <c r="N297">
        <f>+IFERROR(VLOOKUP(L297,Sheet3!A:C,3,0)," ")</f>
        <v>0</v>
      </c>
      <c r="Q297">
        <f>+'S3'!N297</f>
        <v>0</v>
      </c>
      <c r="R297" s="25">
        <f>+'S3'!T297</f>
        <v>0</v>
      </c>
      <c r="U297">
        <f t="shared" si="12"/>
        <v>0</v>
      </c>
      <c r="V297" s="12" t="str">
        <f>+'S3'!X297</f>
        <v/>
      </c>
      <c r="W297" s="34" t="str">
        <f>+'S3'!Y297</f>
        <v/>
      </c>
      <c r="Y297" s="12" t="str">
        <f t="shared" si="14"/>
        <v/>
      </c>
      <c r="Z297" s="27" t="str">
        <f t="shared" si="13"/>
        <v/>
      </c>
      <c r="AA297" s="22">
        <v>0</v>
      </c>
      <c r="AB297" s="26" t="str">
        <f>+'S3'!Z297</f>
        <v/>
      </c>
    </row>
    <row r="298" spans="3:28" x14ac:dyDescent="0.3">
      <c r="C298" t="str">
        <f>+'S3'!AB298</f>
        <v/>
      </c>
      <c r="D298" t="str">
        <f>+IFERROR(VLOOKUP(F298,Sheet2!F:G,2,0),"")</f>
        <v/>
      </c>
      <c r="E298" t="str">
        <f>+IFERROR(VLOOKUP(C298,'S3'!E:F,2,0),"")</f>
        <v/>
      </c>
      <c r="F298" s="30" t="str">
        <f>+IFERROR(VLOOKUP(C298,Sheet2!C:F,4,0),"")</f>
        <v/>
      </c>
      <c r="G298" t="str">
        <f>+IFERROR(VLOOKUP(F298,Sheet2!F:H,3,0),"")</f>
        <v/>
      </c>
      <c r="K298" s="28" t="str">
        <f>+'S3'!AC298</f>
        <v/>
      </c>
      <c r="L298" t="str">
        <f>IF('S3'!J298&lt;&gt;"",'S3'!J298,"")</f>
        <v/>
      </c>
      <c r="M298" t="str">
        <f>IF('S3'!K298&lt;&gt;"",'S3'!K298,"")</f>
        <v/>
      </c>
      <c r="N298">
        <f>+IFERROR(VLOOKUP(L298,Sheet3!A:C,3,0)," ")</f>
        <v>0</v>
      </c>
      <c r="Q298">
        <f>+'S3'!N298</f>
        <v>0</v>
      </c>
      <c r="R298" s="25">
        <f>+'S3'!T298</f>
        <v>0</v>
      </c>
      <c r="U298">
        <f t="shared" si="12"/>
        <v>0</v>
      </c>
      <c r="V298" s="12" t="str">
        <f>+'S3'!X298</f>
        <v/>
      </c>
      <c r="W298" s="34" t="str">
        <f>+'S3'!Y298</f>
        <v/>
      </c>
      <c r="Y298" s="12" t="str">
        <f t="shared" si="14"/>
        <v/>
      </c>
      <c r="Z298" s="27" t="str">
        <f t="shared" si="13"/>
        <v/>
      </c>
      <c r="AA298" s="22">
        <v>0</v>
      </c>
      <c r="AB298" s="26" t="str">
        <f>+'S3'!Z298</f>
        <v/>
      </c>
    </row>
    <row r="299" spans="3:28" x14ac:dyDescent="0.3">
      <c r="C299" t="str">
        <f>+'S3'!AB299</f>
        <v/>
      </c>
      <c r="D299" t="str">
        <f>+IFERROR(VLOOKUP(F299,Sheet2!F:G,2,0),"")</f>
        <v/>
      </c>
      <c r="E299" t="str">
        <f>+IFERROR(VLOOKUP(C299,'S3'!E:F,2,0),"")</f>
        <v/>
      </c>
      <c r="F299" s="30" t="str">
        <f>+IFERROR(VLOOKUP(C299,Sheet2!C:F,4,0),"")</f>
        <v/>
      </c>
      <c r="G299" t="str">
        <f>+IFERROR(VLOOKUP(F299,Sheet2!F:H,3,0),"")</f>
        <v/>
      </c>
      <c r="K299" s="28" t="str">
        <f>+'S3'!AC299</f>
        <v/>
      </c>
      <c r="L299" t="str">
        <f>IF('S3'!J299&lt;&gt;"",'S3'!J299,"")</f>
        <v/>
      </c>
      <c r="M299" t="str">
        <f>IF('S3'!K299&lt;&gt;"",'S3'!K299,"")</f>
        <v/>
      </c>
      <c r="N299">
        <f>+IFERROR(VLOOKUP(L299,Sheet3!A:C,3,0)," ")</f>
        <v>0</v>
      </c>
      <c r="Q299">
        <f>+'S3'!N299</f>
        <v>0</v>
      </c>
      <c r="R299" s="25">
        <f>+'S3'!T299</f>
        <v>0</v>
      </c>
      <c r="U299">
        <f t="shared" si="12"/>
        <v>0</v>
      </c>
      <c r="V299" s="12" t="str">
        <f>+'S3'!X299</f>
        <v/>
      </c>
      <c r="W299" s="34" t="str">
        <f>+'S3'!Y299</f>
        <v/>
      </c>
      <c r="Y299" s="12" t="str">
        <f t="shared" si="14"/>
        <v/>
      </c>
      <c r="Z299" s="27" t="str">
        <f t="shared" si="13"/>
        <v/>
      </c>
      <c r="AA299" s="22">
        <v>0</v>
      </c>
      <c r="AB299" s="26" t="str">
        <f>+'S3'!Z299</f>
        <v/>
      </c>
    </row>
    <row r="300" spans="3:28" x14ac:dyDescent="0.3">
      <c r="C300" t="str">
        <f>+'S3'!AB300</f>
        <v/>
      </c>
      <c r="D300" t="str">
        <f>+IFERROR(VLOOKUP(F300,Sheet2!F:G,2,0),"")</f>
        <v/>
      </c>
      <c r="E300" t="str">
        <f>+IFERROR(VLOOKUP(C300,'S3'!E:F,2,0),"")</f>
        <v/>
      </c>
      <c r="F300" s="30" t="str">
        <f>+IFERROR(VLOOKUP(C300,Sheet2!C:F,4,0),"")</f>
        <v/>
      </c>
      <c r="G300" t="str">
        <f>+IFERROR(VLOOKUP(F300,Sheet2!F:H,3,0),"")</f>
        <v/>
      </c>
      <c r="K300" s="28" t="str">
        <f>+'S3'!AC300</f>
        <v/>
      </c>
      <c r="L300" t="str">
        <f>IF('S3'!J300&lt;&gt;"",'S3'!J300,"")</f>
        <v/>
      </c>
      <c r="M300" t="str">
        <f>IF('S3'!K300&lt;&gt;"",'S3'!K300,"")</f>
        <v/>
      </c>
      <c r="N300">
        <f>+IFERROR(VLOOKUP(L300,Sheet3!A:C,3,0)," ")</f>
        <v>0</v>
      </c>
      <c r="Q300">
        <f>+'S3'!N300</f>
        <v>0</v>
      </c>
      <c r="R300" s="25">
        <f>+'S3'!T300</f>
        <v>0</v>
      </c>
      <c r="U300">
        <f t="shared" si="12"/>
        <v>0</v>
      </c>
      <c r="V300" s="12" t="str">
        <f>+'S3'!X300</f>
        <v/>
      </c>
      <c r="W300" s="34" t="str">
        <f>+'S3'!Y300</f>
        <v/>
      </c>
      <c r="Y300" s="12" t="str">
        <f t="shared" si="14"/>
        <v/>
      </c>
      <c r="Z300" s="27" t="str">
        <f t="shared" si="13"/>
        <v/>
      </c>
      <c r="AA300" s="22">
        <v>0</v>
      </c>
      <c r="AB300" s="26" t="str">
        <f>+'S3'!Z300</f>
        <v/>
      </c>
    </row>
    <row r="301" spans="3:28" x14ac:dyDescent="0.3">
      <c r="C301" t="str">
        <f>+'S3'!AB301</f>
        <v/>
      </c>
      <c r="D301" t="str">
        <f>+IFERROR(VLOOKUP(F301,Sheet2!F:G,2,0),"")</f>
        <v/>
      </c>
      <c r="E301" t="str">
        <f>+IFERROR(VLOOKUP(C301,'S3'!E:F,2,0),"")</f>
        <v/>
      </c>
      <c r="F301" s="30" t="str">
        <f>+IFERROR(VLOOKUP(C301,Sheet2!C:F,4,0),"")</f>
        <v/>
      </c>
      <c r="G301" t="str">
        <f>+IFERROR(VLOOKUP(F301,Sheet2!F:H,3,0),"")</f>
        <v/>
      </c>
      <c r="K301" s="28" t="str">
        <f>+'S3'!AC301</f>
        <v/>
      </c>
      <c r="L301" t="str">
        <f>IF('S3'!J301&lt;&gt;"",'S3'!J301,"")</f>
        <v/>
      </c>
      <c r="M301" t="str">
        <f>IF('S3'!K301&lt;&gt;"",'S3'!K301,"")</f>
        <v/>
      </c>
      <c r="N301">
        <f>+IFERROR(VLOOKUP(L301,Sheet3!A:C,3,0)," ")</f>
        <v>0</v>
      </c>
      <c r="Q301">
        <f>+'S3'!N301</f>
        <v>0</v>
      </c>
      <c r="R301" s="25">
        <f>+'S3'!T301</f>
        <v>0</v>
      </c>
      <c r="U301">
        <f t="shared" si="12"/>
        <v>0</v>
      </c>
      <c r="V301" s="12" t="str">
        <f>+'S3'!X301</f>
        <v/>
      </c>
      <c r="W301" s="34" t="str">
        <f>+'S3'!Y301</f>
        <v/>
      </c>
      <c r="Y301" s="12" t="str">
        <f t="shared" si="14"/>
        <v/>
      </c>
      <c r="Z301" s="27" t="str">
        <f t="shared" si="13"/>
        <v/>
      </c>
      <c r="AA301" s="22">
        <v>0</v>
      </c>
      <c r="AB301" s="26" t="str">
        <f>+'S3'!Z301</f>
        <v/>
      </c>
    </row>
    <row r="302" spans="3:28" x14ac:dyDescent="0.3">
      <c r="C302" t="str">
        <f>+'S3'!AB302</f>
        <v/>
      </c>
      <c r="D302" t="str">
        <f>+IFERROR(VLOOKUP(F302,Sheet2!F:G,2,0),"")</f>
        <v/>
      </c>
      <c r="E302" t="str">
        <f>+IFERROR(VLOOKUP(C302,'S3'!E:F,2,0),"")</f>
        <v/>
      </c>
      <c r="F302" s="30" t="str">
        <f>+IFERROR(VLOOKUP(C302,Sheet2!C:F,4,0),"")</f>
        <v/>
      </c>
      <c r="G302" t="str">
        <f>+IFERROR(VLOOKUP(F302,Sheet2!F:H,3,0),"")</f>
        <v/>
      </c>
      <c r="K302" s="28" t="str">
        <f>+'S3'!AC302</f>
        <v/>
      </c>
      <c r="L302" t="str">
        <f>IF('S3'!J302&lt;&gt;"",'S3'!J302,"")</f>
        <v/>
      </c>
      <c r="M302" t="str">
        <f>IF('S3'!K302&lt;&gt;"",'S3'!K302,"")</f>
        <v/>
      </c>
      <c r="N302">
        <f>+IFERROR(VLOOKUP(L302,Sheet3!A:C,3,0)," ")</f>
        <v>0</v>
      </c>
      <c r="Q302">
        <f>+'S3'!N302</f>
        <v>0</v>
      </c>
      <c r="R302" s="25">
        <f>+'S3'!T302</f>
        <v>0</v>
      </c>
      <c r="U302">
        <f t="shared" si="12"/>
        <v>0</v>
      </c>
      <c r="V302" s="12" t="str">
        <f>+'S3'!X302</f>
        <v/>
      </c>
      <c r="W302" s="34" t="str">
        <f>+'S3'!Y302</f>
        <v/>
      </c>
      <c r="Y302" s="12" t="str">
        <f t="shared" si="14"/>
        <v/>
      </c>
      <c r="Z302" s="27" t="str">
        <f t="shared" si="13"/>
        <v/>
      </c>
      <c r="AA302" s="22">
        <v>0</v>
      </c>
      <c r="AB302" s="26" t="str">
        <f>+'S3'!Z302</f>
        <v/>
      </c>
    </row>
    <row r="303" spans="3:28" x14ac:dyDescent="0.3">
      <c r="C303" t="str">
        <f>+'S3'!AB303</f>
        <v/>
      </c>
      <c r="D303" t="str">
        <f>+IFERROR(VLOOKUP(F303,Sheet2!F:G,2,0),"")</f>
        <v/>
      </c>
      <c r="E303" t="str">
        <f>+IFERROR(VLOOKUP(C303,'S3'!E:F,2,0),"")</f>
        <v/>
      </c>
      <c r="F303" s="30" t="str">
        <f>+IFERROR(VLOOKUP(C303,Sheet2!C:F,4,0),"")</f>
        <v/>
      </c>
      <c r="G303" t="str">
        <f>+IFERROR(VLOOKUP(F303,Sheet2!F:H,3,0),"")</f>
        <v/>
      </c>
      <c r="K303" s="28" t="str">
        <f>+'S3'!AC303</f>
        <v/>
      </c>
      <c r="L303" t="str">
        <f>IF('S3'!J303&lt;&gt;"",'S3'!J303,"")</f>
        <v/>
      </c>
      <c r="M303" t="str">
        <f>IF('S3'!K303&lt;&gt;"",'S3'!K303,"")</f>
        <v/>
      </c>
      <c r="N303">
        <f>+IFERROR(VLOOKUP(L303,Sheet3!A:C,3,0)," ")</f>
        <v>0</v>
      </c>
      <c r="Q303">
        <f>+'S3'!N303</f>
        <v>0</v>
      </c>
      <c r="R303" s="25">
        <f>+'S3'!T303</f>
        <v>0</v>
      </c>
      <c r="U303">
        <f t="shared" si="12"/>
        <v>0</v>
      </c>
      <c r="V303" s="12" t="str">
        <f>+'S3'!X303</f>
        <v/>
      </c>
      <c r="W303" s="34" t="str">
        <f>+'S3'!Y303</f>
        <v/>
      </c>
      <c r="Y303" s="12" t="str">
        <f t="shared" si="14"/>
        <v/>
      </c>
      <c r="Z303" s="27" t="str">
        <f t="shared" si="13"/>
        <v/>
      </c>
      <c r="AA303" s="22">
        <v>0</v>
      </c>
      <c r="AB303" s="26" t="str">
        <f>+'S3'!Z303</f>
        <v/>
      </c>
    </row>
    <row r="304" spans="3:28" x14ac:dyDescent="0.3">
      <c r="C304" t="str">
        <f>+'S3'!AB304</f>
        <v/>
      </c>
      <c r="D304" t="str">
        <f>+IFERROR(VLOOKUP(F304,Sheet2!F:G,2,0),"")</f>
        <v/>
      </c>
      <c r="E304" t="str">
        <f>+IFERROR(VLOOKUP(C304,'S3'!E:F,2,0),"")</f>
        <v/>
      </c>
      <c r="F304" s="30" t="str">
        <f>+IFERROR(VLOOKUP(C304,Sheet2!C:F,4,0),"")</f>
        <v/>
      </c>
      <c r="G304" t="str">
        <f>+IFERROR(VLOOKUP(F304,Sheet2!F:H,3,0),"")</f>
        <v/>
      </c>
      <c r="K304" s="28" t="str">
        <f>+'S3'!AC304</f>
        <v/>
      </c>
      <c r="L304" t="str">
        <f>IF('S3'!J304&lt;&gt;"",'S3'!J304,"")</f>
        <v/>
      </c>
      <c r="M304" t="str">
        <f>IF('S3'!K304&lt;&gt;"",'S3'!K304,"")</f>
        <v/>
      </c>
      <c r="N304">
        <f>+IFERROR(VLOOKUP(L304,Sheet3!A:C,3,0)," ")</f>
        <v>0</v>
      </c>
      <c r="Q304">
        <f>+'S3'!N304</f>
        <v>0</v>
      </c>
      <c r="R304" s="25">
        <f>+'S3'!T304</f>
        <v>0</v>
      </c>
      <c r="U304">
        <f t="shared" si="12"/>
        <v>0</v>
      </c>
      <c r="V304" s="12" t="str">
        <f>+'S3'!X304</f>
        <v/>
      </c>
      <c r="W304" s="34" t="str">
        <f>+'S3'!Y304</f>
        <v/>
      </c>
      <c r="Y304" s="12" t="str">
        <f t="shared" si="14"/>
        <v/>
      </c>
      <c r="Z304" s="27" t="str">
        <f t="shared" si="13"/>
        <v/>
      </c>
      <c r="AA304" s="22">
        <v>0</v>
      </c>
      <c r="AB304" s="26" t="str">
        <f>+'S3'!Z304</f>
        <v/>
      </c>
    </row>
    <row r="305" spans="3:28" x14ac:dyDescent="0.3">
      <c r="C305" t="str">
        <f>+'S3'!AB305</f>
        <v/>
      </c>
      <c r="D305" t="str">
        <f>+IFERROR(VLOOKUP(F305,Sheet2!F:G,2,0),"")</f>
        <v/>
      </c>
      <c r="E305" t="str">
        <f>+IFERROR(VLOOKUP(C305,'S3'!E:F,2,0),"")</f>
        <v/>
      </c>
      <c r="F305" s="30" t="str">
        <f>+IFERROR(VLOOKUP(C305,Sheet2!C:F,4,0),"")</f>
        <v/>
      </c>
      <c r="G305" t="str">
        <f>+IFERROR(VLOOKUP(F305,Sheet2!F:H,3,0),"")</f>
        <v/>
      </c>
      <c r="K305" s="28" t="str">
        <f>+'S3'!AC305</f>
        <v/>
      </c>
      <c r="L305" t="str">
        <f>IF('S3'!J305&lt;&gt;"",'S3'!J305,"")</f>
        <v/>
      </c>
      <c r="M305" t="str">
        <f>IF('S3'!K305&lt;&gt;"",'S3'!K305,"")</f>
        <v/>
      </c>
      <c r="N305">
        <f>+IFERROR(VLOOKUP(L305,Sheet3!A:C,3,0)," ")</f>
        <v>0</v>
      </c>
      <c r="Q305">
        <f>+'S3'!N305</f>
        <v>0</v>
      </c>
      <c r="R305" s="25">
        <f>+'S3'!T305</f>
        <v>0</v>
      </c>
      <c r="U305">
        <f t="shared" si="12"/>
        <v>0</v>
      </c>
      <c r="V305" s="12" t="str">
        <f>+'S3'!X305</f>
        <v/>
      </c>
      <c r="W305" s="34" t="str">
        <f>+'S3'!Y305</f>
        <v/>
      </c>
      <c r="Y305" s="12" t="str">
        <f t="shared" si="14"/>
        <v/>
      </c>
      <c r="Z305" s="27" t="str">
        <f t="shared" si="13"/>
        <v/>
      </c>
      <c r="AA305" s="22">
        <v>0</v>
      </c>
      <c r="AB305" s="26" t="str">
        <f>+'S3'!Z305</f>
        <v/>
      </c>
    </row>
    <row r="306" spans="3:28" x14ac:dyDescent="0.3">
      <c r="C306" t="str">
        <f>+'S3'!AB306</f>
        <v/>
      </c>
      <c r="D306" t="str">
        <f>+IFERROR(VLOOKUP(F306,Sheet2!F:G,2,0),"")</f>
        <v/>
      </c>
      <c r="E306" t="str">
        <f>+IFERROR(VLOOKUP(C306,'S3'!E:F,2,0),"")</f>
        <v/>
      </c>
      <c r="F306" s="30" t="str">
        <f>+IFERROR(VLOOKUP(C306,Sheet2!C:F,4,0),"")</f>
        <v/>
      </c>
      <c r="G306" t="str">
        <f>+IFERROR(VLOOKUP(F306,Sheet2!F:H,3,0),"")</f>
        <v/>
      </c>
      <c r="K306" s="28" t="str">
        <f>+'S3'!AC306</f>
        <v/>
      </c>
      <c r="L306" t="str">
        <f>IF('S3'!J306&lt;&gt;"",'S3'!J306,"")</f>
        <v/>
      </c>
      <c r="M306" t="str">
        <f>IF('S3'!K306&lt;&gt;"",'S3'!K306,"")</f>
        <v/>
      </c>
      <c r="N306">
        <f>+IFERROR(VLOOKUP(L306,Sheet3!A:C,3,0)," ")</f>
        <v>0</v>
      </c>
      <c r="Q306">
        <f>+'S3'!N306</f>
        <v>0</v>
      </c>
      <c r="R306" s="25">
        <f>+'S3'!T306</f>
        <v>0</v>
      </c>
      <c r="U306">
        <f t="shared" si="12"/>
        <v>0</v>
      </c>
      <c r="V306" s="12" t="str">
        <f>+'S3'!X306</f>
        <v/>
      </c>
      <c r="W306" s="34" t="str">
        <f>+'S3'!Y306</f>
        <v/>
      </c>
      <c r="Y306" s="12" t="str">
        <f t="shared" si="14"/>
        <v/>
      </c>
      <c r="Z306" s="27" t="str">
        <f t="shared" si="13"/>
        <v/>
      </c>
      <c r="AA306" s="22">
        <v>0</v>
      </c>
      <c r="AB306" s="26" t="str">
        <f>+'S3'!Z306</f>
        <v/>
      </c>
    </row>
    <row r="307" spans="3:28" x14ac:dyDescent="0.3">
      <c r="C307" t="str">
        <f>+'S3'!AB307</f>
        <v/>
      </c>
      <c r="D307" t="str">
        <f>+IFERROR(VLOOKUP(F307,Sheet2!F:G,2,0),"")</f>
        <v/>
      </c>
      <c r="E307" t="str">
        <f>+IFERROR(VLOOKUP(C307,'S3'!E:F,2,0),"")</f>
        <v/>
      </c>
      <c r="F307" s="30" t="str">
        <f>+IFERROR(VLOOKUP(C307,Sheet2!C:F,4,0),"")</f>
        <v/>
      </c>
      <c r="G307" t="str">
        <f>+IFERROR(VLOOKUP(F307,Sheet2!F:H,3,0),"")</f>
        <v/>
      </c>
      <c r="K307" s="28" t="str">
        <f>+'S3'!AC307</f>
        <v/>
      </c>
      <c r="L307" t="str">
        <f>IF('S3'!J307&lt;&gt;"",'S3'!J307,"")</f>
        <v/>
      </c>
      <c r="M307" t="str">
        <f>IF('S3'!K307&lt;&gt;"",'S3'!K307,"")</f>
        <v/>
      </c>
      <c r="N307">
        <f>+IFERROR(VLOOKUP(L307,Sheet3!A:C,3,0)," ")</f>
        <v>0</v>
      </c>
      <c r="Q307">
        <f>+'S3'!N307</f>
        <v>0</v>
      </c>
      <c r="R307" s="25">
        <f>+'S3'!T307</f>
        <v>0</v>
      </c>
      <c r="U307">
        <f t="shared" si="12"/>
        <v>0</v>
      </c>
      <c r="V307" s="12" t="str">
        <f>+'S3'!X307</f>
        <v/>
      </c>
      <c r="W307" s="34" t="str">
        <f>+'S3'!Y307</f>
        <v/>
      </c>
      <c r="Y307" s="12" t="str">
        <f t="shared" si="14"/>
        <v/>
      </c>
      <c r="Z307" s="27" t="str">
        <f t="shared" si="13"/>
        <v/>
      </c>
      <c r="AA307" s="22">
        <v>0</v>
      </c>
      <c r="AB307" s="26" t="str">
        <f>+'S3'!Z307</f>
        <v/>
      </c>
    </row>
    <row r="308" spans="3:28" x14ac:dyDescent="0.3">
      <c r="C308" t="str">
        <f>+'S3'!AB308</f>
        <v/>
      </c>
      <c r="D308" t="str">
        <f>+IFERROR(VLOOKUP(F308,Sheet2!F:G,2,0),"")</f>
        <v/>
      </c>
      <c r="E308" t="str">
        <f>+IFERROR(VLOOKUP(C308,'S3'!E:F,2,0),"")</f>
        <v/>
      </c>
      <c r="F308" s="30" t="str">
        <f>+IFERROR(VLOOKUP(C308,Sheet2!C:F,4,0),"")</f>
        <v/>
      </c>
      <c r="G308" t="str">
        <f>+IFERROR(VLOOKUP(F308,Sheet2!F:H,3,0),"")</f>
        <v/>
      </c>
      <c r="K308" s="28" t="str">
        <f>+'S3'!AC308</f>
        <v/>
      </c>
      <c r="L308" t="str">
        <f>IF('S3'!J308&lt;&gt;"",'S3'!J308,"")</f>
        <v/>
      </c>
      <c r="M308" t="str">
        <f>IF('S3'!K308&lt;&gt;"",'S3'!K308,"")</f>
        <v/>
      </c>
      <c r="N308">
        <f>+IFERROR(VLOOKUP(L308,Sheet3!A:C,3,0)," ")</f>
        <v>0</v>
      </c>
      <c r="Q308">
        <f>+'S3'!N308</f>
        <v>0</v>
      </c>
      <c r="R308" s="25">
        <f>+'S3'!T308</f>
        <v>0</v>
      </c>
      <c r="U308">
        <f t="shared" ref="U308:U371" si="15">+R308*Q308</f>
        <v>0</v>
      </c>
      <c r="V308" s="12" t="str">
        <f>+'S3'!X308</f>
        <v/>
      </c>
      <c r="W308" s="34" t="str">
        <f>+'S3'!Y308</f>
        <v/>
      </c>
      <c r="Y308" s="12" t="str">
        <f t="shared" si="14"/>
        <v/>
      </c>
      <c r="Z308" s="27" t="str">
        <f t="shared" ref="Z308:Z371" si="16">IFERROR(ROUND(V308+Y308,0),"")</f>
        <v/>
      </c>
      <c r="AA308" s="22">
        <v>0</v>
      </c>
      <c r="AB308" s="26" t="str">
        <f>+'S3'!Z308</f>
        <v/>
      </c>
    </row>
    <row r="309" spans="3:28" x14ac:dyDescent="0.3">
      <c r="C309" t="str">
        <f>+'S3'!AB309</f>
        <v/>
      </c>
      <c r="D309" t="str">
        <f>+IFERROR(VLOOKUP(F309,Sheet2!F:G,2,0),"")</f>
        <v/>
      </c>
      <c r="E309" t="str">
        <f>+IFERROR(VLOOKUP(C309,'S3'!E:F,2,0),"")</f>
        <v/>
      </c>
      <c r="F309" s="30" t="str">
        <f>+IFERROR(VLOOKUP(C309,Sheet2!C:F,4,0),"")</f>
        <v/>
      </c>
      <c r="G309" t="str">
        <f>+IFERROR(VLOOKUP(F309,Sheet2!F:H,3,0),"")</f>
        <v/>
      </c>
      <c r="K309" s="28" t="str">
        <f>+'S3'!AC309</f>
        <v/>
      </c>
      <c r="L309" t="str">
        <f>IF('S3'!J309&lt;&gt;"",'S3'!J309,"")</f>
        <v/>
      </c>
      <c r="M309" t="str">
        <f>IF('S3'!K309&lt;&gt;"",'S3'!K309,"")</f>
        <v/>
      </c>
      <c r="N309">
        <f>+IFERROR(VLOOKUP(L309,Sheet3!A:C,3,0)," ")</f>
        <v>0</v>
      </c>
      <c r="Q309">
        <f>+'S3'!N309</f>
        <v>0</v>
      </c>
      <c r="R309" s="25">
        <f>+'S3'!T309</f>
        <v>0</v>
      </c>
      <c r="U309">
        <f t="shared" si="15"/>
        <v>0</v>
      </c>
      <c r="V309" s="12" t="str">
        <f>+'S3'!X309</f>
        <v/>
      </c>
      <c r="W309" s="34" t="str">
        <f>+'S3'!Y309</f>
        <v/>
      </c>
      <c r="Y309" s="12" t="str">
        <f t="shared" si="14"/>
        <v/>
      </c>
      <c r="Z309" s="27" t="str">
        <f t="shared" si="16"/>
        <v/>
      </c>
      <c r="AA309" s="22">
        <v>0</v>
      </c>
      <c r="AB309" s="26" t="str">
        <f>+'S3'!Z309</f>
        <v/>
      </c>
    </row>
    <row r="310" spans="3:28" x14ac:dyDescent="0.3">
      <c r="C310" t="str">
        <f>+'S3'!AB310</f>
        <v/>
      </c>
      <c r="D310" t="str">
        <f>+IFERROR(VLOOKUP(F310,Sheet2!F:G,2,0),"")</f>
        <v/>
      </c>
      <c r="E310" t="str">
        <f>+IFERROR(VLOOKUP(C310,'S3'!E:F,2,0),"")</f>
        <v/>
      </c>
      <c r="F310" s="30" t="str">
        <f>+IFERROR(VLOOKUP(C310,Sheet2!C:F,4,0),"")</f>
        <v/>
      </c>
      <c r="G310" t="str">
        <f>+IFERROR(VLOOKUP(F310,Sheet2!F:H,3,0),"")</f>
        <v/>
      </c>
      <c r="K310" s="28" t="str">
        <f>+'S3'!AC310</f>
        <v/>
      </c>
      <c r="L310" t="str">
        <f>IF('S3'!J310&lt;&gt;"",'S3'!J310,"")</f>
        <v/>
      </c>
      <c r="M310" t="str">
        <f>IF('S3'!K310&lt;&gt;"",'S3'!K310,"")</f>
        <v/>
      </c>
      <c r="N310">
        <f>+IFERROR(VLOOKUP(L310,Sheet3!A:C,3,0)," ")</f>
        <v>0</v>
      </c>
      <c r="Q310">
        <f>+'S3'!N310</f>
        <v>0</v>
      </c>
      <c r="R310" s="25">
        <f>+'S3'!T310</f>
        <v>0</v>
      </c>
      <c r="U310">
        <f t="shared" si="15"/>
        <v>0</v>
      </c>
      <c r="V310" s="12" t="str">
        <f>+'S3'!X310</f>
        <v/>
      </c>
      <c r="W310" s="34" t="str">
        <f>+'S3'!Y310</f>
        <v/>
      </c>
      <c r="Y310" s="12" t="str">
        <f t="shared" si="14"/>
        <v/>
      </c>
      <c r="Z310" s="27" t="str">
        <f t="shared" si="16"/>
        <v/>
      </c>
      <c r="AA310" s="22">
        <v>0</v>
      </c>
      <c r="AB310" s="26" t="str">
        <f>+'S3'!Z310</f>
        <v/>
      </c>
    </row>
    <row r="311" spans="3:28" x14ac:dyDescent="0.3">
      <c r="C311" t="str">
        <f>+'S3'!AB311</f>
        <v/>
      </c>
      <c r="D311" t="str">
        <f>+IFERROR(VLOOKUP(F311,Sheet2!F:G,2,0),"")</f>
        <v/>
      </c>
      <c r="E311" t="str">
        <f>+IFERROR(VLOOKUP(C311,'S3'!E:F,2,0),"")</f>
        <v/>
      </c>
      <c r="F311" s="30" t="str">
        <f>+IFERROR(VLOOKUP(C311,Sheet2!C:F,4,0),"")</f>
        <v/>
      </c>
      <c r="G311" t="str">
        <f>+IFERROR(VLOOKUP(F311,Sheet2!F:H,3,0),"")</f>
        <v/>
      </c>
      <c r="K311" s="28" t="str">
        <f>+'S3'!AC311</f>
        <v/>
      </c>
      <c r="L311" t="str">
        <f>IF('S3'!J311&lt;&gt;"",'S3'!J311,"")</f>
        <v/>
      </c>
      <c r="M311" t="str">
        <f>IF('S3'!K311&lt;&gt;"",'S3'!K311,"")</f>
        <v/>
      </c>
      <c r="N311">
        <f>+IFERROR(VLOOKUP(L311,Sheet3!A:C,3,0)," ")</f>
        <v>0</v>
      </c>
      <c r="Q311">
        <f>+'S3'!N311</f>
        <v>0</v>
      </c>
      <c r="R311" s="25">
        <f>+'S3'!T311</f>
        <v>0</v>
      </c>
      <c r="U311">
        <f t="shared" si="15"/>
        <v>0</v>
      </c>
      <c r="V311" s="12" t="str">
        <f>+'S3'!X311</f>
        <v/>
      </c>
      <c r="W311" s="34" t="str">
        <f>+'S3'!Y311</f>
        <v/>
      </c>
      <c r="Y311" s="12" t="str">
        <f t="shared" si="14"/>
        <v/>
      </c>
      <c r="Z311" s="27" t="str">
        <f t="shared" si="16"/>
        <v/>
      </c>
      <c r="AA311" s="22">
        <v>0</v>
      </c>
      <c r="AB311" s="26" t="str">
        <f>+'S3'!Z311</f>
        <v/>
      </c>
    </row>
    <row r="312" spans="3:28" x14ac:dyDescent="0.3">
      <c r="C312" t="str">
        <f>+'S3'!AB312</f>
        <v/>
      </c>
      <c r="D312" t="str">
        <f>+IFERROR(VLOOKUP(F312,Sheet2!F:G,2,0),"")</f>
        <v/>
      </c>
      <c r="E312" t="str">
        <f>+IFERROR(VLOOKUP(C312,'S3'!E:F,2,0),"")</f>
        <v/>
      </c>
      <c r="F312" s="30" t="str">
        <f>+IFERROR(VLOOKUP(C312,Sheet2!C:F,4,0),"")</f>
        <v/>
      </c>
      <c r="G312" t="str">
        <f>+IFERROR(VLOOKUP(F312,Sheet2!F:H,3,0),"")</f>
        <v/>
      </c>
      <c r="K312" s="28" t="str">
        <f>+'S3'!AC312</f>
        <v/>
      </c>
      <c r="L312" t="str">
        <f>IF('S3'!J312&lt;&gt;"",'S3'!J312,"")</f>
        <v/>
      </c>
      <c r="M312" t="str">
        <f>IF('S3'!K312&lt;&gt;"",'S3'!K312,"")</f>
        <v/>
      </c>
      <c r="N312">
        <f>+IFERROR(VLOOKUP(L312,Sheet3!A:C,3,0)," ")</f>
        <v>0</v>
      </c>
      <c r="Q312">
        <f>+'S3'!N312</f>
        <v>0</v>
      </c>
      <c r="R312" s="25">
        <f>+'S3'!T312</f>
        <v>0</v>
      </c>
      <c r="U312">
        <f t="shared" si="15"/>
        <v>0</v>
      </c>
      <c r="V312" s="12" t="str">
        <f>+'S3'!X312</f>
        <v/>
      </c>
      <c r="W312" s="34" t="str">
        <f>+'S3'!Y312</f>
        <v/>
      </c>
      <c r="Y312" s="12" t="str">
        <f t="shared" si="14"/>
        <v/>
      </c>
      <c r="Z312" s="27" t="str">
        <f t="shared" si="16"/>
        <v/>
      </c>
      <c r="AA312" s="22">
        <v>0</v>
      </c>
      <c r="AB312" s="26" t="str">
        <f>+'S3'!Z312</f>
        <v/>
      </c>
    </row>
    <row r="313" spans="3:28" x14ac:dyDescent="0.3">
      <c r="C313" t="str">
        <f>+'S3'!AB313</f>
        <v/>
      </c>
      <c r="D313" t="str">
        <f>+IFERROR(VLOOKUP(F313,Sheet2!F:G,2,0),"")</f>
        <v/>
      </c>
      <c r="E313" t="str">
        <f>+IFERROR(VLOOKUP(C313,'S3'!E:F,2,0),"")</f>
        <v/>
      </c>
      <c r="F313" s="30" t="str">
        <f>+IFERROR(VLOOKUP(C313,Sheet2!C:F,4,0),"")</f>
        <v/>
      </c>
      <c r="G313" t="str">
        <f>+IFERROR(VLOOKUP(F313,Sheet2!F:H,3,0),"")</f>
        <v/>
      </c>
      <c r="K313" s="28" t="str">
        <f>+'S3'!AC313</f>
        <v/>
      </c>
      <c r="L313" t="str">
        <f>IF('S3'!J313&lt;&gt;"",'S3'!J313,"")</f>
        <v/>
      </c>
      <c r="M313" t="str">
        <f>IF('S3'!K313&lt;&gt;"",'S3'!K313,"")</f>
        <v/>
      </c>
      <c r="N313">
        <f>+IFERROR(VLOOKUP(L313,Sheet3!A:C,3,0)," ")</f>
        <v>0</v>
      </c>
      <c r="Q313">
        <f>+'S3'!N313</f>
        <v>0</v>
      </c>
      <c r="R313" s="25">
        <f>+'S3'!T313</f>
        <v>0</v>
      </c>
      <c r="U313">
        <f t="shared" si="15"/>
        <v>0</v>
      </c>
      <c r="V313" s="12" t="str">
        <f>+'S3'!X313</f>
        <v/>
      </c>
      <c r="W313" s="34" t="str">
        <f>+'S3'!Y313</f>
        <v/>
      </c>
      <c r="Y313" s="12" t="str">
        <f t="shared" si="14"/>
        <v/>
      </c>
      <c r="Z313" s="27" t="str">
        <f t="shared" si="16"/>
        <v/>
      </c>
      <c r="AA313" s="22">
        <v>0</v>
      </c>
      <c r="AB313" s="26" t="str">
        <f>+'S3'!Z313</f>
        <v/>
      </c>
    </row>
    <row r="314" spans="3:28" x14ac:dyDescent="0.3">
      <c r="C314" t="str">
        <f>+'S3'!AB314</f>
        <v/>
      </c>
      <c r="D314" t="str">
        <f>+IFERROR(VLOOKUP(F314,Sheet2!F:G,2,0),"")</f>
        <v/>
      </c>
      <c r="E314" t="str">
        <f>+IFERROR(VLOOKUP(C314,'S3'!E:F,2,0),"")</f>
        <v/>
      </c>
      <c r="F314" s="30" t="str">
        <f>+IFERROR(VLOOKUP(C314,Sheet2!C:F,4,0),"")</f>
        <v/>
      </c>
      <c r="G314" t="str">
        <f>+IFERROR(VLOOKUP(F314,Sheet2!F:H,3,0),"")</f>
        <v/>
      </c>
      <c r="K314" s="28" t="str">
        <f>+'S3'!AC314</f>
        <v/>
      </c>
      <c r="L314" t="str">
        <f>IF('S3'!J314&lt;&gt;"",'S3'!J314,"")</f>
        <v/>
      </c>
      <c r="M314" t="str">
        <f>IF('S3'!K314&lt;&gt;"",'S3'!K314,"")</f>
        <v/>
      </c>
      <c r="N314">
        <f>+IFERROR(VLOOKUP(L314,Sheet3!A:C,3,0)," ")</f>
        <v>0</v>
      </c>
      <c r="Q314">
        <f>+'S3'!N314</f>
        <v>0</v>
      </c>
      <c r="R314" s="25">
        <f>+'S3'!T314</f>
        <v>0</v>
      </c>
      <c r="U314">
        <f t="shared" si="15"/>
        <v>0</v>
      </c>
      <c r="V314" s="12" t="str">
        <f>+'S3'!X314</f>
        <v/>
      </c>
      <c r="W314" s="34" t="str">
        <f>+'S3'!Y314</f>
        <v/>
      </c>
      <c r="Y314" s="12" t="str">
        <f t="shared" si="14"/>
        <v/>
      </c>
      <c r="Z314" s="27" t="str">
        <f t="shared" si="16"/>
        <v/>
      </c>
      <c r="AA314" s="22">
        <v>0</v>
      </c>
      <c r="AB314" s="26" t="str">
        <f>+'S3'!Z314</f>
        <v/>
      </c>
    </row>
    <row r="315" spans="3:28" x14ac:dyDescent="0.3">
      <c r="C315" t="str">
        <f>+'S3'!AB315</f>
        <v/>
      </c>
      <c r="D315" t="str">
        <f>+IFERROR(VLOOKUP(F315,Sheet2!F:G,2,0),"")</f>
        <v/>
      </c>
      <c r="E315" t="str">
        <f>+IFERROR(VLOOKUP(C315,'S3'!E:F,2,0),"")</f>
        <v/>
      </c>
      <c r="F315" s="30" t="str">
        <f>+IFERROR(VLOOKUP(C315,Sheet2!C:F,4,0),"")</f>
        <v/>
      </c>
      <c r="G315" t="str">
        <f>+IFERROR(VLOOKUP(F315,Sheet2!F:H,3,0),"")</f>
        <v/>
      </c>
      <c r="K315" s="28" t="str">
        <f>+'S3'!AC315</f>
        <v/>
      </c>
      <c r="L315" t="str">
        <f>IF('S3'!J315&lt;&gt;"",'S3'!J315,"")</f>
        <v/>
      </c>
      <c r="M315" t="str">
        <f>IF('S3'!K315&lt;&gt;"",'S3'!K315,"")</f>
        <v/>
      </c>
      <c r="N315">
        <f>+IFERROR(VLOOKUP(L315,Sheet3!A:C,3,0)," ")</f>
        <v>0</v>
      </c>
      <c r="Q315">
        <f>+'S3'!N315</f>
        <v>0</v>
      </c>
      <c r="R315" s="25">
        <f>+'S3'!T315</f>
        <v>0</v>
      </c>
      <c r="U315">
        <f t="shared" si="15"/>
        <v>0</v>
      </c>
      <c r="V315" s="12" t="str">
        <f>+'S3'!X315</f>
        <v/>
      </c>
      <c r="W315" s="34" t="str">
        <f>+'S3'!Y315</f>
        <v/>
      </c>
      <c r="Y315" s="12" t="str">
        <f t="shared" si="14"/>
        <v/>
      </c>
      <c r="Z315" s="27" t="str">
        <f t="shared" si="16"/>
        <v/>
      </c>
      <c r="AA315" s="22">
        <v>0</v>
      </c>
      <c r="AB315" s="26" t="str">
        <f>+'S3'!Z315</f>
        <v/>
      </c>
    </row>
    <row r="316" spans="3:28" x14ac:dyDescent="0.3">
      <c r="C316" t="str">
        <f>+'S3'!AB316</f>
        <v/>
      </c>
      <c r="D316" t="str">
        <f>+IFERROR(VLOOKUP(F316,Sheet2!F:G,2,0),"")</f>
        <v/>
      </c>
      <c r="E316" t="str">
        <f>+IFERROR(VLOOKUP(C316,'S3'!E:F,2,0),"")</f>
        <v/>
      </c>
      <c r="F316" s="30" t="str">
        <f>+IFERROR(VLOOKUP(C316,Sheet2!C:F,4,0),"")</f>
        <v/>
      </c>
      <c r="G316" t="str">
        <f>+IFERROR(VLOOKUP(F316,Sheet2!F:H,3,0),"")</f>
        <v/>
      </c>
      <c r="K316" s="28" t="str">
        <f>+'S3'!AC316</f>
        <v/>
      </c>
      <c r="L316" t="str">
        <f>IF('S3'!J316&lt;&gt;"",'S3'!J316,"")</f>
        <v/>
      </c>
      <c r="M316" t="str">
        <f>IF('S3'!K316&lt;&gt;"",'S3'!K316,"")</f>
        <v/>
      </c>
      <c r="N316">
        <f>+IFERROR(VLOOKUP(L316,Sheet3!A:C,3,0)," ")</f>
        <v>0</v>
      </c>
      <c r="Q316">
        <f>+'S3'!N316</f>
        <v>0</v>
      </c>
      <c r="R316" s="25">
        <f>+'S3'!T316</f>
        <v>0</v>
      </c>
      <c r="U316">
        <f t="shared" si="15"/>
        <v>0</v>
      </c>
      <c r="V316" s="12" t="str">
        <f>+'S3'!X316</f>
        <v/>
      </c>
      <c r="W316" s="34" t="str">
        <f>+'S3'!Y316</f>
        <v/>
      </c>
      <c r="Y316" s="12" t="str">
        <f t="shared" si="14"/>
        <v/>
      </c>
      <c r="Z316" s="27" t="str">
        <f t="shared" si="16"/>
        <v/>
      </c>
      <c r="AA316" s="22">
        <v>0</v>
      </c>
      <c r="AB316" s="26" t="str">
        <f>+'S3'!Z316</f>
        <v/>
      </c>
    </row>
    <row r="317" spans="3:28" x14ac:dyDescent="0.3">
      <c r="C317" t="str">
        <f>+'S3'!AB317</f>
        <v/>
      </c>
      <c r="D317" t="str">
        <f>+IFERROR(VLOOKUP(F317,Sheet2!F:G,2,0),"")</f>
        <v/>
      </c>
      <c r="E317" t="str">
        <f>+IFERROR(VLOOKUP(C317,'S3'!E:F,2,0),"")</f>
        <v/>
      </c>
      <c r="F317" s="30" t="str">
        <f>+IFERROR(VLOOKUP(C317,Sheet2!C:F,4,0),"")</f>
        <v/>
      </c>
      <c r="G317" t="str">
        <f>+IFERROR(VLOOKUP(F317,Sheet2!F:H,3,0),"")</f>
        <v/>
      </c>
      <c r="K317" s="28" t="str">
        <f>+'S3'!AC317</f>
        <v/>
      </c>
      <c r="L317" t="str">
        <f>IF('S3'!J317&lt;&gt;"",'S3'!J317,"")</f>
        <v/>
      </c>
      <c r="M317" t="str">
        <f>IF('S3'!K317&lt;&gt;"",'S3'!K317,"")</f>
        <v/>
      </c>
      <c r="N317">
        <f>+IFERROR(VLOOKUP(L317,Sheet3!A:C,3,0)," ")</f>
        <v>0</v>
      </c>
      <c r="Q317">
        <f>+'S3'!N317</f>
        <v>0</v>
      </c>
      <c r="R317" s="25">
        <f>+'S3'!T317</f>
        <v>0</v>
      </c>
      <c r="U317">
        <f t="shared" si="15"/>
        <v>0</v>
      </c>
      <c r="V317" s="12" t="str">
        <f>+'S3'!X317</f>
        <v/>
      </c>
      <c r="W317" s="34" t="str">
        <f>+'S3'!Y317</f>
        <v/>
      </c>
      <c r="Y317" s="12" t="str">
        <f t="shared" si="14"/>
        <v/>
      </c>
      <c r="Z317" s="27" t="str">
        <f t="shared" si="16"/>
        <v/>
      </c>
      <c r="AA317" s="22">
        <v>0</v>
      </c>
      <c r="AB317" s="26" t="str">
        <f>+'S3'!Z317</f>
        <v/>
      </c>
    </row>
    <row r="318" spans="3:28" x14ac:dyDescent="0.3">
      <c r="C318" t="str">
        <f>+'S3'!AB318</f>
        <v/>
      </c>
      <c r="D318" t="str">
        <f>+IFERROR(VLOOKUP(F318,Sheet2!F:G,2,0),"")</f>
        <v/>
      </c>
      <c r="E318" t="str">
        <f>+IFERROR(VLOOKUP(C318,'S3'!E:F,2,0),"")</f>
        <v/>
      </c>
      <c r="F318" s="30" t="str">
        <f>+IFERROR(VLOOKUP(C318,Sheet2!C:F,4,0),"")</f>
        <v/>
      </c>
      <c r="G318" t="str">
        <f>+IFERROR(VLOOKUP(F318,Sheet2!F:H,3,0),"")</f>
        <v/>
      </c>
      <c r="K318" s="28" t="str">
        <f>+'S3'!AC318</f>
        <v/>
      </c>
      <c r="L318" t="str">
        <f>IF('S3'!J318&lt;&gt;"",'S3'!J318,"")</f>
        <v/>
      </c>
      <c r="M318" t="str">
        <f>IF('S3'!K318&lt;&gt;"",'S3'!K318,"")</f>
        <v/>
      </c>
      <c r="N318">
        <f>+IFERROR(VLOOKUP(L318,Sheet3!A:C,3,0)," ")</f>
        <v>0</v>
      </c>
      <c r="Q318">
        <f>+'S3'!N318</f>
        <v>0</v>
      </c>
      <c r="R318" s="25">
        <f>+'S3'!T318</f>
        <v>0</v>
      </c>
      <c r="U318">
        <f t="shared" si="15"/>
        <v>0</v>
      </c>
      <c r="V318" s="12" t="str">
        <f>+'S3'!X318</f>
        <v/>
      </c>
      <c r="W318" s="34" t="str">
        <f>+'S3'!Y318</f>
        <v/>
      </c>
      <c r="Y318" s="12" t="str">
        <f t="shared" si="14"/>
        <v/>
      </c>
      <c r="Z318" s="27" t="str">
        <f t="shared" si="16"/>
        <v/>
      </c>
      <c r="AA318" s="22">
        <v>0</v>
      </c>
      <c r="AB318" s="26" t="str">
        <f>+'S3'!Z318</f>
        <v/>
      </c>
    </row>
    <row r="319" spans="3:28" x14ac:dyDescent="0.3">
      <c r="C319" t="str">
        <f>+'S3'!AB319</f>
        <v/>
      </c>
      <c r="D319" t="str">
        <f>+IFERROR(VLOOKUP(F319,Sheet2!F:G,2,0),"")</f>
        <v/>
      </c>
      <c r="E319" t="str">
        <f>+IFERROR(VLOOKUP(C319,'S3'!E:F,2,0),"")</f>
        <v/>
      </c>
      <c r="F319" s="30" t="str">
        <f>+IFERROR(VLOOKUP(C319,Sheet2!C:F,4,0),"")</f>
        <v/>
      </c>
      <c r="G319" t="str">
        <f>+IFERROR(VLOOKUP(F319,Sheet2!F:H,3,0),"")</f>
        <v/>
      </c>
      <c r="K319" s="28" t="str">
        <f>+'S3'!AC319</f>
        <v/>
      </c>
      <c r="L319" t="str">
        <f>IF('S3'!J319&lt;&gt;"",'S3'!J319,"")</f>
        <v/>
      </c>
      <c r="M319" t="str">
        <f>IF('S3'!K319&lt;&gt;"",'S3'!K319,"")</f>
        <v/>
      </c>
      <c r="N319">
        <f>+IFERROR(VLOOKUP(L319,Sheet3!A:C,3,0)," ")</f>
        <v>0</v>
      </c>
      <c r="Q319">
        <f>+'S3'!N319</f>
        <v>0</v>
      </c>
      <c r="R319" s="25">
        <f>+'S3'!T319</f>
        <v>0</v>
      </c>
      <c r="U319">
        <f t="shared" si="15"/>
        <v>0</v>
      </c>
      <c r="V319" s="12" t="str">
        <f>+'S3'!X319</f>
        <v/>
      </c>
      <c r="W319" s="34" t="str">
        <f>+'S3'!Y319</f>
        <v/>
      </c>
      <c r="Y319" s="12" t="str">
        <f t="shared" si="14"/>
        <v/>
      </c>
      <c r="Z319" s="27" t="str">
        <f t="shared" si="16"/>
        <v/>
      </c>
      <c r="AA319" s="22">
        <v>0</v>
      </c>
      <c r="AB319" s="26" t="str">
        <f>+'S3'!Z319</f>
        <v/>
      </c>
    </row>
    <row r="320" spans="3:28" x14ac:dyDescent="0.3">
      <c r="C320" t="str">
        <f>+'S3'!AB320</f>
        <v/>
      </c>
      <c r="D320" t="str">
        <f>+IFERROR(VLOOKUP(F320,Sheet2!F:G,2,0),"")</f>
        <v/>
      </c>
      <c r="E320" t="str">
        <f>+IFERROR(VLOOKUP(C320,'S3'!E:F,2,0),"")</f>
        <v/>
      </c>
      <c r="F320" s="30" t="str">
        <f>+IFERROR(VLOOKUP(C320,Sheet2!C:F,4,0),"")</f>
        <v/>
      </c>
      <c r="G320" t="str">
        <f>+IFERROR(VLOOKUP(F320,Sheet2!F:H,3,0),"")</f>
        <v/>
      </c>
      <c r="K320" s="28" t="str">
        <f>+'S3'!AC320</f>
        <v/>
      </c>
      <c r="L320" t="str">
        <f>IF('S3'!J320&lt;&gt;"",'S3'!J320,"")</f>
        <v/>
      </c>
      <c r="M320" t="str">
        <f>IF('S3'!K320&lt;&gt;"",'S3'!K320,"")</f>
        <v/>
      </c>
      <c r="N320">
        <f>+IFERROR(VLOOKUP(L320,Sheet3!A:C,3,0)," ")</f>
        <v>0</v>
      </c>
      <c r="Q320">
        <f>+'S3'!N320</f>
        <v>0</v>
      </c>
      <c r="R320" s="25">
        <f>+'S3'!T320</f>
        <v>0</v>
      </c>
      <c r="U320">
        <f t="shared" si="15"/>
        <v>0</v>
      </c>
      <c r="V320" s="12" t="str">
        <f>+'S3'!X320</f>
        <v/>
      </c>
      <c r="W320" s="34" t="str">
        <f>+'S3'!Y320</f>
        <v/>
      </c>
      <c r="Y320" s="12" t="str">
        <f t="shared" si="14"/>
        <v/>
      </c>
      <c r="Z320" s="27" t="str">
        <f t="shared" si="16"/>
        <v/>
      </c>
      <c r="AA320" s="22">
        <v>0</v>
      </c>
      <c r="AB320" s="26" t="str">
        <f>+'S3'!Z320</f>
        <v/>
      </c>
    </row>
    <row r="321" spans="3:28" x14ac:dyDescent="0.3">
      <c r="C321" t="str">
        <f>+'S3'!AB321</f>
        <v/>
      </c>
      <c r="D321" t="str">
        <f>+IFERROR(VLOOKUP(F321,Sheet2!F:G,2,0),"")</f>
        <v/>
      </c>
      <c r="E321" t="str">
        <f>+IFERROR(VLOOKUP(C321,'S3'!E:F,2,0),"")</f>
        <v/>
      </c>
      <c r="F321" s="30" t="str">
        <f>+IFERROR(VLOOKUP(C321,Sheet2!C:F,4,0),"")</f>
        <v/>
      </c>
      <c r="G321" t="str">
        <f>+IFERROR(VLOOKUP(F321,Sheet2!F:H,3,0),"")</f>
        <v/>
      </c>
      <c r="K321" s="28" t="str">
        <f>+'S3'!AC321</f>
        <v/>
      </c>
      <c r="L321" t="str">
        <f>IF('S3'!J321&lt;&gt;"",'S3'!J321,"")</f>
        <v/>
      </c>
      <c r="M321" t="str">
        <f>IF('S3'!K321&lt;&gt;"",'S3'!K321,"")</f>
        <v/>
      </c>
      <c r="N321">
        <f>+IFERROR(VLOOKUP(L321,Sheet3!A:C,3,0)," ")</f>
        <v>0</v>
      </c>
      <c r="Q321">
        <f>+'S3'!N321</f>
        <v>0</v>
      </c>
      <c r="R321" s="25">
        <f>+'S3'!T321</f>
        <v>0</v>
      </c>
      <c r="U321">
        <f t="shared" si="15"/>
        <v>0</v>
      </c>
      <c r="V321" s="12" t="str">
        <f>+'S3'!X321</f>
        <v/>
      </c>
      <c r="W321" s="34" t="str">
        <f>+'S3'!Y321</f>
        <v/>
      </c>
      <c r="Y321" s="12" t="str">
        <f t="shared" si="14"/>
        <v/>
      </c>
      <c r="Z321" s="27" t="str">
        <f t="shared" si="16"/>
        <v/>
      </c>
      <c r="AA321" s="22">
        <v>0</v>
      </c>
      <c r="AB321" s="26" t="str">
        <f>+'S3'!Z321</f>
        <v/>
      </c>
    </row>
    <row r="322" spans="3:28" x14ac:dyDescent="0.3">
      <c r="C322" t="str">
        <f>+'S3'!AB322</f>
        <v/>
      </c>
      <c r="D322" t="str">
        <f>+IFERROR(VLOOKUP(F322,Sheet2!F:G,2,0),"")</f>
        <v/>
      </c>
      <c r="E322" t="str">
        <f>+IFERROR(VLOOKUP(C322,'S3'!E:F,2,0),"")</f>
        <v/>
      </c>
      <c r="F322" s="30" t="str">
        <f>+IFERROR(VLOOKUP(C322,Sheet2!C:F,4,0),"")</f>
        <v/>
      </c>
      <c r="G322" t="str">
        <f>+IFERROR(VLOOKUP(F322,Sheet2!F:H,3,0),"")</f>
        <v/>
      </c>
      <c r="K322" s="28" t="str">
        <f>+'S3'!AC322</f>
        <v/>
      </c>
      <c r="L322" t="str">
        <f>IF('S3'!J322&lt;&gt;"",'S3'!J322,"")</f>
        <v/>
      </c>
      <c r="M322" t="str">
        <f>IF('S3'!K322&lt;&gt;"",'S3'!K322,"")</f>
        <v/>
      </c>
      <c r="N322">
        <f>+IFERROR(VLOOKUP(L322,Sheet3!A:C,3,0)," ")</f>
        <v>0</v>
      </c>
      <c r="Q322">
        <f>+'S3'!N322</f>
        <v>0</v>
      </c>
      <c r="R322" s="25">
        <f>+'S3'!T322</f>
        <v>0</v>
      </c>
      <c r="U322">
        <f t="shared" si="15"/>
        <v>0</v>
      </c>
      <c r="V322" s="12" t="str">
        <f>+'S3'!X322</f>
        <v/>
      </c>
      <c r="W322" s="34" t="str">
        <f>+'S3'!Y322</f>
        <v/>
      </c>
      <c r="Y322" s="12" t="str">
        <f t="shared" si="14"/>
        <v/>
      </c>
      <c r="Z322" s="27" t="str">
        <f t="shared" si="16"/>
        <v/>
      </c>
      <c r="AA322" s="22">
        <v>0</v>
      </c>
      <c r="AB322" s="26" t="str">
        <f>+'S3'!Z322</f>
        <v/>
      </c>
    </row>
    <row r="323" spans="3:28" x14ac:dyDescent="0.3">
      <c r="C323" t="str">
        <f>+'S3'!AB323</f>
        <v/>
      </c>
      <c r="D323" t="str">
        <f>+IFERROR(VLOOKUP(F323,Sheet2!F:G,2,0),"")</f>
        <v/>
      </c>
      <c r="E323" t="str">
        <f>+IFERROR(VLOOKUP(C323,'S3'!E:F,2,0),"")</f>
        <v/>
      </c>
      <c r="F323" s="30" t="str">
        <f>+IFERROR(VLOOKUP(C323,Sheet2!C:F,4,0),"")</f>
        <v/>
      </c>
      <c r="G323" t="str">
        <f>+IFERROR(VLOOKUP(F323,Sheet2!F:H,3,0),"")</f>
        <v/>
      </c>
      <c r="K323" s="28" t="str">
        <f>+'S3'!AC323</f>
        <v/>
      </c>
      <c r="L323" t="str">
        <f>IF('S3'!J323&lt;&gt;"",'S3'!J323,"")</f>
        <v/>
      </c>
      <c r="M323" t="str">
        <f>IF('S3'!K323&lt;&gt;"",'S3'!K323,"")</f>
        <v/>
      </c>
      <c r="N323">
        <f>+IFERROR(VLOOKUP(L323,Sheet3!A:C,3,0)," ")</f>
        <v>0</v>
      </c>
      <c r="Q323">
        <f>+'S3'!N323</f>
        <v>0</v>
      </c>
      <c r="R323" s="25">
        <f>+'S3'!T323</f>
        <v>0</v>
      </c>
      <c r="U323">
        <f t="shared" si="15"/>
        <v>0</v>
      </c>
      <c r="V323" s="12" t="str">
        <f>+'S3'!X323</f>
        <v/>
      </c>
      <c r="W323" s="34" t="str">
        <f>+'S3'!Y323</f>
        <v/>
      </c>
      <c r="Y323" s="12" t="str">
        <f t="shared" ref="Y323:Y386" si="17">IFERROR(W323%*V323,"")</f>
        <v/>
      </c>
      <c r="Z323" s="27" t="str">
        <f t="shared" si="16"/>
        <v/>
      </c>
      <c r="AA323" s="22">
        <v>0</v>
      </c>
      <c r="AB323" s="26" t="str">
        <f>+'S3'!Z323</f>
        <v/>
      </c>
    </row>
    <row r="324" spans="3:28" x14ac:dyDescent="0.3">
      <c r="C324" t="str">
        <f>+'S3'!AB324</f>
        <v/>
      </c>
      <c r="D324" t="str">
        <f>+IFERROR(VLOOKUP(F324,Sheet2!F:G,2,0),"")</f>
        <v/>
      </c>
      <c r="E324" t="str">
        <f>+IFERROR(VLOOKUP(C324,'S3'!E:F,2,0),"")</f>
        <v/>
      </c>
      <c r="F324" s="30" t="str">
        <f>+IFERROR(VLOOKUP(C324,Sheet2!C:F,4,0),"")</f>
        <v/>
      </c>
      <c r="G324" t="str">
        <f>+IFERROR(VLOOKUP(F324,Sheet2!F:H,3,0),"")</f>
        <v/>
      </c>
      <c r="K324" s="28" t="str">
        <f>+'S3'!AC324</f>
        <v/>
      </c>
      <c r="L324" t="str">
        <f>IF('S3'!J324&lt;&gt;"",'S3'!J324,"")</f>
        <v/>
      </c>
      <c r="M324" t="str">
        <f>IF('S3'!K324&lt;&gt;"",'S3'!K324,"")</f>
        <v/>
      </c>
      <c r="N324">
        <f>+IFERROR(VLOOKUP(L324,Sheet3!A:C,3,0)," ")</f>
        <v>0</v>
      </c>
      <c r="Q324">
        <f>+'S3'!N324</f>
        <v>0</v>
      </c>
      <c r="R324" s="25">
        <f>+'S3'!T324</f>
        <v>0</v>
      </c>
      <c r="U324">
        <f t="shared" si="15"/>
        <v>0</v>
      </c>
      <c r="V324" s="12" t="str">
        <f>+'S3'!X324</f>
        <v/>
      </c>
      <c r="W324" s="34" t="str">
        <f>+'S3'!Y324</f>
        <v/>
      </c>
      <c r="Y324" s="12" t="str">
        <f t="shared" si="17"/>
        <v/>
      </c>
      <c r="Z324" s="27" t="str">
        <f t="shared" si="16"/>
        <v/>
      </c>
      <c r="AA324" s="22">
        <v>0</v>
      </c>
      <c r="AB324" s="26" t="str">
        <f>+'S3'!Z324</f>
        <v/>
      </c>
    </row>
    <row r="325" spans="3:28" x14ac:dyDescent="0.3">
      <c r="C325" t="str">
        <f>+'S3'!AB325</f>
        <v/>
      </c>
      <c r="D325" t="str">
        <f>+IFERROR(VLOOKUP(F325,Sheet2!F:G,2,0),"")</f>
        <v/>
      </c>
      <c r="E325" t="str">
        <f>+IFERROR(VLOOKUP(C325,'S3'!E:F,2,0),"")</f>
        <v/>
      </c>
      <c r="F325" s="30" t="str">
        <f>+IFERROR(VLOOKUP(C325,Sheet2!C:F,4,0),"")</f>
        <v/>
      </c>
      <c r="G325" t="str">
        <f>+IFERROR(VLOOKUP(F325,Sheet2!F:H,3,0),"")</f>
        <v/>
      </c>
      <c r="K325" s="28" t="str">
        <f>+'S3'!AC325</f>
        <v/>
      </c>
      <c r="L325" t="str">
        <f>IF('S3'!J325&lt;&gt;"",'S3'!J325,"")</f>
        <v/>
      </c>
      <c r="M325" t="str">
        <f>IF('S3'!K325&lt;&gt;"",'S3'!K325,"")</f>
        <v/>
      </c>
      <c r="N325">
        <f>+IFERROR(VLOOKUP(L325,Sheet3!A:C,3,0)," ")</f>
        <v>0</v>
      </c>
      <c r="Q325">
        <f>+'S3'!N325</f>
        <v>0</v>
      </c>
      <c r="R325" s="25">
        <f>+'S3'!T325</f>
        <v>0</v>
      </c>
      <c r="U325">
        <f t="shared" si="15"/>
        <v>0</v>
      </c>
      <c r="V325" s="12" t="str">
        <f>+'S3'!X325</f>
        <v/>
      </c>
      <c r="W325" s="34" t="str">
        <f>+'S3'!Y325</f>
        <v/>
      </c>
      <c r="Y325" s="12" t="str">
        <f t="shared" si="17"/>
        <v/>
      </c>
      <c r="Z325" s="27" t="str">
        <f t="shared" si="16"/>
        <v/>
      </c>
      <c r="AA325" s="22">
        <v>0</v>
      </c>
      <c r="AB325" s="26" t="str">
        <f>+'S3'!Z325</f>
        <v/>
      </c>
    </row>
    <row r="326" spans="3:28" x14ac:dyDescent="0.3">
      <c r="C326" t="str">
        <f>+'S3'!AB326</f>
        <v/>
      </c>
      <c r="D326" t="str">
        <f>+IFERROR(VLOOKUP(F326,Sheet2!F:G,2,0),"")</f>
        <v/>
      </c>
      <c r="E326" t="str">
        <f>+IFERROR(VLOOKUP(C326,'S3'!E:F,2,0),"")</f>
        <v/>
      </c>
      <c r="F326" s="30" t="str">
        <f>+IFERROR(VLOOKUP(C326,Sheet2!C:F,4,0),"")</f>
        <v/>
      </c>
      <c r="G326" t="str">
        <f>+IFERROR(VLOOKUP(F326,Sheet2!F:H,3,0),"")</f>
        <v/>
      </c>
      <c r="K326" s="28" t="str">
        <f>+'S3'!AC326</f>
        <v/>
      </c>
      <c r="L326" t="str">
        <f>IF('S3'!J326&lt;&gt;"",'S3'!J326,"")</f>
        <v/>
      </c>
      <c r="M326" t="str">
        <f>IF('S3'!K326&lt;&gt;"",'S3'!K326,"")</f>
        <v/>
      </c>
      <c r="N326">
        <f>+IFERROR(VLOOKUP(L326,Sheet3!A:C,3,0)," ")</f>
        <v>0</v>
      </c>
      <c r="Q326">
        <f>+'S3'!N326</f>
        <v>0</v>
      </c>
      <c r="R326" s="25">
        <f>+'S3'!T326</f>
        <v>0</v>
      </c>
      <c r="U326">
        <f t="shared" si="15"/>
        <v>0</v>
      </c>
      <c r="V326" s="12" t="str">
        <f>+'S3'!X326</f>
        <v/>
      </c>
      <c r="W326" s="34" t="str">
        <f>+'S3'!Y326</f>
        <v/>
      </c>
      <c r="Y326" s="12" t="str">
        <f t="shared" si="17"/>
        <v/>
      </c>
      <c r="Z326" s="27" t="str">
        <f t="shared" si="16"/>
        <v/>
      </c>
      <c r="AA326" s="22">
        <v>0</v>
      </c>
      <c r="AB326" s="26" t="str">
        <f>+'S3'!Z326</f>
        <v/>
      </c>
    </row>
    <row r="327" spans="3:28" x14ac:dyDescent="0.3">
      <c r="C327" t="str">
        <f>+'S3'!AB327</f>
        <v/>
      </c>
      <c r="D327" t="str">
        <f>+IFERROR(VLOOKUP(F327,Sheet2!F:G,2,0),"")</f>
        <v/>
      </c>
      <c r="E327" t="str">
        <f>+IFERROR(VLOOKUP(C327,'S3'!E:F,2,0),"")</f>
        <v/>
      </c>
      <c r="F327" s="30" t="str">
        <f>+IFERROR(VLOOKUP(C327,Sheet2!C:F,4,0),"")</f>
        <v/>
      </c>
      <c r="G327" t="str">
        <f>+IFERROR(VLOOKUP(F327,Sheet2!F:H,3,0),"")</f>
        <v/>
      </c>
      <c r="K327" s="28" t="str">
        <f>+'S3'!AC327</f>
        <v/>
      </c>
      <c r="L327" t="str">
        <f>IF('S3'!J327&lt;&gt;"",'S3'!J327,"")</f>
        <v/>
      </c>
      <c r="M327" t="str">
        <f>IF('S3'!K327&lt;&gt;"",'S3'!K327,"")</f>
        <v/>
      </c>
      <c r="N327">
        <f>+IFERROR(VLOOKUP(L327,Sheet3!A:C,3,0)," ")</f>
        <v>0</v>
      </c>
      <c r="Q327">
        <f>+'S3'!N327</f>
        <v>0</v>
      </c>
      <c r="R327" s="25">
        <f>+'S3'!T327</f>
        <v>0</v>
      </c>
      <c r="U327">
        <f t="shared" si="15"/>
        <v>0</v>
      </c>
      <c r="V327" s="12" t="str">
        <f>+'S3'!X327</f>
        <v/>
      </c>
      <c r="W327" s="34" t="str">
        <f>+'S3'!Y327</f>
        <v/>
      </c>
      <c r="Y327" s="12" t="str">
        <f t="shared" si="17"/>
        <v/>
      </c>
      <c r="Z327" s="27" t="str">
        <f t="shared" si="16"/>
        <v/>
      </c>
      <c r="AA327" s="22">
        <v>0</v>
      </c>
      <c r="AB327" s="26" t="str">
        <f>+'S3'!Z327</f>
        <v/>
      </c>
    </row>
    <row r="328" spans="3:28" x14ac:dyDescent="0.3">
      <c r="C328" t="str">
        <f>+'S3'!AB328</f>
        <v/>
      </c>
      <c r="D328" t="str">
        <f>+IFERROR(VLOOKUP(F328,Sheet2!F:G,2,0),"")</f>
        <v/>
      </c>
      <c r="E328" t="str">
        <f>+IFERROR(VLOOKUP(C328,'S3'!E:F,2,0),"")</f>
        <v/>
      </c>
      <c r="F328" s="30" t="str">
        <f>+IFERROR(VLOOKUP(C328,Sheet2!C:F,4,0),"")</f>
        <v/>
      </c>
      <c r="G328" t="str">
        <f>+IFERROR(VLOOKUP(F328,Sheet2!F:H,3,0),"")</f>
        <v/>
      </c>
      <c r="K328" s="28" t="str">
        <f>+'S3'!AC328</f>
        <v/>
      </c>
      <c r="L328" t="str">
        <f>IF('S3'!J328&lt;&gt;"",'S3'!J328,"")</f>
        <v/>
      </c>
      <c r="M328" t="str">
        <f>IF('S3'!K328&lt;&gt;"",'S3'!K328,"")</f>
        <v/>
      </c>
      <c r="N328">
        <f>+IFERROR(VLOOKUP(L328,Sheet3!A:C,3,0)," ")</f>
        <v>0</v>
      </c>
      <c r="Q328">
        <f>+'S3'!N328</f>
        <v>0</v>
      </c>
      <c r="R328" s="25">
        <f>+'S3'!T328</f>
        <v>0</v>
      </c>
      <c r="U328">
        <f t="shared" si="15"/>
        <v>0</v>
      </c>
      <c r="V328" s="12" t="str">
        <f>+'S3'!X328</f>
        <v/>
      </c>
      <c r="W328" s="34" t="str">
        <f>+'S3'!Y328</f>
        <v/>
      </c>
      <c r="Y328" s="12" t="str">
        <f t="shared" si="17"/>
        <v/>
      </c>
      <c r="Z328" s="27" t="str">
        <f t="shared" si="16"/>
        <v/>
      </c>
      <c r="AA328" s="22">
        <v>0</v>
      </c>
      <c r="AB328" s="26" t="str">
        <f>+'S3'!Z328</f>
        <v/>
      </c>
    </row>
    <row r="329" spans="3:28" x14ac:dyDescent="0.3">
      <c r="C329" t="str">
        <f>+'S3'!AB329</f>
        <v/>
      </c>
      <c r="D329" t="str">
        <f>+IFERROR(VLOOKUP(F329,Sheet2!F:G,2,0),"")</f>
        <v/>
      </c>
      <c r="E329" t="str">
        <f>+IFERROR(VLOOKUP(C329,'S3'!E:F,2,0),"")</f>
        <v/>
      </c>
      <c r="F329" s="30" t="str">
        <f>+IFERROR(VLOOKUP(C329,Sheet2!C:F,4,0),"")</f>
        <v/>
      </c>
      <c r="G329" t="str">
        <f>+IFERROR(VLOOKUP(F329,Sheet2!F:H,3,0),"")</f>
        <v/>
      </c>
      <c r="K329" s="28" t="str">
        <f>+'S3'!AC329</f>
        <v/>
      </c>
      <c r="L329" t="str">
        <f>IF('S3'!J329&lt;&gt;"",'S3'!J329,"")</f>
        <v/>
      </c>
      <c r="M329" t="str">
        <f>IF('S3'!K329&lt;&gt;"",'S3'!K329,"")</f>
        <v/>
      </c>
      <c r="N329">
        <f>+IFERROR(VLOOKUP(L329,Sheet3!A:C,3,0)," ")</f>
        <v>0</v>
      </c>
      <c r="Q329">
        <f>+'S3'!N329</f>
        <v>0</v>
      </c>
      <c r="R329" s="25">
        <f>+'S3'!T329</f>
        <v>0</v>
      </c>
      <c r="U329">
        <f t="shared" si="15"/>
        <v>0</v>
      </c>
      <c r="V329" s="12" t="str">
        <f>+'S3'!X329</f>
        <v/>
      </c>
      <c r="W329" s="34" t="str">
        <f>+'S3'!Y329</f>
        <v/>
      </c>
      <c r="Y329" s="12" t="str">
        <f t="shared" si="17"/>
        <v/>
      </c>
      <c r="Z329" s="27" t="str">
        <f t="shared" si="16"/>
        <v/>
      </c>
      <c r="AA329" s="22">
        <v>0</v>
      </c>
      <c r="AB329" s="26" t="str">
        <f>+'S3'!Z329</f>
        <v/>
      </c>
    </row>
    <row r="330" spans="3:28" x14ac:dyDescent="0.3">
      <c r="C330" t="str">
        <f>+'S3'!AB330</f>
        <v/>
      </c>
      <c r="D330" t="str">
        <f>+IFERROR(VLOOKUP(F330,Sheet2!F:G,2,0),"")</f>
        <v/>
      </c>
      <c r="E330" t="str">
        <f>+IFERROR(VLOOKUP(C330,'S3'!E:F,2,0),"")</f>
        <v/>
      </c>
      <c r="F330" s="30" t="str">
        <f>+IFERROR(VLOOKUP(C330,Sheet2!C:F,4,0),"")</f>
        <v/>
      </c>
      <c r="G330" t="str">
        <f>+IFERROR(VLOOKUP(F330,Sheet2!F:H,3,0),"")</f>
        <v/>
      </c>
      <c r="K330" s="28" t="str">
        <f>+'S3'!AC330</f>
        <v/>
      </c>
      <c r="L330" t="str">
        <f>IF('S3'!J330&lt;&gt;"",'S3'!J330,"")</f>
        <v/>
      </c>
      <c r="M330" t="str">
        <f>IF('S3'!K330&lt;&gt;"",'S3'!K330,"")</f>
        <v/>
      </c>
      <c r="N330">
        <f>+IFERROR(VLOOKUP(L330,Sheet3!A:C,3,0)," ")</f>
        <v>0</v>
      </c>
      <c r="Q330">
        <f>+'S3'!N330</f>
        <v>0</v>
      </c>
      <c r="R330" s="25">
        <f>+'S3'!T330</f>
        <v>0</v>
      </c>
      <c r="U330">
        <f t="shared" si="15"/>
        <v>0</v>
      </c>
      <c r="V330" s="12" t="str">
        <f>+'S3'!X330</f>
        <v/>
      </c>
      <c r="W330" s="34" t="str">
        <f>+'S3'!Y330</f>
        <v/>
      </c>
      <c r="Y330" s="12" t="str">
        <f t="shared" si="17"/>
        <v/>
      </c>
      <c r="Z330" s="27" t="str">
        <f t="shared" si="16"/>
        <v/>
      </c>
      <c r="AA330" s="22">
        <v>0</v>
      </c>
      <c r="AB330" s="26" t="str">
        <f>+'S3'!Z330</f>
        <v/>
      </c>
    </row>
    <row r="331" spans="3:28" x14ac:dyDescent="0.3">
      <c r="C331" t="str">
        <f>+'S3'!AB331</f>
        <v/>
      </c>
      <c r="D331" t="str">
        <f>+IFERROR(VLOOKUP(F331,Sheet2!F:G,2,0),"")</f>
        <v/>
      </c>
      <c r="E331" t="str">
        <f>+IFERROR(VLOOKUP(C331,'S3'!E:F,2,0),"")</f>
        <v/>
      </c>
      <c r="F331" s="30" t="str">
        <f>+IFERROR(VLOOKUP(C331,Sheet2!C:F,4,0),"")</f>
        <v/>
      </c>
      <c r="G331" t="str">
        <f>+IFERROR(VLOOKUP(F331,Sheet2!F:H,3,0),"")</f>
        <v/>
      </c>
      <c r="K331" s="28" t="str">
        <f>+'S3'!AC331</f>
        <v/>
      </c>
      <c r="L331" t="str">
        <f>IF('S3'!J331&lt;&gt;"",'S3'!J331,"")</f>
        <v/>
      </c>
      <c r="M331" t="str">
        <f>IF('S3'!K331&lt;&gt;"",'S3'!K331,"")</f>
        <v/>
      </c>
      <c r="N331">
        <f>+IFERROR(VLOOKUP(L331,Sheet3!A:C,3,0)," ")</f>
        <v>0</v>
      </c>
      <c r="Q331">
        <f>+'S3'!N331</f>
        <v>0</v>
      </c>
      <c r="R331" s="25">
        <f>+'S3'!T331</f>
        <v>0</v>
      </c>
      <c r="U331">
        <f t="shared" si="15"/>
        <v>0</v>
      </c>
      <c r="V331" s="12" t="str">
        <f>+'S3'!X331</f>
        <v/>
      </c>
      <c r="W331" s="34" t="str">
        <f>+'S3'!Y331</f>
        <v/>
      </c>
      <c r="Y331" s="12" t="str">
        <f t="shared" si="17"/>
        <v/>
      </c>
      <c r="Z331" s="27" t="str">
        <f t="shared" si="16"/>
        <v/>
      </c>
      <c r="AA331" s="22">
        <v>0</v>
      </c>
      <c r="AB331" s="26" t="str">
        <f>+'S3'!Z331</f>
        <v/>
      </c>
    </row>
    <row r="332" spans="3:28" x14ac:dyDescent="0.3">
      <c r="C332" t="str">
        <f>+'S3'!AB332</f>
        <v/>
      </c>
      <c r="D332" t="str">
        <f>+IFERROR(VLOOKUP(F332,Sheet2!F:G,2,0),"")</f>
        <v/>
      </c>
      <c r="E332" t="str">
        <f>+IFERROR(VLOOKUP(C332,'S3'!E:F,2,0),"")</f>
        <v/>
      </c>
      <c r="F332" s="30" t="str">
        <f>+IFERROR(VLOOKUP(C332,Sheet2!C:F,4,0),"")</f>
        <v/>
      </c>
      <c r="G332" t="str">
        <f>+IFERROR(VLOOKUP(F332,Sheet2!F:H,3,0),"")</f>
        <v/>
      </c>
      <c r="K332" s="28" t="str">
        <f>+'S3'!AC332</f>
        <v/>
      </c>
      <c r="L332" t="str">
        <f>IF('S3'!J332&lt;&gt;"",'S3'!J332,"")</f>
        <v/>
      </c>
      <c r="M332" t="str">
        <f>IF('S3'!K332&lt;&gt;"",'S3'!K332,"")</f>
        <v/>
      </c>
      <c r="N332">
        <f>+IFERROR(VLOOKUP(L332,Sheet3!A:C,3,0)," ")</f>
        <v>0</v>
      </c>
      <c r="Q332">
        <f>+'S3'!N332</f>
        <v>0</v>
      </c>
      <c r="R332" s="25">
        <f>+'S3'!T332</f>
        <v>0</v>
      </c>
      <c r="U332">
        <f t="shared" si="15"/>
        <v>0</v>
      </c>
      <c r="V332" s="12" t="str">
        <f>+'S3'!X332</f>
        <v/>
      </c>
      <c r="W332" s="34" t="str">
        <f>+'S3'!Y332</f>
        <v/>
      </c>
      <c r="Y332" s="12" t="str">
        <f t="shared" si="17"/>
        <v/>
      </c>
      <c r="Z332" s="27" t="str">
        <f t="shared" si="16"/>
        <v/>
      </c>
      <c r="AA332" s="22">
        <v>0</v>
      </c>
      <c r="AB332" s="26" t="str">
        <f>+'S3'!Z332</f>
        <v/>
      </c>
    </row>
    <row r="333" spans="3:28" x14ac:dyDescent="0.3">
      <c r="C333" t="str">
        <f>+'S3'!AB333</f>
        <v/>
      </c>
      <c r="D333" t="str">
        <f>+IFERROR(VLOOKUP(F333,Sheet2!F:G,2,0),"")</f>
        <v/>
      </c>
      <c r="E333" t="str">
        <f>+IFERROR(VLOOKUP(C333,'S3'!E:F,2,0),"")</f>
        <v/>
      </c>
      <c r="F333" s="30" t="str">
        <f>+IFERROR(VLOOKUP(C333,Sheet2!C:F,4,0),"")</f>
        <v/>
      </c>
      <c r="G333" t="str">
        <f>+IFERROR(VLOOKUP(F333,Sheet2!F:H,3,0),"")</f>
        <v/>
      </c>
      <c r="K333" s="28" t="str">
        <f>+'S3'!AC333</f>
        <v/>
      </c>
      <c r="L333" t="str">
        <f>IF('S3'!J333&lt;&gt;"",'S3'!J333,"")</f>
        <v/>
      </c>
      <c r="M333" t="str">
        <f>IF('S3'!K333&lt;&gt;"",'S3'!K333,"")</f>
        <v/>
      </c>
      <c r="N333">
        <f>+IFERROR(VLOOKUP(L333,Sheet3!A:C,3,0)," ")</f>
        <v>0</v>
      </c>
      <c r="Q333">
        <f>+'S3'!N333</f>
        <v>0</v>
      </c>
      <c r="R333" s="25">
        <f>+'S3'!T333</f>
        <v>0</v>
      </c>
      <c r="U333">
        <f t="shared" si="15"/>
        <v>0</v>
      </c>
      <c r="V333" s="12" t="str">
        <f>+'S3'!X333</f>
        <v/>
      </c>
      <c r="W333" s="34" t="str">
        <f>+'S3'!Y333</f>
        <v/>
      </c>
      <c r="Y333" s="12" t="str">
        <f t="shared" si="17"/>
        <v/>
      </c>
      <c r="Z333" s="27" t="str">
        <f t="shared" si="16"/>
        <v/>
      </c>
      <c r="AA333" s="22">
        <v>0</v>
      </c>
      <c r="AB333" s="26" t="str">
        <f>+'S3'!Z333</f>
        <v/>
      </c>
    </row>
    <row r="334" spans="3:28" x14ac:dyDescent="0.3">
      <c r="C334" t="str">
        <f>+'S3'!AB334</f>
        <v/>
      </c>
      <c r="D334" t="str">
        <f>+IFERROR(VLOOKUP(F334,Sheet2!F:G,2,0),"")</f>
        <v/>
      </c>
      <c r="E334" t="str">
        <f>+IFERROR(VLOOKUP(C334,'S3'!E:F,2,0),"")</f>
        <v/>
      </c>
      <c r="F334" s="30" t="str">
        <f>+IFERROR(VLOOKUP(C334,Sheet2!C:F,4,0),"")</f>
        <v/>
      </c>
      <c r="G334" t="str">
        <f>+IFERROR(VLOOKUP(F334,Sheet2!F:H,3,0),"")</f>
        <v/>
      </c>
      <c r="K334" s="28" t="str">
        <f>+'S3'!AC334</f>
        <v/>
      </c>
      <c r="L334" t="str">
        <f>IF('S3'!J334&lt;&gt;"",'S3'!J334,"")</f>
        <v/>
      </c>
      <c r="M334" t="str">
        <f>IF('S3'!K334&lt;&gt;"",'S3'!K334,"")</f>
        <v/>
      </c>
      <c r="N334">
        <f>+IFERROR(VLOOKUP(L334,Sheet3!A:C,3,0)," ")</f>
        <v>0</v>
      </c>
      <c r="Q334">
        <f>+'S3'!N334</f>
        <v>0</v>
      </c>
      <c r="R334" s="25">
        <f>+'S3'!T334</f>
        <v>0</v>
      </c>
      <c r="U334">
        <f t="shared" si="15"/>
        <v>0</v>
      </c>
      <c r="V334" s="12" t="str">
        <f>+'S3'!X334</f>
        <v/>
      </c>
      <c r="W334" s="34" t="str">
        <f>+'S3'!Y334</f>
        <v/>
      </c>
      <c r="Y334" s="12" t="str">
        <f t="shared" si="17"/>
        <v/>
      </c>
      <c r="Z334" s="27" t="str">
        <f t="shared" si="16"/>
        <v/>
      </c>
      <c r="AA334" s="22">
        <v>0</v>
      </c>
      <c r="AB334" s="26" t="str">
        <f>+'S3'!Z334</f>
        <v/>
      </c>
    </row>
    <row r="335" spans="3:28" x14ac:dyDescent="0.3">
      <c r="C335" t="str">
        <f>+'S3'!AB335</f>
        <v/>
      </c>
      <c r="D335" t="str">
        <f>+IFERROR(VLOOKUP(F335,Sheet2!F:G,2,0),"")</f>
        <v/>
      </c>
      <c r="E335" t="str">
        <f>+IFERROR(VLOOKUP(C335,'S3'!E:F,2,0),"")</f>
        <v/>
      </c>
      <c r="F335" s="30" t="str">
        <f>+IFERROR(VLOOKUP(C335,Sheet2!C:F,4,0),"")</f>
        <v/>
      </c>
      <c r="G335" t="str">
        <f>+IFERROR(VLOOKUP(F335,Sheet2!F:H,3,0),"")</f>
        <v/>
      </c>
      <c r="K335" s="28" t="str">
        <f>+'S3'!AC335</f>
        <v/>
      </c>
      <c r="L335" t="str">
        <f>IF('S3'!J335&lt;&gt;"",'S3'!J335,"")</f>
        <v/>
      </c>
      <c r="M335" t="str">
        <f>IF('S3'!K335&lt;&gt;"",'S3'!K335,"")</f>
        <v/>
      </c>
      <c r="N335">
        <f>+IFERROR(VLOOKUP(L335,Sheet3!A:C,3,0)," ")</f>
        <v>0</v>
      </c>
      <c r="Q335">
        <f>+'S3'!N335</f>
        <v>0</v>
      </c>
      <c r="R335" s="25">
        <f>+'S3'!T335</f>
        <v>0</v>
      </c>
      <c r="U335">
        <f t="shared" si="15"/>
        <v>0</v>
      </c>
      <c r="V335" s="12" t="str">
        <f>+'S3'!X335</f>
        <v/>
      </c>
      <c r="W335" s="34" t="str">
        <f>+'S3'!Y335</f>
        <v/>
      </c>
      <c r="Y335" s="12" t="str">
        <f t="shared" si="17"/>
        <v/>
      </c>
      <c r="Z335" s="27" t="str">
        <f t="shared" si="16"/>
        <v/>
      </c>
      <c r="AA335" s="22">
        <v>0</v>
      </c>
      <c r="AB335" s="26" t="str">
        <f>+'S3'!Z335</f>
        <v/>
      </c>
    </row>
    <row r="336" spans="3:28" x14ac:dyDescent="0.3">
      <c r="C336" t="str">
        <f>+'S3'!AB336</f>
        <v/>
      </c>
      <c r="D336" t="str">
        <f>+IFERROR(VLOOKUP(F336,Sheet2!F:G,2,0),"")</f>
        <v/>
      </c>
      <c r="E336" t="str">
        <f>+IFERROR(VLOOKUP(C336,'S3'!E:F,2,0),"")</f>
        <v/>
      </c>
      <c r="F336" s="30" t="str">
        <f>+IFERROR(VLOOKUP(C336,Sheet2!C:F,4,0),"")</f>
        <v/>
      </c>
      <c r="G336" t="str">
        <f>+IFERROR(VLOOKUP(F336,Sheet2!F:H,3,0),"")</f>
        <v/>
      </c>
      <c r="K336" s="28" t="str">
        <f>+'S3'!AC336</f>
        <v/>
      </c>
      <c r="L336" t="str">
        <f>IF('S3'!J336&lt;&gt;"",'S3'!J336,"")</f>
        <v/>
      </c>
      <c r="M336" t="str">
        <f>IF('S3'!K336&lt;&gt;"",'S3'!K336,"")</f>
        <v/>
      </c>
      <c r="N336">
        <f>+IFERROR(VLOOKUP(L336,Sheet3!A:C,3,0)," ")</f>
        <v>0</v>
      </c>
      <c r="Q336">
        <f>+'S3'!N336</f>
        <v>0</v>
      </c>
      <c r="R336" s="25">
        <f>+'S3'!T336</f>
        <v>0</v>
      </c>
      <c r="U336">
        <f t="shared" si="15"/>
        <v>0</v>
      </c>
      <c r="V336" s="12" t="str">
        <f>+'S3'!X336</f>
        <v/>
      </c>
      <c r="W336" s="34" t="str">
        <f>+'S3'!Y336</f>
        <v/>
      </c>
      <c r="Y336" s="12" t="str">
        <f t="shared" si="17"/>
        <v/>
      </c>
      <c r="Z336" s="27" t="str">
        <f t="shared" si="16"/>
        <v/>
      </c>
      <c r="AA336" s="22">
        <v>0</v>
      </c>
      <c r="AB336" s="26" t="str">
        <f>+'S3'!Z336</f>
        <v/>
      </c>
    </row>
    <row r="337" spans="3:28" x14ac:dyDescent="0.3">
      <c r="C337" t="str">
        <f>+'S3'!AB337</f>
        <v/>
      </c>
      <c r="D337" t="str">
        <f>+IFERROR(VLOOKUP(F337,Sheet2!F:G,2,0),"")</f>
        <v/>
      </c>
      <c r="E337" t="str">
        <f>+IFERROR(VLOOKUP(C337,'S3'!E:F,2,0),"")</f>
        <v/>
      </c>
      <c r="F337" s="30" t="str">
        <f>+IFERROR(VLOOKUP(C337,Sheet2!C:F,4,0),"")</f>
        <v/>
      </c>
      <c r="G337" t="str">
        <f>+IFERROR(VLOOKUP(F337,Sheet2!F:H,3,0),"")</f>
        <v/>
      </c>
      <c r="K337" s="28" t="str">
        <f>+'S3'!AC337</f>
        <v/>
      </c>
      <c r="L337" t="str">
        <f>IF('S3'!J337&lt;&gt;"",'S3'!J337,"")</f>
        <v/>
      </c>
      <c r="M337" t="str">
        <f>IF('S3'!K337&lt;&gt;"",'S3'!K337,"")</f>
        <v/>
      </c>
      <c r="N337">
        <f>+IFERROR(VLOOKUP(L337,Sheet3!A:C,3,0)," ")</f>
        <v>0</v>
      </c>
      <c r="Q337">
        <f>+'S3'!N337</f>
        <v>0</v>
      </c>
      <c r="R337" s="25">
        <f>+'S3'!T337</f>
        <v>0</v>
      </c>
      <c r="U337">
        <f t="shared" si="15"/>
        <v>0</v>
      </c>
      <c r="V337" s="12" t="str">
        <f>+'S3'!X337</f>
        <v/>
      </c>
      <c r="W337" s="34" t="str">
        <f>+'S3'!Y337</f>
        <v/>
      </c>
      <c r="Y337" s="12" t="str">
        <f t="shared" si="17"/>
        <v/>
      </c>
      <c r="Z337" s="27" t="str">
        <f t="shared" si="16"/>
        <v/>
      </c>
      <c r="AA337" s="22">
        <v>0</v>
      </c>
      <c r="AB337" s="26" t="str">
        <f>+'S3'!Z337</f>
        <v/>
      </c>
    </row>
    <row r="338" spans="3:28" x14ac:dyDescent="0.3">
      <c r="C338" t="str">
        <f>+'S3'!AB338</f>
        <v/>
      </c>
      <c r="D338" t="str">
        <f>+IFERROR(VLOOKUP(F338,Sheet2!F:G,2,0),"")</f>
        <v/>
      </c>
      <c r="E338" t="str">
        <f>+IFERROR(VLOOKUP(C338,'S3'!E:F,2,0),"")</f>
        <v/>
      </c>
      <c r="F338" s="30" t="str">
        <f>+IFERROR(VLOOKUP(C338,Sheet2!C:F,4,0),"")</f>
        <v/>
      </c>
      <c r="G338" t="str">
        <f>+IFERROR(VLOOKUP(F338,Sheet2!F:H,3,0),"")</f>
        <v/>
      </c>
      <c r="K338" s="28" t="str">
        <f>+'S3'!AC338</f>
        <v/>
      </c>
      <c r="L338" t="str">
        <f>IF('S3'!J338&lt;&gt;"",'S3'!J338,"")</f>
        <v/>
      </c>
      <c r="M338" t="str">
        <f>IF('S3'!K338&lt;&gt;"",'S3'!K338,"")</f>
        <v/>
      </c>
      <c r="N338">
        <f>+IFERROR(VLOOKUP(L338,Sheet3!A:C,3,0)," ")</f>
        <v>0</v>
      </c>
      <c r="Q338">
        <f>+'S3'!N338</f>
        <v>0</v>
      </c>
      <c r="R338" s="25">
        <f>+'S3'!T338</f>
        <v>0</v>
      </c>
      <c r="U338">
        <f t="shared" si="15"/>
        <v>0</v>
      </c>
      <c r="V338" s="12" t="str">
        <f>+'S3'!X338</f>
        <v/>
      </c>
      <c r="W338" s="34" t="str">
        <f>+'S3'!Y338</f>
        <v/>
      </c>
      <c r="Y338" s="12" t="str">
        <f t="shared" si="17"/>
        <v/>
      </c>
      <c r="Z338" s="27" t="str">
        <f t="shared" si="16"/>
        <v/>
      </c>
      <c r="AA338" s="22">
        <v>0</v>
      </c>
      <c r="AB338" s="26" t="str">
        <f>+'S3'!Z338</f>
        <v/>
      </c>
    </row>
    <row r="339" spans="3:28" x14ac:dyDescent="0.3">
      <c r="C339" t="str">
        <f>+'S3'!AB339</f>
        <v/>
      </c>
      <c r="D339" t="str">
        <f>+IFERROR(VLOOKUP(F339,Sheet2!F:G,2,0),"")</f>
        <v/>
      </c>
      <c r="E339" t="str">
        <f>+IFERROR(VLOOKUP(C339,'S3'!E:F,2,0),"")</f>
        <v/>
      </c>
      <c r="F339" s="30" t="str">
        <f>+IFERROR(VLOOKUP(C339,Sheet2!C:F,4,0),"")</f>
        <v/>
      </c>
      <c r="G339" t="str">
        <f>+IFERROR(VLOOKUP(F339,Sheet2!F:H,3,0),"")</f>
        <v/>
      </c>
      <c r="K339" s="28" t="str">
        <f>+'S3'!AC339</f>
        <v/>
      </c>
      <c r="L339" t="str">
        <f>IF('S3'!J339&lt;&gt;"",'S3'!J339,"")</f>
        <v/>
      </c>
      <c r="M339" t="str">
        <f>IF('S3'!K339&lt;&gt;"",'S3'!K339,"")</f>
        <v/>
      </c>
      <c r="N339">
        <f>+IFERROR(VLOOKUP(L339,Sheet3!A:C,3,0)," ")</f>
        <v>0</v>
      </c>
      <c r="Q339">
        <f>+'S3'!N339</f>
        <v>0</v>
      </c>
      <c r="R339" s="25">
        <f>+'S3'!T339</f>
        <v>0</v>
      </c>
      <c r="U339">
        <f t="shared" si="15"/>
        <v>0</v>
      </c>
      <c r="V339" s="12" t="str">
        <f>+'S3'!X339</f>
        <v/>
      </c>
      <c r="W339" s="34" t="str">
        <f>+'S3'!Y339</f>
        <v/>
      </c>
      <c r="Y339" s="12" t="str">
        <f t="shared" si="17"/>
        <v/>
      </c>
      <c r="Z339" s="27" t="str">
        <f t="shared" si="16"/>
        <v/>
      </c>
      <c r="AA339" s="22">
        <v>0</v>
      </c>
      <c r="AB339" s="26" t="str">
        <f>+'S3'!Z339</f>
        <v/>
      </c>
    </row>
    <row r="340" spans="3:28" x14ac:dyDescent="0.3">
      <c r="C340" t="str">
        <f>+'S3'!AB340</f>
        <v/>
      </c>
      <c r="D340" t="str">
        <f>+IFERROR(VLOOKUP(F340,Sheet2!F:G,2,0),"")</f>
        <v/>
      </c>
      <c r="E340" t="str">
        <f>+IFERROR(VLOOKUP(C340,'S3'!E:F,2,0),"")</f>
        <v/>
      </c>
      <c r="F340" s="30" t="str">
        <f>+IFERROR(VLOOKUP(C340,Sheet2!C:F,4,0),"")</f>
        <v/>
      </c>
      <c r="G340" t="str">
        <f>+IFERROR(VLOOKUP(F340,Sheet2!F:H,3,0),"")</f>
        <v/>
      </c>
      <c r="K340" s="28" t="str">
        <f>+'S3'!AC340</f>
        <v/>
      </c>
      <c r="L340" t="str">
        <f>IF('S3'!J340&lt;&gt;"",'S3'!J340,"")</f>
        <v/>
      </c>
      <c r="M340" t="str">
        <f>IF('S3'!K340&lt;&gt;"",'S3'!K340,"")</f>
        <v/>
      </c>
      <c r="N340">
        <f>+IFERROR(VLOOKUP(L340,Sheet3!A:C,3,0)," ")</f>
        <v>0</v>
      </c>
      <c r="Q340">
        <f>+'S3'!N340</f>
        <v>0</v>
      </c>
      <c r="R340" s="25">
        <f>+'S3'!T340</f>
        <v>0</v>
      </c>
      <c r="U340">
        <f t="shared" si="15"/>
        <v>0</v>
      </c>
      <c r="V340" s="12" t="str">
        <f>+'S3'!X340</f>
        <v/>
      </c>
      <c r="W340" s="34" t="str">
        <f>+'S3'!Y340</f>
        <v/>
      </c>
      <c r="Y340" s="12" t="str">
        <f t="shared" si="17"/>
        <v/>
      </c>
      <c r="Z340" s="27" t="str">
        <f t="shared" si="16"/>
        <v/>
      </c>
      <c r="AA340" s="22">
        <v>0</v>
      </c>
      <c r="AB340" s="26" t="str">
        <f>+'S3'!Z340</f>
        <v/>
      </c>
    </row>
    <row r="341" spans="3:28" x14ac:dyDescent="0.3">
      <c r="C341" t="str">
        <f>+'S3'!AB341</f>
        <v/>
      </c>
      <c r="D341" t="str">
        <f>+IFERROR(VLOOKUP(F341,Sheet2!F:G,2,0),"")</f>
        <v/>
      </c>
      <c r="E341" t="str">
        <f>+IFERROR(VLOOKUP(C341,'S3'!E:F,2,0),"")</f>
        <v/>
      </c>
      <c r="F341" s="30" t="str">
        <f>+IFERROR(VLOOKUP(C341,Sheet2!C:F,4,0),"")</f>
        <v/>
      </c>
      <c r="G341" t="str">
        <f>+IFERROR(VLOOKUP(F341,Sheet2!F:H,3,0),"")</f>
        <v/>
      </c>
      <c r="K341" s="28" t="str">
        <f>+'S3'!AC341</f>
        <v/>
      </c>
      <c r="L341" t="str">
        <f>IF('S3'!J341&lt;&gt;"",'S3'!J341,"")</f>
        <v/>
      </c>
      <c r="M341" t="str">
        <f>IF('S3'!K341&lt;&gt;"",'S3'!K341,"")</f>
        <v/>
      </c>
      <c r="N341">
        <f>+IFERROR(VLOOKUP(L341,Sheet3!A:C,3,0)," ")</f>
        <v>0</v>
      </c>
      <c r="Q341">
        <f>+'S3'!N341</f>
        <v>0</v>
      </c>
      <c r="R341" s="25">
        <f>+'S3'!T341</f>
        <v>0</v>
      </c>
      <c r="U341">
        <f t="shared" si="15"/>
        <v>0</v>
      </c>
      <c r="V341" s="12" t="str">
        <f>+'S3'!X341</f>
        <v/>
      </c>
      <c r="W341" s="34" t="str">
        <f>+'S3'!Y341</f>
        <v/>
      </c>
      <c r="Y341" s="12" t="str">
        <f t="shared" si="17"/>
        <v/>
      </c>
      <c r="Z341" s="27" t="str">
        <f t="shared" si="16"/>
        <v/>
      </c>
      <c r="AA341" s="22">
        <v>0</v>
      </c>
      <c r="AB341" s="26" t="str">
        <f>+'S3'!Z341</f>
        <v/>
      </c>
    </row>
    <row r="342" spans="3:28" x14ac:dyDescent="0.3">
      <c r="C342" t="str">
        <f>+'S3'!AB342</f>
        <v/>
      </c>
      <c r="D342" t="str">
        <f>+IFERROR(VLOOKUP(F342,Sheet2!F:G,2,0),"")</f>
        <v/>
      </c>
      <c r="E342" t="str">
        <f>+IFERROR(VLOOKUP(C342,'S3'!E:F,2,0),"")</f>
        <v/>
      </c>
      <c r="F342" s="30" t="str">
        <f>+IFERROR(VLOOKUP(C342,Sheet2!C:F,4,0),"")</f>
        <v/>
      </c>
      <c r="G342" t="str">
        <f>+IFERROR(VLOOKUP(F342,Sheet2!F:H,3,0),"")</f>
        <v/>
      </c>
      <c r="K342" s="28" t="str">
        <f>+'S3'!AC342</f>
        <v/>
      </c>
      <c r="L342" t="str">
        <f>IF('S3'!J342&lt;&gt;"",'S3'!J342,"")</f>
        <v/>
      </c>
      <c r="M342" t="str">
        <f>IF('S3'!K342&lt;&gt;"",'S3'!K342,"")</f>
        <v/>
      </c>
      <c r="N342">
        <f>+IFERROR(VLOOKUP(L342,Sheet3!A:C,3,0)," ")</f>
        <v>0</v>
      </c>
      <c r="Q342">
        <f>+'S3'!N342</f>
        <v>0</v>
      </c>
      <c r="R342" s="25">
        <f>+'S3'!T342</f>
        <v>0</v>
      </c>
      <c r="U342">
        <f t="shared" si="15"/>
        <v>0</v>
      </c>
      <c r="V342" s="12" t="str">
        <f>+'S3'!X342</f>
        <v/>
      </c>
      <c r="W342" s="34" t="str">
        <f>+'S3'!Y342</f>
        <v/>
      </c>
      <c r="Y342" s="12" t="str">
        <f t="shared" si="17"/>
        <v/>
      </c>
      <c r="Z342" s="27" t="str">
        <f t="shared" si="16"/>
        <v/>
      </c>
      <c r="AA342" s="22">
        <v>0</v>
      </c>
      <c r="AB342" s="26" t="str">
        <f>+'S3'!Z342</f>
        <v/>
      </c>
    </row>
    <row r="343" spans="3:28" x14ac:dyDescent="0.3">
      <c r="C343" t="str">
        <f>+'S3'!AB343</f>
        <v/>
      </c>
      <c r="D343" t="str">
        <f>+IFERROR(VLOOKUP(F343,Sheet2!F:G,2,0),"")</f>
        <v/>
      </c>
      <c r="E343" t="str">
        <f>+IFERROR(VLOOKUP(C343,'S3'!E:F,2,0),"")</f>
        <v/>
      </c>
      <c r="F343" s="30" t="str">
        <f>+IFERROR(VLOOKUP(C343,Sheet2!C:F,4,0),"")</f>
        <v/>
      </c>
      <c r="G343" t="str">
        <f>+IFERROR(VLOOKUP(F343,Sheet2!F:H,3,0),"")</f>
        <v/>
      </c>
      <c r="K343" s="28" t="str">
        <f>+'S3'!AC343</f>
        <v/>
      </c>
      <c r="L343" t="str">
        <f>IF('S3'!J343&lt;&gt;"",'S3'!J343,"")</f>
        <v/>
      </c>
      <c r="M343" t="str">
        <f>IF('S3'!K343&lt;&gt;"",'S3'!K343,"")</f>
        <v/>
      </c>
      <c r="N343">
        <f>+IFERROR(VLOOKUP(L343,Sheet3!A:C,3,0)," ")</f>
        <v>0</v>
      </c>
      <c r="Q343">
        <f>+'S3'!N343</f>
        <v>0</v>
      </c>
      <c r="R343" s="25">
        <f>+'S3'!T343</f>
        <v>0</v>
      </c>
      <c r="U343">
        <f t="shared" si="15"/>
        <v>0</v>
      </c>
      <c r="V343" s="12" t="str">
        <f>+'S3'!X343</f>
        <v/>
      </c>
      <c r="W343" s="34" t="str">
        <f>+'S3'!Y343</f>
        <v/>
      </c>
      <c r="Y343" s="12" t="str">
        <f t="shared" si="17"/>
        <v/>
      </c>
      <c r="Z343" s="27" t="str">
        <f t="shared" si="16"/>
        <v/>
      </c>
      <c r="AA343" s="22">
        <v>0</v>
      </c>
      <c r="AB343" s="26" t="str">
        <f>+'S3'!Z343</f>
        <v/>
      </c>
    </row>
    <row r="344" spans="3:28" x14ac:dyDescent="0.3">
      <c r="C344" t="str">
        <f>+'S3'!AB344</f>
        <v/>
      </c>
      <c r="D344" t="str">
        <f>+IFERROR(VLOOKUP(F344,Sheet2!F:G,2,0),"")</f>
        <v/>
      </c>
      <c r="E344" t="str">
        <f>+IFERROR(VLOOKUP(C344,'S3'!E:F,2,0),"")</f>
        <v/>
      </c>
      <c r="F344" s="30" t="str">
        <f>+IFERROR(VLOOKUP(C344,Sheet2!C:F,4,0),"")</f>
        <v/>
      </c>
      <c r="G344" t="str">
        <f>+IFERROR(VLOOKUP(F344,Sheet2!F:H,3,0),"")</f>
        <v/>
      </c>
      <c r="K344" s="28" t="str">
        <f>+'S3'!AC344</f>
        <v/>
      </c>
      <c r="L344" t="str">
        <f>IF('S3'!J344&lt;&gt;"",'S3'!J344,"")</f>
        <v/>
      </c>
      <c r="M344" t="str">
        <f>IF('S3'!K344&lt;&gt;"",'S3'!K344,"")</f>
        <v/>
      </c>
      <c r="N344">
        <f>+IFERROR(VLOOKUP(L344,Sheet3!A:C,3,0)," ")</f>
        <v>0</v>
      </c>
      <c r="Q344">
        <f>+'S3'!N344</f>
        <v>0</v>
      </c>
      <c r="R344" s="25">
        <f>+'S3'!T344</f>
        <v>0</v>
      </c>
      <c r="U344">
        <f t="shared" si="15"/>
        <v>0</v>
      </c>
      <c r="V344" s="12" t="str">
        <f>+'S3'!X344</f>
        <v/>
      </c>
      <c r="W344" s="34" t="str">
        <f>+'S3'!Y344</f>
        <v/>
      </c>
      <c r="Y344" s="12" t="str">
        <f t="shared" si="17"/>
        <v/>
      </c>
      <c r="Z344" s="27" t="str">
        <f t="shared" si="16"/>
        <v/>
      </c>
      <c r="AA344" s="22">
        <v>0</v>
      </c>
      <c r="AB344" s="26" t="str">
        <f>+'S3'!Z344</f>
        <v/>
      </c>
    </row>
    <row r="345" spans="3:28" x14ac:dyDescent="0.3">
      <c r="C345" t="str">
        <f>+'S3'!AB345</f>
        <v/>
      </c>
      <c r="D345" t="str">
        <f>+IFERROR(VLOOKUP(F345,Sheet2!F:G,2,0),"")</f>
        <v/>
      </c>
      <c r="E345" t="str">
        <f>+IFERROR(VLOOKUP(C345,'S3'!E:F,2,0),"")</f>
        <v/>
      </c>
      <c r="F345" s="30" t="str">
        <f>+IFERROR(VLOOKUP(C345,Sheet2!C:F,4,0),"")</f>
        <v/>
      </c>
      <c r="G345" t="str">
        <f>+IFERROR(VLOOKUP(F345,Sheet2!F:H,3,0),"")</f>
        <v/>
      </c>
      <c r="K345" s="28" t="str">
        <f>+'S3'!AC345</f>
        <v/>
      </c>
      <c r="L345" t="str">
        <f>IF('S3'!J345&lt;&gt;"",'S3'!J345,"")</f>
        <v/>
      </c>
      <c r="M345" t="str">
        <f>IF('S3'!K345&lt;&gt;"",'S3'!K345,"")</f>
        <v/>
      </c>
      <c r="N345">
        <f>+IFERROR(VLOOKUP(L345,Sheet3!A:C,3,0)," ")</f>
        <v>0</v>
      </c>
      <c r="Q345">
        <f>+'S3'!N345</f>
        <v>0</v>
      </c>
      <c r="R345" s="25">
        <f>+'S3'!T345</f>
        <v>0</v>
      </c>
      <c r="U345">
        <f t="shared" si="15"/>
        <v>0</v>
      </c>
      <c r="V345" s="12" t="str">
        <f>+'S3'!X345</f>
        <v/>
      </c>
      <c r="W345" s="34" t="str">
        <f>+'S3'!Y345</f>
        <v/>
      </c>
      <c r="Y345" s="12" t="str">
        <f t="shared" si="17"/>
        <v/>
      </c>
      <c r="Z345" s="27" t="str">
        <f t="shared" si="16"/>
        <v/>
      </c>
      <c r="AA345" s="22">
        <v>0</v>
      </c>
      <c r="AB345" s="26" t="str">
        <f>+'S3'!Z345</f>
        <v/>
      </c>
    </row>
    <row r="346" spans="3:28" x14ac:dyDescent="0.3">
      <c r="C346" t="str">
        <f>+'S3'!AB346</f>
        <v/>
      </c>
      <c r="D346" t="str">
        <f>+IFERROR(VLOOKUP(F346,Sheet2!F:G,2,0),"")</f>
        <v/>
      </c>
      <c r="E346" t="str">
        <f>+IFERROR(VLOOKUP(C346,'S3'!E:F,2,0),"")</f>
        <v/>
      </c>
      <c r="F346" s="30" t="str">
        <f>+IFERROR(VLOOKUP(C346,Sheet2!C:F,4,0),"")</f>
        <v/>
      </c>
      <c r="G346" t="str">
        <f>+IFERROR(VLOOKUP(F346,Sheet2!F:H,3,0),"")</f>
        <v/>
      </c>
      <c r="K346" s="28" t="str">
        <f>+'S3'!AC346</f>
        <v/>
      </c>
      <c r="L346" t="str">
        <f>IF('S3'!J346&lt;&gt;"",'S3'!J346,"")</f>
        <v/>
      </c>
      <c r="M346" t="str">
        <f>IF('S3'!K346&lt;&gt;"",'S3'!K346,"")</f>
        <v/>
      </c>
      <c r="N346">
        <f>+IFERROR(VLOOKUP(L346,Sheet3!A:C,3,0)," ")</f>
        <v>0</v>
      </c>
      <c r="Q346">
        <f>+'S3'!N346</f>
        <v>0</v>
      </c>
      <c r="R346" s="25">
        <f>+'S3'!T346</f>
        <v>0</v>
      </c>
      <c r="U346">
        <f t="shared" si="15"/>
        <v>0</v>
      </c>
      <c r="V346" s="12" t="str">
        <f>+'S3'!X346</f>
        <v/>
      </c>
      <c r="W346" s="34" t="str">
        <f>+'S3'!Y346</f>
        <v/>
      </c>
      <c r="Y346" s="12" t="str">
        <f t="shared" si="17"/>
        <v/>
      </c>
      <c r="Z346" s="27" t="str">
        <f t="shared" si="16"/>
        <v/>
      </c>
      <c r="AA346" s="22">
        <v>0</v>
      </c>
      <c r="AB346" s="26" t="str">
        <f>+'S3'!Z346</f>
        <v/>
      </c>
    </row>
    <row r="347" spans="3:28" x14ac:dyDescent="0.3">
      <c r="C347" t="str">
        <f>+'S3'!AB347</f>
        <v/>
      </c>
      <c r="D347" t="str">
        <f>+IFERROR(VLOOKUP(F347,Sheet2!F:G,2,0),"")</f>
        <v/>
      </c>
      <c r="E347" t="str">
        <f>+IFERROR(VLOOKUP(C347,'S3'!E:F,2,0),"")</f>
        <v/>
      </c>
      <c r="F347" s="30" t="str">
        <f>+IFERROR(VLOOKUP(C347,Sheet2!C:F,4,0),"")</f>
        <v/>
      </c>
      <c r="G347" t="str">
        <f>+IFERROR(VLOOKUP(F347,Sheet2!F:H,3,0),"")</f>
        <v/>
      </c>
      <c r="K347" s="28" t="str">
        <f>+'S3'!AC347</f>
        <v/>
      </c>
      <c r="L347" t="str">
        <f>IF('S3'!J347&lt;&gt;"",'S3'!J347,"")</f>
        <v/>
      </c>
      <c r="M347" t="str">
        <f>IF('S3'!K347&lt;&gt;"",'S3'!K347,"")</f>
        <v/>
      </c>
      <c r="N347">
        <f>+IFERROR(VLOOKUP(L347,Sheet3!A:C,3,0)," ")</f>
        <v>0</v>
      </c>
      <c r="Q347">
        <f>+'S3'!N347</f>
        <v>0</v>
      </c>
      <c r="R347" s="25">
        <f>+'S3'!T347</f>
        <v>0</v>
      </c>
      <c r="U347">
        <f t="shared" si="15"/>
        <v>0</v>
      </c>
      <c r="V347" s="12" t="str">
        <f>+'S3'!X347</f>
        <v/>
      </c>
      <c r="W347" s="34" t="str">
        <f>+'S3'!Y347</f>
        <v/>
      </c>
      <c r="Y347" s="12" t="str">
        <f t="shared" si="17"/>
        <v/>
      </c>
      <c r="Z347" s="27" t="str">
        <f t="shared" si="16"/>
        <v/>
      </c>
      <c r="AA347" s="22">
        <v>0</v>
      </c>
      <c r="AB347" s="26" t="str">
        <f>+'S3'!Z347</f>
        <v/>
      </c>
    </row>
    <row r="348" spans="3:28" x14ac:dyDescent="0.3">
      <c r="C348" t="str">
        <f>+'S3'!AB348</f>
        <v/>
      </c>
      <c r="D348" t="str">
        <f>+IFERROR(VLOOKUP(F348,Sheet2!F:G,2,0),"")</f>
        <v/>
      </c>
      <c r="E348" t="str">
        <f>+IFERROR(VLOOKUP(C348,'S3'!E:F,2,0),"")</f>
        <v/>
      </c>
      <c r="F348" s="30" t="str">
        <f>+IFERROR(VLOOKUP(C348,Sheet2!C:F,4,0),"")</f>
        <v/>
      </c>
      <c r="G348" t="str">
        <f>+IFERROR(VLOOKUP(F348,Sheet2!F:H,3,0),"")</f>
        <v/>
      </c>
      <c r="K348" s="28" t="str">
        <f>+'S3'!AC348</f>
        <v/>
      </c>
      <c r="L348" t="str">
        <f>IF('S3'!J348&lt;&gt;"",'S3'!J348,"")</f>
        <v/>
      </c>
      <c r="M348" t="str">
        <f>IF('S3'!K348&lt;&gt;"",'S3'!K348,"")</f>
        <v/>
      </c>
      <c r="N348">
        <f>+IFERROR(VLOOKUP(L348,Sheet3!A:C,3,0)," ")</f>
        <v>0</v>
      </c>
      <c r="Q348">
        <f>+'S3'!N348</f>
        <v>0</v>
      </c>
      <c r="R348" s="25">
        <f>+'S3'!T348</f>
        <v>0</v>
      </c>
      <c r="U348">
        <f t="shared" si="15"/>
        <v>0</v>
      </c>
      <c r="V348" s="12" t="str">
        <f>+'S3'!X348</f>
        <v/>
      </c>
      <c r="W348" s="34" t="str">
        <f>+'S3'!Y348</f>
        <v/>
      </c>
      <c r="Y348" s="12" t="str">
        <f t="shared" si="17"/>
        <v/>
      </c>
      <c r="Z348" s="27" t="str">
        <f t="shared" si="16"/>
        <v/>
      </c>
      <c r="AA348" s="22">
        <v>0</v>
      </c>
      <c r="AB348" s="26" t="str">
        <f>+'S3'!Z348</f>
        <v/>
      </c>
    </row>
    <row r="349" spans="3:28" x14ac:dyDescent="0.3">
      <c r="C349" t="str">
        <f>+'S3'!AB349</f>
        <v/>
      </c>
      <c r="D349" t="str">
        <f>+IFERROR(VLOOKUP(F349,Sheet2!F:G,2,0),"")</f>
        <v/>
      </c>
      <c r="E349" t="str">
        <f>+IFERROR(VLOOKUP(C349,'S3'!E:F,2,0),"")</f>
        <v/>
      </c>
      <c r="F349" s="30" t="str">
        <f>+IFERROR(VLOOKUP(C349,Sheet2!C:F,4,0),"")</f>
        <v/>
      </c>
      <c r="G349" t="str">
        <f>+IFERROR(VLOOKUP(F349,Sheet2!F:H,3,0),"")</f>
        <v/>
      </c>
      <c r="K349" s="28" t="str">
        <f>+'S3'!AC349</f>
        <v/>
      </c>
      <c r="L349" t="str">
        <f>IF('S3'!J349&lt;&gt;"",'S3'!J349,"")</f>
        <v/>
      </c>
      <c r="M349" t="str">
        <f>IF('S3'!K349&lt;&gt;"",'S3'!K349,"")</f>
        <v/>
      </c>
      <c r="N349">
        <f>+IFERROR(VLOOKUP(L349,Sheet3!A:C,3,0)," ")</f>
        <v>0</v>
      </c>
      <c r="Q349">
        <f>+'S3'!N349</f>
        <v>0</v>
      </c>
      <c r="R349" s="25">
        <f>+'S3'!T349</f>
        <v>0</v>
      </c>
      <c r="U349">
        <f t="shared" si="15"/>
        <v>0</v>
      </c>
      <c r="V349" s="12" t="str">
        <f>+'S3'!X349</f>
        <v/>
      </c>
      <c r="W349" s="34" t="str">
        <f>+'S3'!Y349</f>
        <v/>
      </c>
      <c r="Y349" s="12" t="str">
        <f t="shared" si="17"/>
        <v/>
      </c>
      <c r="Z349" s="27" t="str">
        <f t="shared" si="16"/>
        <v/>
      </c>
      <c r="AA349" s="22">
        <v>0</v>
      </c>
      <c r="AB349" s="26" t="str">
        <f>+'S3'!Z349</f>
        <v/>
      </c>
    </row>
    <row r="350" spans="3:28" x14ac:dyDescent="0.3">
      <c r="C350" t="str">
        <f>+'S3'!AB350</f>
        <v/>
      </c>
      <c r="D350" t="str">
        <f>+IFERROR(VLOOKUP(F350,Sheet2!F:G,2,0),"")</f>
        <v/>
      </c>
      <c r="E350" t="str">
        <f>+IFERROR(VLOOKUP(C350,'S3'!E:F,2,0),"")</f>
        <v/>
      </c>
      <c r="F350" s="30" t="str">
        <f>+IFERROR(VLOOKUP(C350,Sheet2!C:F,4,0),"")</f>
        <v/>
      </c>
      <c r="G350" t="str">
        <f>+IFERROR(VLOOKUP(F350,Sheet2!F:H,3,0),"")</f>
        <v/>
      </c>
      <c r="K350" s="28" t="str">
        <f>+'S3'!AC350</f>
        <v/>
      </c>
      <c r="L350" t="str">
        <f>IF('S3'!J350&lt;&gt;"",'S3'!J350,"")</f>
        <v/>
      </c>
      <c r="M350" t="str">
        <f>IF('S3'!K350&lt;&gt;"",'S3'!K350,"")</f>
        <v/>
      </c>
      <c r="N350">
        <f>+IFERROR(VLOOKUP(L350,Sheet3!A:C,3,0)," ")</f>
        <v>0</v>
      </c>
      <c r="Q350">
        <f>+'S3'!N350</f>
        <v>0</v>
      </c>
      <c r="R350" s="25">
        <f>+'S3'!T350</f>
        <v>0</v>
      </c>
      <c r="U350">
        <f t="shared" si="15"/>
        <v>0</v>
      </c>
      <c r="V350" s="12" t="str">
        <f>+'S3'!X350</f>
        <v/>
      </c>
      <c r="W350" s="34" t="str">
        <f>+'S3'!Y350</f>
        <v/>
      </c>
      <c r="Y350" s="12" t="str">
        <f t="shared" si="17"/>
        <v/>
      </c>
      <c r="Z350" s="27" t="str">
        <f t="shared" si="16"/>
        <v/>
      </c>
      <c r="AA350" s="22">
        <v>0</v>
      </c>
      <c r="AB350" s="26" t="str">
        <f>+'S3'!Z350</f>
        <v/>
      </c>
    </row>
    <row r="351" spans="3:28" x14ac:dyDescent="0.3">
      <c r="C351" t="str">
        <f>+'S3'!AB351</f>
        <v/>
      </c>
      <c r="D351" t="str">
        <f>+IFERROR(VLOOKUP(F351,Sheet2!F:G,2,0),"")</f>
        <v/>
      </c>
      <c r="E351" t="str">
        <f>+IFERROR(VLOOKUP(C351,'S3'!E:F,2,0),"")</f>
        <v/>
      </c>
      <c r="F351" s="30" t="str">
        <f>+IFERROR(VLOOKUP(C351,Sheet2!C:F,4,0),"")</f>
        <v/>
      </c>
      <c r="G351" t="str">
        <f>+IFERROR(VLOOKUP(F351,Sheet2!F:H,3,0),"")</f>
        <v/>
      </c>
      <c r="K351" s="28" t="str">
        <f>+'S3'!AC351</f>
        <v/>
      </c>
      <c r="L351" t="str">
        <f>IF('S3'!J351&lt;&gt;"",'S3'!J351,"")</f>
        <v/>
      </c>
      <c r="M351" t="str">
        <f>IF('S3'!K351&lt;&gt;"",'S3'!K351,"")</f>
        <v/>
      </c>
      <c r="N351">
        <f>+IFERROR(VLOOKUP(L351,Sheet3!A:C,3,0)," ")</f>
        <v>0</v>
      </c>
      <c r="Q351">
        <f>+'S3'!N351</f>
        <v>0</v>
      </c>
      <c r="R351" s="25">
        <f>+'S3'!T351</f>
        <v>0</v>
      </c>
      <c r="U351">
        <f t="shared" si="15"/>
        <v>0</v>
      </c>
      <c r="V351" s="12" t="str">
        <f>+'S3'!X351</f>
        <v/>
      </c>
      <c r="W351" s="34" t="str">
        <f>+'S3'!Y351</f>
        <v/>
      </c>
      <c r="Y351" s="12" t="str">
        <f t="shared" si="17"/>
        <v/>
      </c>
      <c r="Z351" s="27" t="str">
        <f t="shared" si="16"/>
        <v/>
      </c>
      <c r="AA351" s="22">
        <v>0</v>
      </c>
      <c r="AB351" s="26" t="str">
        <f>+'S3'!Z351</f>
        <v/>
      </c>
    </row>
    <row r="352" spans="3:28" x14ac:dyDescent="0.3">
      <c r="C352" t="str">
        <f>+'S3'!AB352</f>
        <v/>
      </c>
      <c r="D352" t="str">
        <f>+IFERROR(VLOOKUP(F352,Sheet2!F:G,2,0),"")</f>
        <v/>
      </c>
      <c r="E352" t="str">
        <f>+IFERROR(VLOOKUP(C352,'S3'!E:F,2,0),"")</f>
        <v/>
      </c>
      <c r="F352" s="30" t="str">
        <f>+IFERROR(VLOOKUP(C352,Sheet2!C:F,4,0),"")</f>
        <v/>
      </c>
      <c r="G352" t="str">
        <f>+IFERROR(VLOOKUP(F352,Sheet2!F:H,3,0),"")</f>
        <v/>
      </c>
      <c r="K352" s="28" t="str">
        <f>+'S3'!AC352</f>
        <v/>
      </c>
      <c r="L352" t="str">
        <f>IF('S3'!J352&lt;&gt;"",'S3'!J352,"")</f>
        <v/>
      </c>
      <c r="M352" t="str">
        <f>IF('S3'!K352&lt;&gt;"",'S3'!K352,"")</f>
        <v/>
      </c>
      <c r="N352">
        <f>+IFERROR(VLOOKUP(L352,Sheet3!A:C,3,0)," ")</f>
        <v>0</v>
      </c>
      <c r="Q352">
        <f>+'S3'!N352</f>
        <v>0</v>
      </c>
      <c r="R352" s="25">
        <f>+'S3'!T352</f>
        <v>0</v>
      </c>
      <c r="U352">
        <f t="shared" si="15"/>
        <v>0</v>
      </c>
      <c r="V352" s="12" t="str">
        <f>+'S3'!X352</f>
        <v/>
      </c>
      <c r="W352" s="34" t="str">
        <f>+'S3'!Y352</f>
        <v/>
      </c>
      <c r="Y352" s="12" t="str">
        <f t="shared" si="17"/>
        <v/>
      </c>
      <c r="Z352" s="27" t="str">
        <f t="shared" si="16"/>
        <v/>
      </c>
      <c r="AA352" s="22">
        <v>0</v>
      </c>
      <c r="AB352" s="26" t="str">
        <f>+'S3'!Z352</f>
        <v/>
      </c>
    </row>
    <row r="353" spans="3:28" x14ac:dyDescent="0.3">
      <c r="C353" t="str">
        <f>+'S3'!AB353</f>
        <v/>
      </c>
      <c r="D353" t="str">
        <f>+IFERROR(VLOOKUP(F353,Sheet2!F:G,2,0),"")</f>
        <v/>
      </c>
      <c r="E353" t="str">
        <f>+IFERROR(VLOOKUP(C353,'S3'!E:F,2,0),"")</f>
        <v/>
      </c>
      <c r="F353" s="30" t="str">
        <f>+IFERROR(VLOOKUP(C353,Sheet2!C:F,4,0),"")</f>
        <v/>
      </c>
      <c r="G353" t="str">
        <f>+IFERROR(VLOOKUP(F353,Sheet2!F:H,3,0),"")</f>
        <v/>
      </c>
      <c r="K353" s="28" t="str">
        <f>+'S3'!AC353</f>
        <v/>
      </c>
      <c r="L353" t="str">
        <f>IF('S3'!J353&lt;&gt;"",'S3'!J353,"")</f>
        <v/>
      </c>
      <c r="M353" t="str">
        <f>IF('S3'!K353&lt;&gt;"",'S3'!K353,"")</f>
        <v/>
      </c>
      <c r="N353">
        <f>+IFERROR(VLOOKUP(L353,Sheet3!A:C,3,0)," ")</f>
        <v>0</v>
      </c>
      <c r="Q353">
        <f>+'S3'!N353</f>
        <v>0</v>
      </c>
      <c r="R353" s="25">
        <f>+'S3'!T353</f>
        <v>0</v>
      </c>
      <c r="U353">
        <f t="shared" si="15"/>
        <v>0</v>
      </c>
      <c r="V353" s="12" t="str">
        <f>+'S3'!X353</f>
        <v/>
      </c>
      <c r="W353" s="34" t="str">
        <f>+'S3'!Y353</f>
        <v/>
      </c>
      <c r="Y353" s="12" t="str">
        <f t="shared" si="17"/>
        <v/>
      </c>
      <c r="Z353" s="27" t="str">
        <f t="shared" si="16"/>
        <v/>
      </c>
      <c r="AA353" s="22">
        <v>0</v>
      </c>
      <c r="AB353" s="26" t="str">
        <f>+'S3'!Z353</f>
        <v/>
      </c>
    </row>
    <row r="354" spans="3:28" x14ac:dyDescent="0.3">
      <c r="C354" t="str">
        <f>+'S3'!AB354</f>
        <v/>
      </c>
      <c r="D354" t="str">
        <f>+IFERROR(VLOOKUP(F354,Sheet2!F:G,2,0),"")</f>
        <v/>
      </c>
      <c r="E354" t="str">
        <f>+IFERROR(VLOOKUP(C354,'S3'!E:F,2,0),"")</f>
        <v/>
      </c>
      <c r="F354" s="30" t="str">
        <f>+IFERROR(VLOOKUP(C354,Sheet2!C:F,4,0),"")</f>
        <v/>
      </c>
      <c r="G354" t="str">
        <f>+IFERROR(VLOOKUP(F354,Sheet2!F:H,3,0),"")</f>
        <v/>
      </c>
      <c r="K354" s="28" t="str">
        <f>+'S3'!AC354</f>
        <v/>
      </c>
      <c r="L354" t="str">
        <f>IF('S3'!J354&lt;&gt;"",'S3'!J354,"")</f>
        <v/>
      </c>
      <c r="M354" t="str">
        <f>IF('S3'!K354&lt;&gt;"",'S3'!K354,"")</f>
        <v/>
      </c>
      <c r="N354">
        <f>+IFERROR(VLOOKUP(L354,Sheet3!A:C,3,0)," ")</f>
        <v>0</v>
      </c>
      <c r="Q354">
        <f>+'S3'!N354</f>
        <v>0</v>
      </c>
      <c r="R354" s="25">
        <f>+'S3'!T354</f>
        <v>0</v>
      </c>
      <c r="U354">
        <f t="shared" si="15"/>
        <v>0</v>
      </c>
      <c r="V354" s="12" t="str">
        <f>+'S3'!X354</f>
        <v/>
      </c>
      <c r="W354" s="34" t="str">
        <f>+'S3'!Y354</f>
        <v/>
      </c>
      <c r="Y354" s="12" t="str">
        <f t="shared" si="17"/>
        <v/>
      </c>
      <c r="Z354" s="27" t="str">
        <f t="shared" si="16"/>
        <v/>
      </c>
      <c r="AA354" s="22">
        <v>0</v>
      </c>
      <c r="AB354" s="26" t="str">
        <f>+'S3'!Z354</f>
        <v/>
      </c>
    </row>
    <row r="355" spans="3:28" x14ac:dyDescent="0.3">
      <c r="C355" t="str">
        <f>+'S3'!AB355</f>
        <v/>
      </c>
      <c r="D355" t="str">
        <f>+IFERROR(VLOOKUP(F355,Sheet2!F:G,2,0),"")</f>
        <v/>
      </c>
      <c r="E355" t="str">
        <f>+IFERROR(VLOOKUP(C355,'S3'!E:F,2,0),"")</f>
        <v/>
      </c>
      <c r="F355" s="30" t="str">
        <f>+IFERROR(VLOOKUP(C355,Sheet2!C:F,4,0),"")</f>
        <v/>
      </c>
      <c r="G355" t="str">
        <f>+IFERROR(VLOOKUP(F355,Sheet2!F:H,3,0),"")</f>
        <v/>
      </c>
      <c r="K355" s="28" t="str">
        <f>+'S3'!AC355</f>
        <v/>
      </c>
      <c r="L355" t="str">
        <f>IF('S3'!J355&lt;&gt;"",'S3'!J355,"")</f>
        <v/>
      </c>
      <c r="M355" t="str">
        <f>IF('S3'!K355&lt;&gt;"",'S3'!K355,"")</f>
        <v/>
      </c>
      <c r="N355">
        <f>+IFERROR(VLOOKUP(L355,Sheet3!A:C,3,0)," ")</f>
        <v>0</v>
      </c>
      <c r="Q355">
        <f>+'S3'!N355</f>
        <v>0</v>
      </c>
      <c r="R355" s="25">
        <f>+'S3'!T355</f>
        <v>0</v>
      </c>
      <c r="U355">
        <f t="shared" si="15"/>
        <v>0</v>
      </c>
      <c r="V355" s="12" t="str">
        <f>+'S3'!X355</f>
        <v/>
      </c>
      <c r="W355" s="34" t="str">
        <f>+'S3'!Y355</f>
        <v/>
      </c>
      <c r="Y355" s="12" t="str">
        <f t="shared" si="17"/>
        <v/>
      </c>
      <c r="Z355" s="27" t="str">
        <f t="shared" si="16"/>
        <v/>
      </c>
      <c r="AA355" s="22">
        <v>0</v>
      </c>
      <c r="AB355" s="26" t="str">
        <f>+'S3'!Z355</f>
        <v/>
      </c>
    </row>
    <row r="356" spans="3:28" x14ac:dyDescent="0.3">
      <c r="C356" t="str">
        <f>+'S3'!AB356</f>
        <v/>
      </c>
      <c r="D356" t="str">
        <f>+IFERROR(VLOOKUP(F356,Sheet2!F:G,2,0),"")</f>
        <v/>
      </c>
      <c r="E356" t="str">
        <f>+IFERROR(VLOOKUP(C356,'S3'!E:F,2,0),"")</f>
        <v/>
      </c>
      <c r="F356" s="30" t="str">
        <f>+IFERROR(VLOOKUP(C356,Sheet2!C:F,4,0),"")</f>
        <v/>
      </c>
      <c r="G356" t="str">
        <f>+IFERROR(VLOOKUP(F356,Sheet2!F:H,3,0),"")</f>
        <v/>
      </c>
      <c r="K356" s="28" t="str">
        <f>+'S3'!AC356</f>
        <v/>
      </c>
      <c r="L356" t="str">
        <f>IF('S3'!J356&lt;&gt;"",'S3'!J356,"")</f>
        <v/>
      </c>
      <c r="M356" t="str">
        <f>IF('S3'!K356&lt;&gt;"",'S3'!K356,"")</f>
        <v/>
      </c>
      <c r="N356">
        <f>+IFERROR(VLOOKUP(L356,Sheet3!A:C,3,0)," ")</f>
        <v>0</v>
      </c>
      <c r="Q356">
        <f>+'S3'!N356</f>
        <v>0</v>
      </c>
      <c r="R356" s="25">
        <f>+'S3'!T356</f>
        <v>0</v>
      </c>
      <c r="U356">
        <f t="shared" si="15"/>
        <v>0</v>
      </c>
      <c r="V356" s="12" t="str">
        <f>+'S3'!X356</f>
        <v/>
      </c>
      <c r="W356" s="34" t="str">
        <f>+'S3'!Y356</f>
        <v/>
      </c>
      <c r="Y356" s="12" t="str">
        <f t="shared" si="17"/>
        <v/>
      </c>
      <c r="Z356" s="27" t="str">
        <f t="shared" si="16"/>
        <v/>
      </c>
      <c r="AA356" s="22">
        <v>0</v>
      </c>
      <c r="AB356" s="26" t="str">
        <f>+'S3'!Z356</f>
        <v/>
      </c>
    </row>
    <row r="357" spans="3:28" x14ac:dyDescent="0.3">
      <c r="C357" t="str">
        <f>+'S3'!AB357</f>
        <v/>
      </c>
      <c r="D357" t="str">
        <f>+IFERROR(VLOOKUP(F357,Sheet2!F:G,2,0),"")</f>
        <v/>
      </c>
      <c r="E357" t="str">
        <f>+IFERROR(VLOOKUP(C357,'S3'!E:F,2,0),"")</f>
        <v/>
      </c>
      <c r="F357" s="30" t="str">
        <f>+IFERROR(VLOOKUP(C357,Sheet2!C:F,4,0),"")</f>
        <v/>
      </c>
      <c r="G357" t="str">
        <f>+IFERROR(VLOOKUP(F357,Sheet2!F:H,3,0),"")</f>
        <v/>
      </c>
      <c r="K357" s="28" t="str">
        <f>+'S3'!AC357</f>
        <v/>
      </c>
      <c r="L357" t="str">
        <f>IF('S3'!J357&lt;&gt;"",'S3'!J357,"")</f>
        <v/>
      </c>
      <c r="M357" t="str">
        <f>IF('S3'!K357&lt;&gt;"",'S3'!K357,"")</f>
        <v/>
      </c>
      <c r="N357">
        <f>+IFERROR(VLOOKUP(L357,Sheet3!A:C,3,0)," ")</f>
        <v>0</v>
      </c>
      <c r="Q357">
        <f>+'S3'!N357</f>
        <v>0</v>
      </c>
      <c r="R357" s="25">
        <f>+'S3'!T357</f>
        <v>0</v>
      </c>
      <c r="U357">
        <f t="shared" si="15"/>
        <v>0</v>
      </c>
      <c r="V357" s="12" t="str">
        <f>+'S3'!X357</f>
        <v/>
      </c>
      <c r="W357" s="34" t="str">
        <f>+'S3'!Y357</f>
        <v/>
      </c>
      <c r="Y357" s="12" t="str">
        <f t="shared" si="17"/>
        <v/>
      </c>
      <c r="Z357" s="27" t="str">
        <f t="shared" si="16"/>
        <v/>
      </c>
      <c r="AA357" s="22">
        <v>0</v>
      </c>
      <c r="AB357" s="26" t="str">
        <f>+'S3'!Z357</f>
        <v/>
      </c>
    </row>
    <row r="358" spans="3:28" x14ac:dyDescent="0.3">
      <c r="C358" t="str">
        <f>+'S3'!AB358</f>
        <v/>
      </c>
      <c r="D358" t="str">
        <f>+IFERROR(VLOOKUP(F358,Sheet2!F:G,2,0),"")</f>
        <v/>
      </c>
      <c r="E358" t="str">
        <f>+IFERROR(VLOOKUP(C358,'S3'!E:F,2,0),"")</f>
        <v/>
      </c>
      <c r="F358" s="30" t="str">
        <f>+IFERROR(VLOOKUP(C358,Sheet2!C:F,4,0),"")</f>
        <v/>
      </c>
      <c r="G358" t="str">
        <f>+IFERROR(VLOOKUP(F358,Sheet2!F:H,3,0),"")</f>
        <v/>
      </c>
      <c r="K358" s="28" t="str">
        <f>+'S3'!AC358</f>
        <v/>
      </c>
      <c r="L358" t="str">
        <f>IF('S3'!J358&lt;&gt;"",'S3'!J358,"")</f>
        <v/>
      </c>
      <c r="M358" t="str">
        <f>IF('S3'!K358&lt;&gt;"",'S3'!K358,"")</f>
        <v/>
      </c>
      <c r="N358">
        <f>+IFERROR(VLOOKUP(L358,Sheet3!A:C,3,0)," ")</f>
        <v>0</v>
      </c>
      <c r="Q358">
        <f>+'S3'!N358</f>
        <v>0</v>
      </c>
      <c r="R358" s="25">
        <f>+'S3'!T358</f>
        <v>0</v>
      </c>
      <c r="U358">
        <f t="shared" si="15"/>
        <v>0</v>
      </c>
      <c r="V358" s="12" t="str">
        <f>+'S3'!X358</f>
        <v/>
      </c>
      <c r="W358" s="34" t="str">
        <f>+'S3'!Y358</f>
        <v/>
      </c>
      <c r="Y358" s="12" t="str">
        <f t="shared" si="17"/>
        <v/>
      </c>
      <c r="Z358" s="27" t="str">
        <f t="shared" si="16"/>
        <v/>
      </c>
      <c r="AA358" s="22">
        <v>0</v>
      </c>
      <c r="AB358" s="26" t="str">
        <f>+'S3'!Z358</f>
        <v/>
      </c>
    </row>
    <row r="359" spans="3:28" x14ac:dyDescent="0.3">
      <c r="C359" t="str">
        <f>+'S3'!AB359</f>
        <v/>
      </c>
      <c r="D359" t="str">
        <f>+IFERROR(VLOOKUP(F359,Sheet2!F:G,2,0),"")</f>
        <v/>
      </c>
      <c r="E359" t="str">
        <f>+IFERROR(VLOOKUP(C359,'S3'!E:F,2,0),"")</f>
        <v/>
      </c>
      <c r="F359" s="30" t="str">
        <f>+IFERROR(VLOOKUP(C359,Sheet2!C:F,4,0),"")</f>
        <v/>
      </c>
      <c r="G359" t="str">
        <f>+IFERROR(VLOOKUP(F359,Sheet2!F:H,3,0),"")</f>
        <v/>
      </c>
      <c r="K359" s="28" t="str">
        <f>+'S3'!AC359</f>
        <v/>
      </c>
      <c r="L359" t="str">
        <f>IF('S3'!J359&lt;&gt;"",'S3'!J359,"")</f>
        <v/>
      </c>
      <c r="M359" t="str">
        <f>IF('S3'!K359&lt;&gt;"",'S3'!K359,"")</f>
        <v/>
      </c>
      <c r="N359">
        <f>+IFERROR(VLOOKUP(L359,Sheet3!A:C,3,0)," ")</f>
        <v>0</v>
      </c>
      <c r="Q359">
        <f>+'S3'!N359</f>
        <v>0</v>
      </c>
      <c r="R359" s="25">
        <f>+'S3'!T359</f>
        <v>0</v>
      </c>
      <c r="U359">
        <f t="shared" si="15"/>
        <v>0</v>
      </c>
      <c r="V359" s="12" t="str">
        <f>+'S3'!X359</f>
        <v/>
      </c>
      <c r="W359" s="34" t="str">
        <f>+'S3'!Y359</f>
        <v/>
      </c>
      <c r="Y359" s="12" t="str">
        <f t="shared" si="17"/>
        <v/>
      </c>
      <c r="Z359" s="27" t="str">
        <f t="shared" si="16"/>
        <v/>
      </c>
      <c r="AA359" s="22">
        <v>0</v>
      </c>
      <c r="AB359" s="26" t="str">
        <f>+'S3'!Z359</f>
        <v/>
      </c>
    </row>
    <row r="360" spans="3:28" x14ac:dyDescent="0.3">
      <c r="C360" t="str">
        <f>+'S3'!AB360</f>
        <v/>
      </c>
      <c r="D360" t="str">
        <f>+IFERROR(VLOOKUP(F360,Sheet2!F:G,2,0),"")</f>
        <v/>
      </c>
      <c r="E360" t="str">
        <f>+IFERROR(VLOOKUP(C360,'S3'!E:F,2,0),"")</f>
        <v/>
      </c>
      <c r="F360" s="30" t="str">
        <f>+IFERROR(VLOOKUP(C360,Sheet2!C:F,4,0),"")</f>
        <v/>
      </c>
      <c r="G360" t="str">
        <f>+IFERROR(VLOOKUP(F360,Sheet2!F:H,3,0),"")</f>
        <v/>
      </c>
      <c r="K360" s="28" t="str">
        <f>+'S3'!AC360</f>
        <v/>
      </c>
      <c r="L360" t="str">
        <f>IF('S3'!J360&lt;&gt;"",'S3'!J360,"")</f>
        <v/>
      </c>
      <c r="M360" t="str">
        <f>IF('S3'!K360&lt;&gt;"",'S3'!K360,"")</f>
        <v/>
      </c>
      <c r="N360">
        <f>+IFERROR(VLOOKUP(L360,Sheet3!A:C,3,0)," ")</f>
        <v>0</v>
      </c>
      <c r="Q360">
        <f>+'S3'!N360</f>
        <v>0</v>
      </c>
      <c r="R360" s="25">
        <f>+'S3'!T360</f>
        <v>0</v>
      </c>
      <c r="U360">
        <f t="shared" si="15"/>
        <v>0</v>
      </c>
      <c r="V360" s="12" t="str">
        <f>+'S3'!X360</f>
        <v/>
      </c>
      <c r="W360" s="34" t="str">
        <f>+'S3'!Y360</f>
        <v/>
      </c>
      <c r="Y360" s="12" t="str">
        <f t="shared" si="17"/>
        <v/>
      </c>
      <c r="Z360" s="27" t="str">
        <f t="shared" si="16"/>
        <v/>
      </c>
      <c r="AA360" s="22">
        <v>0</v>
      </c>
      <c r="AB360" s="26" t="str">
        <f>+'S3'!Z360</f>
        <v/>
      </c>
    </row>
    <row r="361" spans="3:28" x14ac:dyDescent="0.3">
      <c r="C361" t="str">
        <f>+'S3'!AB361</f>
        <v/>
      </c>
      <c r="D361" t="str">
        <f>+IFERROR(VLOOKUP(F361,Sheet2!F:G,2,0),"")</f>
        <v/>
      </c>
      <c r="E361" t="str">
        <f>+IFERROR(VLOOKUP(C361,'S3'!E:F,2,0),"")</f>
        <v/>
      </c>
      <c r="F361" s="30" t="str">
        <f>+IFERROR(VLOOKUP(C361,Sheet2!C:F,4,0),"")</f>
        <v/>
      </c>
      <c r="G361" t="str">
        <f>+IFERROR(VLOOKUP(F361,Sheet2!F:H,3,0),"")</f>
        <v/>
      </c>
      <c r="K361" s="28" t="str">
        <f>+'S3'!AC361</f>
        <v/>
      </c>
      <c r="L361" t="str">
        <f>IF('S3'!J361&lt;&gt;"",'S3'!J361,"")</f>
        <v/>
      </c>
      <c r="M361" t="str">
        <f>IF('S3'!K361&lt;&gt;"",'S3'!K361,"")</f>
        <v/>
      </c>
      <c r="N361">
        <f>+IFERROR(VLOOKUP(L361,Sheet3!A:C,3,0)," ")</f>
        <v>0</v>
      </c>
      <c r="Q361">
        <f>+'S3'!N361</f>
        <v>0</v>
      </c>
      <c r="R361" s="25">
        <f>+'S3'!T361</f>
        <v>0</v>
      </c>
      <c r="U361">
        <f t="shared" si="15"/>
        <v>0</v>
      </c>
      <c r="V361" s="12" t="str">
        <f>+'S3'!X361</f>
        <v/>
      </c>
      <c r="W361" s="34" t="str">
        <f>+'S3'!Y361</f>
        <v/>
      </c>
      <c r="Y361" s="12" t="str">
        <f t="shared" si="17"/>
        <v/>
      </c>
      <c r="Z361" s="27" t="str">
        <f t="shared" si="16"/>
        <v/>
      </c>
      <c r="AA361" s="22">
        <v>0</v>
      </c>
      <c r="AB361" s="26" t="str">
        <f>+'S3'!Z361</f>
        <v/>
      </c>
    </row>
    <row r="362" spans="3:28" x14ac:dyDescent="0.3">
      <c r="C362" t="str">
        <f>+'S3'!AB362</f>
        <v/>
      </c>
      <c r="D362" t="str">
        <f>+IFERROR(VLOOKUP(F362,Sheet2!F:G,2,0),"")</f>
        <v/>
      </c>
      <c r="E362" t="str">
        <f>+IFERROR(VLOOKUP(C362,'S3'!E:F,2,0),"")</f>
        <v/>
      </c>
      <c r="F362" s="30" t="str">
        <f>+IFERROR(VLOOKUP(C362,Sheet2!C:F,4,0),"")</f>
        <v/>
      </c>
      <c r="G362" t="str">
        <f>+IFERROR(VLOOKUP(F362,Sheet2!F:H,3,0),"")</f>
        <v/>
      </c>
      <c r="K362" s="28" t="str">
        <f>+'S3'!AC362</f>
        <v/>
      </c>
      <c r="L362" t="str">
        <f>IF('S3'!J362&lt;&gt;"",'S3'!J362,"")</f>
        <v/>
      </c>
      <c r="M362" t="str">
        <f>IF('S3'!K362&lt;&gt;"",'S3'!K362,"")</f>
        <v/>
      </c>
      <c r="N362">
        <f>+IFERROR(VLOOKUP(L362,Sheet3!A:C,3,0)," ")</f>
        <v>0</v>
      </c>
      <c r="Q362">
        <f>+'S3'!N362</f>
        <v>0</v>
      </c>
      <c r="R362" s="25">
        <f>+'S3'!T362</f>
        <v>0</v>
      </c>
      <c r="U362">
        <f t="shared" si="15"/>
        <v>0</v>
      </c>
      <c r="V362" s="12" t="str">
        <f>+'S3'!X362</f>
        <v/>
      </c>
      <c r="W362" s="34" t="str">
        <f>+'S3'!Y362</f>
        <v/>
      </c>
      <c r="Y362" s="12" t="str">
        <f t="shared" si="17"/>
        <v/>
      </c>
      <c r="Z362" s="27" t="str">
        <f t="shared" si="16"/>
        <v/>
      </c>
      <c r="AA362" s="22">
        <v>0</v>
      </c>
      <c r="AB362" s="26" t="str">
        <f>+'S3'!Z362</f>
        <v/>
      </c>
    </row>
    <row r="363" spans="3:28" x14ac:dyDescent="0.3">
      <c r="C363" t="str">
        <f>+'S3'!AB363</f>
        <v/>
      </c>
      <c r="D363" t="str">
        <f>+IFERROR(VLOOKUP(F363,Sheet2!F:G,2,0),"")</f>
        <v/>
      </c>
      <c r="E363" t="str">
        <f>+IFERROR(VLOOKUP(C363,'S3'!E:F,2,0),"")</f>
        <v/>
      </c>
      <c r="F363" s="30" t="str">
        <f>+IFERROR(VLOOKUP(C363,Sheet2!C:F,4,0),"")</f>
        <v/>
      </c>
      <c r="G363" t="str">
        <f>+IFERROR(VLOOKUP(F363,Sheet2!F:H,3,0),"")</f>
        <v/>
      </c>
      <c r="K363" s="28" t="str">
        <f>+'S3'!AC363</f>
        <v/>
      </c>
      <c r="L363" t="str">
        <f>IF('S3'!J363&lt;&gt;"",'S3'!J363,"")</f>
        <v/>
      </c>
      <c r="M363" t="str">
        <f>IF('S3'!K363&lt;&gt;"",'S3'!K363,"")</f>
        <v/>
      </c>
      <c r="N363">
        <f>+IFERROR(VLOOKUP(L363,Sheet3!A:C,3,0)," ")</f>
        <v>0</v>
      </c>
      <c r="Q363">
        <f>+'S3'!N363</f>
        <v>0</v>
      </c>
      <c r="R363" s="25">
        <f>+'S3'!T363</f>
        <v>0</v>
      </c>
      <c r="U363">
        <f t="shared" si="15"/>
        <v>0</v>
      </c>
      <c r="V363" s="12" t="str">
        <f>+'S3'!X363</f>
        <v/>
      </c>
      <c r="W363" s="34" t="str">
        <f>+'S3'!Y363</f>
        <v/>
      </c>
      <c r="Y363" s="12" t="str">
        <f t="shared" si="17"/>
        <v/>
      </c>
      <c r="Z363" s="27" t="str">
        <f t="shared" si="16"/>
        <v/>
      </c>
      <c r="AA363" s="22">
        <v>0</v>
      </c>
      <c r="AB363" s="26" t="str">
        <f>+'S3'!Z363</f>
        <v/>
      </c>
    </row>
    <row r="364" spans="3:28" x14ac:dyDescent="0.3">
      <c r="C364" t="str">
        <f>+'S3'!AB364</f>
        <v/>
      </c>
      <c r="D364" t="str">
        <f>+IFERROR(VLOOKUP(F364,Sheet2!F:G,2,0),"")</f>
        <v/>
      </c>
      <c r="E364" t="str">
        <f>+IFERROR(VLOOKUP(C364,'S3'!E:F,2,0),"")</f>
        <v/>
      </c>
      <c r="F364" s="30" t="str">
        <f>+IFERROR(VLOOKUP(C364,Sheet2!C:F,4,0),"")</f>
        <v/>
      </c>
      <c r="G364" t="str">
        <f>+IFERROR(VLOOKUP(F364,Sheet2!F:H,3,0),"")</f>
        <v/>
      </c>
      <c r="K364" s="28" t="str">
        <f>+'S3'!AC364</f>
        <v/>
      </c>
      <c r="L364" t="str">
        <f>IF('S3'!J364&lt;&gt;"",'S3'!J364,"")</f>
        <v/>
      </c>
      <c r="M364" t="str">
        <f>IF('S3'!K364&lt;&gt;"",'S3'!K364,"")</f>
        <v/>
      </c>
      <c r="N364">
        <f>+IFERROR(VLOOKUP(L364,Sheet3!A:C,3,0)," ")</f>
        <v>0</v>
      </c>
      <c r="Q364">
        <f>+'S3'!N364</f>
        <v>0</v>
      </c>
      <c r="R364" s="25">
        <f>+'S3'!T364</f>
        <v>0</v>
      </c>
      <c r="U364">
        <f t="shared" si="15"/>
        <v>0</v>
      </c>
      <c r="V364" s="12" t="str">
        <f>+'S3'!X364</f>
        <v/>
      </c>
      <c r="W364" s="34" t="str">
        <f>+'S3'!Y364</f>
        <v/>
      </c>
      <c r="Y364" s="12" t="str">
        <f t="shared" si="17"/>
        <v/>
      </c>
      <c r="Z364" s="27" t="str">
        <f t="shared" si="16"/>
        <v/>
      </c>
      <c r="AA364" s="22">
        <v>0</v>
      </c>
      <c r="AB364" s="26" t="str">
        <f>+'S3'!Z364</f>
        <v/>
      </c>
    </row>
    <row r="365" spans="3:28" x14ac:dyDescent="0.3">
      <c r="C365" t="str">
        <f>+'S3'!AB365</f>
        <v/>
      </c>
      <c r="D365" t="str">
        <f>+IFERROR(VLOOKUP(F365,Sheet2!F:G,2,0),"")</f>
        <v/>
      </c>
      <c r="E365" t="str">
        <f>+IFERROR(VLOOKUP(C365,'S3'!E:F,2,0),"")</f>
        <v/>
      </c>
      <c r="F365" s="30" t="str">
        <f>+IFERROR(VLOOKUP(C365,Sheet2!C:F,4,0),"")</f>
        <v/>
      </c>
      <c r="G365" t="str">
        <f>+IFERROR(VLOOKUP(F365,Sheet2!F:H,3,0),"")</f>
        <v/>
      </c>
      <c r="K365" s="28" t="str">
        <f>+'S3'!AC365</f>
        <v/>
      </c>
      <c r="L365" t="str">
        <f>IF('S3'!J365&lt;&gt;"",'S3'!J365,"")</f>
        <v/>
      </c>
      <c r="M365" t="str">
        <f>IF('S3'!K365&lt;&gt;"",'S3'!K365,"")</f>
        <v/>
      </c>
      <c r="N365">
        <f>+IFERROR(VLOOKUP(L365,Sheet3!A:C,3,0)," ")</f>
        <v>0</v>
      </c>
      <c r="Q365">
        <f>+'S3'!N365</f>
        <v>0</v>
      </c>
      <c r="R365" s="25">
        <f>+'S3'!T365</f>
        <v>0</v>
      </c>
      <c r="U365">
        <f t="shared" si="15"/>
        <v>0</v>
      </c>
      <c r="V365" s="12" t="str">
        <f>+'S3'!X365</f>
        <v/>
      </c>
      <c r="W365" s="34" t="str">
        <f>+'S3'!Y365</f>
        <v/>
      </c>
      <c r="Y365" s="12" t="str">
        <f t="shared" si="17"/>
        <v/>
      </c>
      <c r="Z365" s="27" t="str">
        <f t="shared" si="16"/>
        <v/>
      </c>
      <c r="AA365" s="22">
        <v>0</v>
      </c>
      <c r="AB365" s="26" t="str">
        <f>+'S3'!Z365</f>
        <v/>
      </c>
    </row>
    <row r="366" spans="3:28" x14ac:dyDescent="0.3">
      <c r="C366" t="str">
        <f>+'S3'!AB366</f>
        <v/>
      </c>
      <c r="D366" t="str">
        <f>+IFERROR(VLOOKUP(F366,Sheet2!F:G,2,0),"")</f>
        <v/>
      </c>
      <c r="E366" t="str">
        <f>+IFERROR(VLOOKUP(C366,'S3'!E:F,2,0),"")</f>
        <v/>
      </c>
      <c r="F366" s="30" t="str">
        <f>+IFERROR(VLOOKUP(C366,Sheet2!C:F,4,0),"")</f>
        <v/>
      </c>
      <c r="G366" t="str">
        <f>+IFERROR(VLOOKUP(F366,Sheet2!F:H,3,0),"")</f>
        <v/>
      </c>
      <c r="K366" s="28" t="str">
        <f>+'S3'!AC366</f>
        <v/>
      </c>
      <c r="L366" t="str">
        <f>IF('S3'!J366&lt;&gt;"",'S3'!J366,"")</f>
        <v/>
      </c>
      <c r="M366" t="str">
        <f>IF('S3'!K366&lt;&gt;"",'S3'!K366,"")</f>
        <v/>
      </c>
      <c r="N366">
        <f>+IFERROR(VLOOKUP(L366,Sheet3!A:C,3,0)," ")</f>
        <v>0</v>
      </c>
      <c r="Q366">
        <f>+'S3'!N366</f>
        <v>0</v>
      </c>
      <c r="R366" s="25">
        <f>+'S3'!T366</f>
        <v>0</v>
      </c>
      <c r="U366">
        <f t="shared" si="15"/>
        <v>0</v>
      </c>
      <c r="V366" s="12" t="str">
        <f>+'S3'!X366</f>
        <v/>
      </c>
      <c r="W366" s="34" t="str">
        <f>+'S3'!Y366</f>
        <v/>
      </c>
      <c r="Y366" s="12" t="str">
        <f t="shared" si="17"/>
        <v/>
      </c>
      <c r="Z366" s="27" t="str">
        <f t="shared" si="16"/>
        <v/>
      </c>
      <c r="AA366" s="22">
        <v>0</v>
      </c>
      <c r="AB366" s="26" t="str">
        <f>+'S3'!Z366</f>
        <v/>
      </c>
    </row>
    <row r="367" spans="3:28" x14ac:dyDescent="0.3">
      <c r="C367" t="str">
        <f>+'S3'!AB367</f>
        <v/>
      </c>
      <c r="D367" t="str">
        <f>+IFERROR(VLOOKUP(F367,Sheet2!F:G,2,0),"")</f>
        <v/>
      </c>
      <c r="E367" t="str">
        <f>+IFERROR(VLOOKUP(C367,'S3'!E:F,2,0),"")</f>
        <v/>
      </c>
      <c r="F367" s="30" t="str">
        <f>+IFERROR(VLOOKUP(C367,Sheet2!C:F,4,0),"")</f>
        <v/>
      </c>
      <c r="G367" t="str">
        <f>+IFERROR(VLOOKUP(F367,Sheet2!F:H,3,0),"")</f>
        <v/>
      </c>
      <c r="K367" s="28" t="str">
        <f>+'S3'!AC367</f>
        <v/>
      </c>
      <c r="L367" t="str">
        <f>IF('S3'!J367&lt;&gt;"",'S3'!J367,"")</f>
        <v/>
      </c>
      <c r="M367" t="str">
        <f>IF('S3'!K367&lt;&gt;"",'S3'!K367,"")</f>
        <v/>
      </c>
      <c r="N367">
        <f>+IFERROR(VLOOKUP(L367,Sheet3!A:C,3,0)," ")</f>
        <v>0</v>
      </c>
      <c r="Q367">
        <f>+'S3'!N367</f>
        <v>0</v>
      </c>
      <c r="R367" s="25">
        <f>+'S3'!T367</f>
        <v>0</v>
      </c>
      <c r="U367">
        <f t="shared" si="15"/>
        <v>0</v>
      </c>
      <c r="V367" s="12" t="str">
        <f>+'S3'!X367</f>
        <v/>
      </c>
      <c r="W367" s="34" t="str">
        <f>+'S3'!Y367</f>
        <v/>
      </c>
      <c r="Y367" s="12" t="str">
        <f t="shared" si="17"/>
        <v/>
      </c>
      <c r="Z367" s="27" t="str">
        <f t="shared" si="16"/>
        <v/>
      </c>
      <c r="AA367" s="22">
        <v>0</v>
      </c>
      <c r="AB367" s="26" t="str">
        <f>+'S3'!Z367</f>
        <v/>
      </c>
    </row>
    <row r="368" spans="3:28" x14ac:dyDescent="0.3">
      <c r="C368" t="str">
        <f>+'S3'!AB368</f>
        <v/>
      </c>
      <c r="D368" t="str">
        <f>+IFERROR(VLOOKUP(F368,Sheet2!F:G,2,0),"")</f>
        <v/>
      </c>
      <c r="E368" t="str">
        <f>+IFERROR(VLOOKUP(C368,'S3'!E:F,2,0),"")</f>
        <v/>
      </c>
      <c r="F368" s="30" t="str">
        <f>+IFERROR(VLOOKUP(C368,Sheet2!C:F,4,0),"")</f>
        <v/>
      </c>
      <c r="G368" t="str">
        <f>+IFERROR(VLOOKUP(F368,Sheet2!F:H,3,0),"")</f>
        <v/>
      </c>
      <c r="K368" s="28" t="str">
        <f>+'S3'!AC368</f>
        <v/>
      </c>
      <c r="L368" t="str">
        <f>IF('S3'!J368&lt;&gt;"",'S3'!J368,"")</f>
        <v/>
      </c>
      <c r="M368" t="str">
        <f>IF('S3'!K368&lt;&gt;"",'S3'!K368,"")</f>
        <v/>
      </c>
      <c r="N368">
        <f>+IFERROR(VLOOKUP(L368,Sheet3!A:C,3,0)," ")</f>
        <v>0</v>
      </c>
      <c r="Q368">
        <f>+'S3'!N368</f>
        <v>0</v>
      </c>
      <c r="R368" s="25">
        <f>+'S3'!T368</f>
        <v>0</v>
      </c>
      <c r="U368">
        <f t="shared" si="15"/>
        <v>0</v>
      </c>
      <c r="V368" s="12" t="str">
        <f>+'S3'!X368</f>
        <v/>
      </c>
      <c r="W368" s="34" t="str">
        <f>+'S3'!Y368</f>
        <v/>
      </c>
      <c r="Y368" s="12" t="str">
        <f t="shared" si="17"/>
        <v/>
      </c>
      <c r="Z368" s="27" t="str">
        <f t="shared" si="16"/>
        <v/>
      </c>
      <c r="AA368" s="22">
        <v>0</v>
      </c>
      <c r="AB368" s="26" t="str">
        <f>+'S3'!Z368</f>
        <v/>
      </c>
    </row>
    <row r="369" spans="3:28" x14ac:dyDescent="0.3">
      <c r="C369" t="str">
        <f>+'S3'!AB369</f>
        <v/>
      </c>
      <c r="D369" t="str">
        <f>+IFERROR(VLOOKUP(F369,Sheet2!F:G,2,0),"")</f>
        <v/>
      </c>
      <c r="E369" t="str">
        <f>+IFERROR(VLOOKUP(C369,'S3'!E:F,2,0),"")</f>
        <v/>
      </c>
      <c r="F369" s="30" t="str">
        <f>+IFERROR(VLOOKUP(C369,Sheet2!C:F,4,0),"")</f>
        <v/>
      </c>
      <c r="G369" t="str">
        <f>+IFERROR(VLOOKUP(F369,Sheet2!F:H,3,0),"")</f>
        <v/>
      </c>
      <c r="K369" s="28" t="str">
        <f>+'S3'!AC369</f>
        <v/>
      </c>
      <c r="L369" t="str">
        <f>IF('S3'!J369&lt;&gt;"",'S3'!J369,"")</f>
        <v/>
      </c>
      <c r="M369" t="str">
        <f>IF('S3'!K369&lt;&gt;"",'S3'!K369,"")</f>
        <v/>
      </c>
      <c r="N369">
        <f>+IFERROR(VLOOKUP(L369,Sheet3!A:C,3,0)," ")</f>
        <v>0</v>
      </c>
      <c r="Q369">
        <f>+'S3'!N369</f>
        <v>0</v>
      </c>
      <c r="R369" s="25">
        <f>+'S3'!T369</f>
        <v>0</v>
      </c>
      <c r="U369">
        <f t="shared" si="15"/>
        <v>0</v>
      </c>
      <c r="V369" s="12" t="str">
        <f>+'S3'!X369</f>
        <v/>
      </c>
      <c r="W369" s="34" t="str">
        <f>+'S3'!Y369</f>
        <v/>
      </c>
      <c r="Y369" s="12" t="str">
        <f t="shared" si="17"/>
        <v/>
      </c>
      <c r="Z369" s="27" t="str">
        <f t="shared" si="16"/>
        <v/>
      </c>
      <c r="AA369" s="22">
        <v>0</v>
      </c>
      <c r="AB369" s="26" t="str">
        <f>+'S3'!Z369</f>
        <v/>
      </c>
    </row>
    <row r="370" spans="3:28" x14ac:dyDescent="0.3">
      <c r="C370" t="str">
        <f>+'S3'!AB370</f>
        <v/>
      </c>
      <c r="D370" t="str">
        <f>+IFERROR(VLOOKUP(F370,Sheet2!F:G,2,0),"")</f>
        <v/>
      </c>
      <c r="E370" t="str">
        <f>+IFERROR(VLOOKUP(C370,'S3'!E:F,2,0),"")</f>
        <v/>
      </c>
      <c r="F370" s="30" t="str">
        <f>+IFERROR(VLOOKUP(C370,Sheet2!C:F,4,0),"")</f>
        <v/>
      </c>
      <c r="G370" t="str">
        <f>+IFERROR(VLOOKUP(F370,Sheet2!F:H,3,0),"")</f>
        <v/>
      </c>
      <c r="K370" s="28" t="str">
        <f>+'S3'!AC370</f>
        <v/>
      </c>
      <c r="L370" t="str">
        <f>IF('S3'!J370&lt;&gt;"",'S3'!J370,"")</f>
        <v/>
      </c>
      <c r="M370" t="str">
        <f>IF('S3'!K370&lt;&gt;"",'S3'!K370,"")</f>
        <v/>
      </c>
      <c r="N370">
        <f>+IFERROR(VLOOKUP(L370,Sheet3!A:C,3,0)," ")</f>
        <v>0</v>
      </c>
      <c r="Q370">
        <f>+'S3'!N370</f>
        <v>0</v>
      </c>
      <c r="R370" s="25">
        <f>+'S3'!T370</f>
        <v>0</v>
      </c>
      <c r="U370">
        <f t="shared" si="15"/>
        <v>0</v>
      </c>
      <c r="V370" s="12" t="str">
        <f>+'S3'!X370</f>
        <v/>
      </c>
      <c r="W370" s="34" t="str">
        <f>+'S3'!Y370</f>
        <v/>
      </c>
      <c r="Y370" s="12" t="str">
        <f t="shared" si="17"/>
        <v/>
      </c>
      <c r="Z370" s="27" t="str">
        <f t="shared" si="16"/>
        <v/>
      </c>
      <c r="AA370" s="22">
        <v>0</v>
      </c>
      <c r="AB370" s="26" t="str">
        <f>+'S3'!Z370</f>
        <v/>
      </c>
    </row>
    <row r="371" spans="3:28" x14ac:dyDescent="0.3">
      <c r="C371" t="str">
        <f>+'S3'!AB371</f>
        <v/>
      </c>
      <c r="D371" t="str">
        <f>+IFERROR(VLOOKUP(F371,Sheet2!F:G,2,0),"")</f>
        <v/>
      </c>
      <c r="E371" t="str">
        <f>+IFERROR(VLOOKUP(C371,'S3'!E:F,2,0),"")</f>
        <v/>
      </c>
      <c r="F371" s="30" t="str">
        <f>+IFERROR(VLOOKUP(C371,Sheet2!C:F,4,0),"")</f>
        <v/>
      </c>
      <c r="G371" t="str">
        <f>+IFERROR(VLOOKUP(F371,Sheet2!F:H,3,0),"")</f>
        <v/>
      </c>
      <c r="K371" s="28" t="str">
        <f>+'S3'!AC371</f>
        <v/>
      </c>
      <c r="L371" t="str">
        <f>IF('S3'!J371&lt;&gt;"",'S3'!J371,"")</f>
        <v/>
      </c>
      <c r="M371" t="str">
        <f>IF('S3'!K371&lt;&gt;"",'S3'!K371,"")</f>
        <v/>
      </c>
      <c r="N371">
        <f>+IFERROR(VLOOKUP(L371,Sheet3!A:C,3,0)," ")</f>
        <v>0</v>
      </c>
      <c r="Q371">
        <f>+'S3'!N371</f>
        <v>0</v>
      </c>
      <c r="R371" s="25">
        <f>+'S3'!T371</f>
        <v>0</v>
      </c>
      <c r="U371">
        <f t="shared" si="15"/>
        <v>0</v>
      </c>
      <c r="V371" s="12" t="str">
        <f>+'S3'!X371</f>
        <v/>
      </c>
      <c r="W371" s="34" t="str">
        <f>+'S3'!Y371</f>
        <v/>
      </c>
      <c r="Y371" s="12" t="str">
        <f t="shared" si="17"/>
        <v/>
      </c>
      <c r="Z371" s="27" t="str">
        <f t="shared" si="16"/>
        <v/>
      </c>
      <c r="AA371" s="22">
        <v>0</v>
      </c>
      <c r="AB371" s="26" t="str">
        <f>+'S3'!Z371</f>
        <v/>
      </c>
    </row>
    <row r="372" spans="3:28" x14ac:dyDescent="0.3">
      <c r="C372" t="str">
        <f>+'S3'!AB372</f>
        <v/>
      </c>
      <c r="D372" t="str">
        <f>+IFERROR(VLOOKUP(F372,Sheet2!F:G,2,0),"")</f>
        <v/>
      </c>
      <c r="E372" t="str">
        <f>+IFERROR(VLOOKUP(C372,'S3'!E:F,2,0),"")</f>
        <v/>
      </c>
      <c r="F372" s="30" t="str">
        <f>+IFERROR(VLOOKUP(C372,Sheet2!C:F,4,0),"")</f>
        <v/>
      </c>
      <c r="G372" t="str">
        <f>+IFERROR(VLOOKUP(F372,Sheet2!F:H,3,0),"")</f>
        <v/>
      </c>
      <c r="K372" s="28" t="str">
        <f>+'S3'!AC372</f>
        <v/>
      </c>
      <c r="L372" t="str">
        <f>IF('S3'!J372&lt;&gt;"",'S3'!J372,"")</f>
        <v/>
      </c>
      <c r="M372" t="str">
        <f>IF('S3'!K372&lt;&gt;"",'S3'!K372,"")</f>
        <v/>
      </c>
      <c r="N372">
        <f>+IFERROR(VLOOKUP(L372,Sheet3!A:C,3,0)," ")</f>
        <v>0</v>
      </c>
      <c r="Q372">
        <f>+'S3'!N372</f>
        <v>0</v>
      </c>
      <c r="R372" s="25">
        <f>+'S3'!T372</f>
        <v>0</v>
      </c>
      <c r="U372">
        <f t="shared" ref="U372:U388" si="18">+R372*Q372</f>
        <v>0</v>
      </c>
      <c r="V372" s="12" t="str">
        <f>+'S3'!X372</f>
        <v/>
      </c>
      <c r="W372" s="34" t="str">
        <f>+'S3'!Y372</f>
        <v/>
      </c>
      <c r="Y372" s="12" t="str">
        <f t="shared" si="17"/>
        <v/>
      </c>
      <c r="Z372" s="27" t="str">
        <f t="shared" ref="Z372:Z389" si="19">IFERROR(ROUND(V372+Y372,0),"")</f>
        <v/>
      </c>
      <c r="AA372" s="22">
        <v>0</v>
      </c>
      <c r="AB372" s="26" t="str">
        <f>+'S3'!Z372</f>
        <v/>
      </c>
    </row>
    <row r="373" spans="3:28" x14ac:dyDescent="0.3">
      <c r="C373" t="str">
        <f>+'S3'!AB373</f>
        <v/>
      </c>
      <c r="D373" t="str">
        <f>+IFERROR(VLOOKUP(F373,Sheet2!F:G,2,0),"")</f>
        <v/>
      </c>
      <c r="E373" t="str">
        <f>+IFERROR(VLOOKUP(C373,'S3'!E:F,2,0),"")</f>
        <v/>
      </c>
      <c r="F373" s="30" t="str">
        <f>+IFERROR(VLOOKUP(C373,Sheet2!C:F,4,0),"")</f>
        <v/>
      </c>
      <c r="G373" t="str">
        <f>+IFERROR(VLOOKUP(F373,Sheet2!F:H,3,0),"")</f>
        <v/>
      </c>
      <c r="K373" s="28" t="str">
        <f>+'S3'!AC373</f>
        <v/>
      </c>
      <c r="L373" t="str">
        <f>IF('S3'!J373&lt;&gt;"",'S3'!J373,"")</f>
        <v/>
      </c>
      <c r="M373" t="str">
        <f>IF('S3'!K373&lt;&gt;"",'S3'!K373,"")</f>
        <v/>
      </c>
      <c r="N373">
        <f>+IFERROR(VLOOKUP(L373,Sheet3!A:C,3,0)," ")</f>
        <v>0</v>
      </c>
      <c r="Q373">
        <f>+'S3'!N373</f>
        <v>0</v>
      </c>
      <c r="R373" s="25">
        <f>+'S3'!T373</f>
        <v>0</v>
      </c>
      <c r="U373">
        <f t="shared" si="18"/>
        <v>0</v>
      </c>
      <c r="V373" s="12" t="str">
        <f>+'S3'!X373</f>
        <v/>
      </c>
      <c r="W373" s="34" t="str">
        <f>+'S3'!Y373</f>
        <v/>
      </c>
      <c r="Y373" s="12" t="str">
        <f t="shared" si="17"/>
        <v/>
      </c>
      <c r="Z373" s="27" t="str">
        <f t="shared" si="19"/>
        <v/>
      </c>
      <c r="AA373" s="22">
        <v>0</v>
      </c>
      <c r="AB373" s="26" t="str">
        <f>+'S3'!Z373</f>
        <v/>
      </c>
    </row>
    <row r="374" spans="3:28" x14ac:dyDescent="0.3">
      <c r="C374" t="str">
        <f>+'S3'!AB374</f>
        <v/>
      </c>
      <c r="D374" t="str">
        <f>+IFERROR(VLOOKUP(F374,Sheet2!F:G,2,0),"")</f>
        <v/>
      </c>
      <c r="E374" t="str">
        <f>+IFERROR(VLOOKUP(C374,'S3'!E:F,2,0),"")</f>
        <v/>
      </c>
      <c r="F374" s="30" t="str">
        <f>+IFERROR(VLOOKUP(C374,Sheet2!C:F,4,0),"")</f>
        <v/>
      </c>
      <c r="G374" t="str">
        <f>+IFERROR(VLOOKUP(F374,Sheet2!F:H,3,0),"")</f>
        <v/>
      </c>
      <c r="K374" s="28" t="str">
        <f>+'S3'!AC374</f>
        <v/>
      </c>
      <c r="L374" t="str">
        <f>IF('S3'!J374&lt;&gt;"",'S3'!J374,"")</f>
        <v/>
      </c>
      <c r="M374" t="str">
        <f>IF('S3'!K374&lt;&gt;"",'S3'!K374,"")</f>
        <v/>
      </c>
      <c r="N374">
        <f>+IFERROR(VLOOKUP(L374,Sheet3!A:C,3,0)," ")</f>
        <v>0</v>
      </c>
      <c r="Q374">
        <f>+'S3'!N374</f>
        <v>0</v>
      </c>
      <c r="R374" s="25">
        <f>+'S3'!T374</f>
        <v>0</v>
      </c>
      <c r="U374">
        <f t="shared" si="18"/>
        <v>0</v>
      </c>
      <c r="V374" s="12" t="str">
        <f>+'S3'!X374</f>
        <v/>
      </c>
      <c r="W374" s="34" t="str">
        <f>+'S3'!Y374</f>
        <v/>
      </c>
      <c r="Y374" s="12" t="str">
        <f t="shared" si="17"/>
        <v/>
      </c>
      <c r="Z374" s="27" t="str">
        <f t="shared" si="19"/>
        <v/>
      </c>
      <c r="AA374" s="22">
        <v>0</v>
      </c>
      <c r="AB374" s="26" t="str">
        <f>+'S3'!Z374</f>
        <v/>
      </c>
    </row>
    <row r="375" spans="3:28" x14ac:dyDescent="0.3">
      <c r="C375" t="str">
        <f>+'S3'!AB375</f>
        <v/>
      </c>
      <c r="D375" t="str">
        <f>+IFERROR(VLOOKUP(F375,Sheet2!F:G,2,0),"")</f>
        <v/>
      </c>
      <c r="E375" t="str">
        <f>+IFERROR(VLOOKUP(C375,'S3'!E:F,2,0),"")</f>
        <v/>
      </c>
      <c r="F375" s="30" t="str">
        <f>+IFERROR(VLOOKUP(C375,Sheet2!C:F,4,0),"")</f>
        <v/>
      </c>
      <c r="G375" t="str">
        <f>+IFERROR(VLOOKUP(F375,Sheet2!F:H,3,0),"")</f>
        <v/>
      </c>
      <c r="K375" s="28" t="str">
        <f>+'S3'!AC375</f>
        <v/>
      </c>
      <c r="L375" t="str">
        <f>IF('S3'!J375&lt;&gt;"",'S3'!J375,"")</f>
        <v/>
      </c>
      <c r="M375" t="str">
        <f>IF('S3'!K375&lt;&gt;"",'S3'!K375,"")</f>
        <v/>
      </c>
      <c r="N375">
        <f>+IFERROR(VLOOKUP(L375,Sheet3!A:C,3,0)," ")</f>
        <v>0</v>
      </c>
      <c r="Q375">
        <f>+'S3'!N375</f>
        <v>0</v>
      </c>
      <c r="R375" s="25">
        <f>+'S3'!T375</f>
        <v>0</v>
      </c>
      <c r="U375">
        <f t="shared" si="18"/>
        <v>0</v>
      </c>
      <c r="V375" s="12" t="str">
        <f>+'S3'!X375</f>
        <v/>
      </c>
      <c r="W375" s="34" t="str">
        <f>+'S3'!Y375</f>
        <v/>
      </c>
      <c r="Y375" s="12" t="str">
        <f t="shared" si="17"/>
        <v/>
      </c>
      <c r="Z375" s="27" t="str">
        <f t="shared" si="19"/>
        <v/>
      </c>
      <c r="AA375" s="22">
        <v>0</v>
      </c>
      <c r="AB375" s="26" t="str">
        <f>+'S3'!Z375</f>
        <v/>
      </c>
    </row>
    <row r="376" spans="3:28" x14ac:dyDescent="0.3">
      <c r="C376" t="str">
        <f>+'S3'!AB376</f>
        <v/>
      </c>
      <c r="D376" t="str">
        <f>+IFERROR(VLOOKUP(F376,Sheet2!F:G,2,0),"")</f>
        <v/>
      </c>
      <c r="E376" t="str">
        <f>+IFERROR(VLOOKUP(C376,'S3'!E:F,2,0),"")</f>
        <v/>
      </c>
      <c r="F376" s="30" t="str">
        <f>+IFERROR(VLOOKUP(C376,Sheet2!C:F,4,0),"")</f>
        <v/>
      </c>
      <c r="G376" t="str">
        <f>+IFERROR(VLOOKUP(F376,Sheet2!F:H,3,0),"")</f>
        <v/>
      </c>
      <c r="K376" s="28" t="str">
        <f>+'S3'!AC376</f>
        <v/>
      </c>
      <c r="L376" t="str">
        <f>IF('S3'!J376&lt;&gt;"",'S3'!J376,"")</f>
        <v/>
      </c>
      <c r="M376" t="str">
        <f>IF('S3'!K376&lt;&gt;"",'S3'!K376,"")</f>
        <v/>
      </c>
      <c r="N376">
        <f>+IFERROR(VLOOKUP(L376,Sheet3!A:C,3,0)," ")</f>
        <v>0</v>
      </c>
      <c r="Q376">
        <f>+'S3'!N376</f>
        <v>0</v>
      </c>
      <c r="R376" s="25">
        <f>+'S3'!T376</f>
        <v>0</v>
      </c>
      <c r="U376">
        <f t="shared" si="18"/>
        <v>0</v>
      </c>
      <c r="V376" s="12" t="str">
        <f>+'S3'!X376</f>
        <v/>
      </c>
      <c r="W376" s="34" t="str">
        <f>+'S3'!Y376</f>
        <v/>
      </c>
      <c r="Y376" s="12" t="str">
        <f t="shared" si="17"/>
        <v/>
      </c>
      <c r="Z376" s="27" t="str">
        <f t="shared" si="19"/>
        <v/>
      </c>
      <c r="AA376" s="22">
        <v>0</v>
      </c>
      <c r="AB376" s="26" t="str">
        <f>+'S3'!Z376</f>
        <v/>
      </c>
    </row>
    <row r="377" spans="3:28" x14ac:dyDescent="0.3">
      <c r="C377" t="str">
        <f>+'S3'!AB377</f>
        <v/>
      </c>
      <c r="D377" t="str">
        <f>+IFERROR(VLOOKUP(F377,Sheet2!F:G,2,0),"")</f>
        <v/>
      </c>
      <c r="E377" t="str">
        <f>+IFERROR(VLOOKUP(C377,'S3'!E:F,2,0),"")</f>
        <v/>
      </c>
      <c r="F377" s="30" t="str">
        <f>+IFERROR(VLOOKUP(C377,Sheet2!C:F,4,0),"")</f>
        <v/>
      </c>
      <c r="G377" t="str">
        <f>+IFERROR(VLOOKUP(F377,Sheet2!F:H,3,0),"")</f>
        <v/>
      </c>
      <c r="K377" s="28" t="str">
        <f>+'S3'!AC377</f>
        <v/>
      </c>
      <c r="L377" t="str">
        <f>IF('S3'!J377&lt;&gt;"",'S3'!J377,"")</f>
        <v/>
      </c>
      <c r="M377" t="str">
        <f>IF('S3'!K377&lt;&gt;"",'S3'!K377,"")</f>
        <v/>
      </c>
      <c r="N377">
        <f>+IFERROR(VLOOKUP(L377,Sheet3!A:C,3,0)," ")</f>
        <v>0</v>
      </c>
      <c r="Q377">
        <f>+'S3'!N377</f>
        <v>0</v>
      </c>
      <c r="R377" s="25">
        <f>+'S3'!T377</f>
        <v>0</v>
      </c>
      <c r="U377">
        <f t="shared" si="18"/>
        <v>0</v>
      </c>
      <c r="V377" s="12" t="str">
        <f>+'S3'!X377</f>
        <v/>
      </c>
      <c r="W377" s="34" t="str">
        <f>+'S3'!Y377</f>
        <v/>
      </c>
      <c r="Y377" s="12" t="str">
        <f t="shared" si="17"/>
        <v/>
      </c>
      <c r="Z377" s="27" t="str">
        <f t="shared" si="19"/>
        <v/>
      </c>
      <c r="AA377" s="22">
        <v>0</v>
      </c>
      <c r="AB377" s="26" t="str">
        <f>+'S3'!Z377</f>
        <v/>
      </c>
    </row>
    <row r="378" spans="3:28" x14ac:dyDescent="0.3">
      <c r="C378" t="str">
        <f>+'S3'!AB378</f>
        <v/>
      </c>
      <c r="D378" t="str">
        <f>+IFERROR(VLOOKUP(F378,Sheet2!F:G,2,0),"")</f>
        <v/>
      </c>
      <c r="E378" t="str">
        <f>+IFERROR(VLOOKUP(C378,'S3'!E:F,2,0),"")</f>
        <v/>
      </c>
      <c r="F378" s="30" t="str">
        <f>+IFERROR(VLOOKUP(C378,Sheet2!C:F,4,0),"")</f>
        <v/>
      </c>
      <c r="G378" t="str">
        <f>+IFERROR(VLOOKUP(F378,Sheet2!F:H,3,0),"")</f>
        <v/>
      </c>
      <c r="K378" s="28" t="str">
        <f>+'S3'!AC378</f>
        <v/>
      </c>
      <c r="L378" t="str">
        <f>IF('S3'!J378&lt;&gt;"",'S3'!J378,"")</f>
        <v/>
      </c>
      <c r="M378" t="str">
        <f>IF('S3'!K378&lt;&gt;"",'S3'!K378,"")</f>
        <v/>
      </c>
      <c r="N378">
        <f>+IFERROR(VLOOKUP(L378,Sheet3!A:C,3,0)," ")</f>
        <v>0</v>
      </c>
      <c r="Q378">
        <f>+'S3'!N378</f>
        <v>0</v>
      </c>
      <c r="R378" s="25">
        <f>+'S3'!T378</f>
        <v>0</v>
      </c>
      <c r="U378">
        <f t="shared" si="18"/>
        <v>0</v>
      </c>
      <c r="V378" s="12" t="str">
        <f>+'S3'!X378</f>
        <v/>
      </c>
      <c r="W378" s="34" t="str">
        <f>+'S3'!Y378</f>
        <v/>
      </c>
      <c r="Y378" s="12" t="str">
        <f t="shared" si="17"/>
        <v/>
      </c>
      <c r="Z378" s="27" t="str">
        <f t="shared" si="19"/>
        <v/>
      </c>
      <c r="AA378" s="22">
        <v>0</v>
      </c>
      <c r="AB378" s="26" t="str">
        <f>+'S3'!Z378</f>
        <v/>
      </c>
    </row>
    <row r="379" spans="3:28" x14ac:dyDescent="0.3">
      <c r="C379" t="str">
        <f>+'S3'!AB379</f>
        <v/>
      </c>
      <c r="D379" t="str">
        <f>+IFERROR(VLOOKUP(F379,Sheet2!F:G,2,0),"")</f>
        <v/>
      </c>
      <c r="E379" t="str">
        <f>+IFERROR(VLOOKUP(C379,'S3'!E:F,2,0),"")</f>
        <v/>
      </c>
      <c r="F379" s="30" t="str">
        <f>+IFERROR(VLOOKUP(C379,Sheet2!C:F,4,0),"")</f>
        <v/>
      </c>
      <c r="G379" t="str">
        <f>+IFERROR(VLOOKUP(F379,Sheet2!F:H,3,0),"")</f>
        <v/>
      </c>
      <c r="K379" s="28" t="str">
        <f>+'S3'!AC379</f>
        <v/>
      </c>
      <c r="L379" t="str">
        <f>IF('S3'!J379&lt;&gt;"",'S3'!J379,"")</f>
        <v/>
      </c>
      <c r="M379" t="str">
        <f>IF('S3'!K379&lt;&gt;"",'S3'!K379,"")</f>
        <v/>
      </c>
      <c r="N379">
        <f>+IFERROR(VLOOKUP(L379,Sheet3!A:C,3,0)," ")</f>
        <v>0</v>
      </c>
      <c r="Q379">
        <f>+'S3'!N379</f>
        <v>0</v>
      </c>
      <c r="R379" s="25">
        <f>+'S3'!T379</f>
        <v>0</v>
      </c>
      <c r="U379">
        <f t="shared" si="18"/>
        <v>0</v>
      </c>
      <c r="V379" s="12" t="str">
        <f>+'S3'!X379</f>
        <v/>
      </c>
      <c r="W379" s="34" t="str">
        <f>+'S3'!Y379</f>
        <v/>
      </c>
      <c r="Y379" s="12" t="str">
        <f t="shared" si="17"/>
        <v/>
      </c>
      <c r="Z379" s="27" t="str">
        <f t="shared" si="19"/>
        <v/>
      </c>
      <c r="AA379" s="22">
        <v>0</v>
      </c>
      <c r="AB379" s="26" t="str">
        <f>+'S3'!Z379</f>
        <v/>
      </c>
    </row>
    <row r="380" spans="3:28" x14ac:dyDescent="0.3">
      <c r="C380" t="str">
        <f>+'S3'!AB380</f>
        <v/>
      </c>
      <c r="D380" t="str">
        <f>+IFERROR(VLOOKUP(F380,Sheet2!F:G,2,0),"")</f>
        <v/>
      </c>
      <c r="E380" t="str">
        <f>+IFERROR(VLOOKUP(C380,'S3'!E:F,2,0),"")</f>
        <v/>
      </c>
      <c r="F380" s="30" t="str">
        <f>+IFERROR(VLOOKUP(C380,Sheet2!C:F,4,0),"")</f>
        <v/>
      </c>
      <c r="G380" t="str">
        <f>+IFERROR(VLOOKUP(F380,Sheet2!F:H,3,0),"")</f>
        <v/>
      </c>
      <c r="K380" s="28" t="str">
        <f>+'S3'!AC380</f>
        <v/>
      </c>
      <c r="L380" t="str">
        <f>IF('S3'!J380&lt;&gt;"",'S3'!J380,"")</f>
        <v/>
      </c>
      <c r="M380" t="str">
        <f>IF('S3'!K380&lt;&gt;"",'S3'!K380,"")</f>
        <v/>
      </c>
      <c r="N380">
        <f>+IFERROR(VLOOKUP(L380,Sheet3!A:C,3,0)," ")</f>
        <v>0</v>
      </c>
      <c r="Q380">
        <f>+'S3'!N380</f>
        <v>0</v>
      </c>
      <c r="R380" s="25">
        <f>+'S3'!T380</f>
        <v>0</v>
      </c>
      <c r="U380">
        <f t="shared" si="18"/>
        <v>0</v>
      </c>
      <c r="V380" s="12" t="str">
        <f>+'S3'!X380</f>
        <v/>
      </c>
      <c r="W380" s="34" t="str">
        <f>+'S3'!Y380</f>
        <v/>
      </c>
      <c r="Y380" s="12" t="str">
        <f t="shared" si="17"/>
        <v/>
      </c>
      <c r="Z380" s="27" t="str">
        <f t="shared" si="19"/>
        <v/>
      </c>
      <c r="AA380" s="22">
        <v>0</v>
      </c>
      <c r="AB380" s="26" t="str">
        <f>+'S3'!Z380</f>
        <v/>
      </c>
    </row>
    <row r="381" spans="3:28" x14ac:dyDescent="0.3">
      <c r="C381" t="str">
        <f>+'S3'!AB381</f>
        <v/>
      </c>
      <c r="D381" t="str">
        <f>+IFERROR(VLOOKUP(F381,Sheet2!F:G,2,0),"")</f>
        <v/>
      </c>
      <c r="E381" t="str">
        <f>+IFERROR(VLOOKUP(C381,'S3'!E:F,2,0),"")</f>
        <v/>
      </c>
      <c r="F381" s="30" t="str">
        <f>+IFERROR(VLOOKUP(C381,Sheet2!C:F,4,0),"")</f>
        <v/>
      </c>
      <c r="G381" t="str">
        <f>+IFERROR(VLOOKUP(F381,Sheet2!F:H,3,0),"")</f>
        <v/>
      </c>
      <c r="K381" s="28" t="str">
        <f>+'S3'!AC381</f>
        <v/>
      </c>
      <c r="L381" t="str">
        <f>IF('S3'!J381&lt;&gt;"",'S3'!J381,"")</f>
        <v/>
      </c>
      <c r="M381" t="str">
        <f>IF('S3'!K381&lt;&gt;"",'S3'!K381,"")</f>
        <v/>
      </c>
      <c r="N381">
        <f>+IFERROR(VLOOKUP(L381,Sheet3!A:C,3,0)," ")</f>
        <v>0</v>
      </c>
      <c r="Q381">
        <f>+'S3'!N381</f>
        <v>0</v>
      </c>
      <c r="R381" s="25">
        <f>+'S3'!T381</f>
        <v>0</v>
      </c>
      <c r="U381">
        <f t="shared" si="18"/>
        <v>0</v>
      </c>
      <c r="V381" s="12" t="str">
        <f>+'S3'!X381</f>
        <v/>
      </c>
      <c r="W381" s="34" t="str">
        <f>+'S3'!Y381</f>
        <v/>
      </c>
      <c r="Y381" s="12" t="str">
        <f t="shared" si="17"/>
        <v/>
      </c>
      <c r="Z381" s="27" t="str">
        <f t="shared" si="19"/>
        <v/>
      </c>
      <c r="AA381" s="22">
        <v>0</v>
      </c>
      <c r="AB381" s="26" t="str">
        <f>+'S3'!Z381</f>
        <v/>
      </c>
    </row>
    <row r="382" spans="3:28" x14ac:dyDescent="0.3">
      <c r="C382" t="str">
        <f>+'S3'!AB382</f>
        <v/>
      </c>
      <c r="D382" t="str">
        <f>+IFERROR(VLOOKUP(F382,Sheet2!F:G,2,0),"")</f>
        <v/>
      </c>
      <c r="E382" t="str">
        <f>+IFERROR(VLOOKUP(C382,'S3'!E:F,2,0),"")</f>
        <v/>
      </c>
      <c r="F382" s="30" t="str">
        <f>+IFERROR(VLOOKUP(C382,Sheet2!C:F,4,0),"")</f>
        <v/>
      </c>
      <c r="G382" t="str">
        <f>+IFERROR(VLOOKUP(F382,Sheet2!F:H,3,0),"")</f>
        <v/>
      </c>
      <c r="K382" s="28" t="str">
        <f>+'S3'!AC382</f>
        <v/>
      </c>
      <c r="L382" t="str">
        <f>IF('S3'!J382&lt;&gt;"",'S3'!J382,"")</f>
        <v/>
      </c>
      <c r="M382" t="str">
        <f>IF('S3'!K382&lt;&gt;"",'S3'!K382,"")</f>
        <v/>
      </c>
      <c r="N382">
        <f>+IFERROR(VLOOKUP(L382,Sheet3!A:C,3,0)," ")</f>
        <v>0</v>
      </c>
      <c r="Q382">
        <f>+'S3'!N382</f>
        <v>0</v>
      </c>
      <c r="R382" s="25">
        <f>+'S3'!T382</f>
        <v>0</v>
      </c>
      <c r="U382">
        <f t="shared" si="18"/>
        <v>0</v>
      </c>
      <c r="V382" s="12" t="str">
        <f>+'S3'!X382</f>
        <v/>
      </c>
      <c r="W382" s="34" t="str">
        <f>+'S3'!Y382</f>
        <v/>
      </c>
      <c r="Y382" s="12" t="str">
        <f t="shared" si="17"/>
        <v/>
      </c>
      <c r="Z382" s="27" t="str">
        <f t="shared" si="19"/>
        <v/>
      </c>
      <c r="AA382" s="22">
        <v>0</v>
      </c>
      <c r="AB382" s="26" t="str">
        <f>+'S3'!Z382</f>
        <v/>
      </c>
    </row>
    <row r="383" spans="3:28" x14ac:dyDescent="0.3">
      <c r="C383" t="str">
        <f>+'S3'!AB383</f>
        <v/>
      </c>
      <c r="D383" t="str">
        <f>+IFERROR(VLOOKUP(F383,Sheet2!F:G,2,0),"")</f>
        <v/>
      </c>
      <c r="E383" t="str">
        <f>+IFERROR(VLOOKUP(C383,'S3'!E:F,2,0),"")</f>
        <v/>
      </c>
      <c r="F383" s="30" t="str">
        <f>+IFERROR(VLOOKUP(C383,Sheet2!C:F,4,0),"")</f>
        <v/>
      </c>
      <c r="G383" t="str">
        <f>+IFERROR(VLOOKUP(F383,Sheet2!F:H,3,0),"")</f>
        <v/>
      </c>
      <c r="K383" s="28" t="str">
        <f>+'S3'!AC383</f>
        <v/>
      </c>
      <c r="L383" t="str">
        <f>IF('S3'!J383&lt;&gt;"",'S3'!J383,"")</f>
        <v/>
      </c>
      <c r="M383" t="str">
        <f>IF('S3'!K383&lt;&gt;"",'S3'!K383,"")</f>
        <v/>
      </c>
      <c r="N383">
        <f>+IFERROR(VLOOKUP(L383,Sheet3!A:C,3,0)," ")</f>
        <v>0</v>
      </c>
      <c r="Q383">
        <f>+'S3'!N383</f>
        <v>0</v>
      </c>
      <c r="R383" s="25">
        <f>+'S3'!T383</f>
        <v>0</v>
      </c>
      <c r="U383">
        <f t="shared" si="18"/>
        <v>0</v>
      </c>
      <c r="V383" s="12" t="str">
        <f>+'S3'!X383</f>
        <v/>
      </c>
      <c r="W383" s="34" t="str">
        <f>+'S3'!Y383</f>
        <v/>
      </c>
      <c r="Y383" s="12" t="str">
        <f t="shared" si="17"/>
        <v/>
      </c>
      <c r="Z383" s="27" t="str">
        <f t="shared" si="19"/>
        <v/>
      </c>
      <c r="AA383" s="22">
        <v>0</v>
      </c>
      <c r="AB383" s="26" t="str">
        <f>+'S3'!Z383</f>
        <v/>
      </c>
    </row>
    <row r="384" spans="3:28" x14ac:dyDescent="0.3">
      <c r="C384" t="str">
        <f>+'S3'!AB384</f>
        <v/>
      </c>
      <c r="D384" t="str">
        <f>+IFERROR(VLOOKUP(F384,Sheet2!F:G,2,0),"")</f>
        <v/>
      </c>
      <c r="E384" t="str">
        <f>+IFERROR(VLOOKUP(C384,'S3'!E:F,2,0),"")</f>
        <v/>
      </c>
      <c r="F384" s="30" t="str">
        <f>+IFERROR(VLOOKUP(C384,Sheet2!C:F,4,0),"")</f>
        <v/>
      </c>
      <c r="G384" t="str">
        <f>+IFERROR(VLOOKUP(F384,Sheet2!F:H,3,0),"")</f>
        <v/>
      </c>
      <c r="K384" s="28" t="str">
        <f>+'S3'!AC384</f>
        <v/>
      </c>
      <c r="L384" t="str">
        <f>IF('S3'!J384&lt;&gt;"",'S3'!J384,"")</f>
        <v/>
      </c>
      <c r="M384" t="str">
        <f>IF('S3'!K384&lt;&gt;"",'S3'!K384,"")</f>
        <v/>
      </c>
      <c r="N384">
        <f>+IFERROR(VLOOKUP(L384,Sheet3!A:C,3,0)," ")</f>
        <v>0</v>
      </c>
      <c r="Q384">
        <f>+'S3'!N384</f>
        <v>0</v>
      </c>
      <c r="R384" s="25">
        <f>+'S3'!T384</f>
        <v>0</v>
      </c>
      <c r="U384">
        <f t="shared" si="18"/>
        <v>0</v>
      </c>
      <c r="V384" s="12" t="str">
        <f>+'S3'!X384</f>
        <v/>
      </c>
      <c r="W384" s="34" t="str">
        <f>+'S3'!Y384</f>
        <v/>
      </c>
      <c r="Y384" s="12" t="str">
        <f t="shared" si="17"/>
        <v/>
      </c>
      <c r="Z384" s="27" t="str">
        <f t="shared" si="19"/>
        <v/>
      </c>
      <c r="AA384" s="22">
        <v>0</v>
      </c>
      <c r="AB384" s="26" t="str">
        <f>+'S3'!Z384</f>
        <v/>
      </c>
    </row>
    <row r="385" spans="3:28" x14ac:dyDescent="0.3">
      <c r="C385" t="str">
        <f>+'S3'!AB385</f>
        <v/>
      </c>
      <c r="D385" t="str">
        <f>+IFERROR(VLOOKUP(F385,Sheet2!F:G,2,0),"")</f>
        <v/>
      </c>
      <c r="E385" t="str">
        <f>+IFERROR(VLOOKUP(C385,'S3'!E:F,2,0),"")</f>
        <v/>
      </c>
      <c r="F385" s="30" t="str">
        <f>+IFERROR(VLOOKUP(C385,Sheet2!C:F,4,0),"")</f>
        <v/>
      </c>
      <c r="G385" t="str">
        <f>+IFERROR(VLOOKUP(F385,Sheet2!F:H,3,0),"")</f>
        <v/>
      </c>
      <c r="K385" s="28" t="str">
        <f>+'S3'!AC385</f>
        <v/>
      </c>
      <c r="L385" t="str">
        <f>IF('S3'!J385&lt;&gt;"",'S3'!J385,"")</f>
        <v/>
      </c>
      <c r="M385" t="str">
        <f>IF('S3'!K385&lt;&gt;"",'S3'!K385,"")</f>
        <v/>
      </c>
      <c r="N385">
        <f>+IFERROR(VLOOKUP(L385,Sheet3!A:C,3,0)," ")</f>
        <v>0</v>
      </c>
      <c r="Q385">
        <f>+'S3'!N385</f>
        <v>0</v>
      </c>
      <c r="R385" s="25">
        <f>+'S3'!T385</f>
        <v>0</v>
      </c>
      <c r="U385">
        <f t="shared" si="18"/>
        <v>0</v>
      </c>
      <c r="V385" s="12" t="str">
        <f>+'S3'!X385</f>
        <v/>
      </c>
      <c r="W385" s="34" t="str">
        <f>+'S3'!Y385</f>
        <v/>
      </c>
      <c r="Y385" s="12" t="str">
        <f t="shared" si="17"/>
        <v/>
      </c>
      <c r="Z385" s="27" t="str">
        <f t="shared" si="19"/>
        <v/>
      </c>
      <c r="AA385" s="22">
        <v>0</v>
      </c>
      <c r="AB385" s="26" t="str">
        <f>+'S3'!Z385</f>
        <v/>
      </c>
    </row>
    <row r="386" spans="3:28" x14ac:dyDescent="0.3">
      <c r="C386" t="str">
        <f>+'S3'!AB386</f>
        <v/>
      </c>
      <c r="D386" t="str">
        <f>+IFERROR(VLOOKUP(F386,Sheet2!F:G,2,0),"")</f>
        <v/>
      </c>
      <c r="E386" t="str">
        <f>+IFERROR(VLOOKUP(C386,'S3'!E:F,2,0),"")</f>
        <v/>
      </c>
      <c r="F386" s="30" t="str">
        <f>+IFERROR(VLOOKUP(C386,Sheet2!C:F,4,0),"")</f>
        <v/>
      </c>
      <c r="G386" t="str">
        <f>+IFERROR(VLOOKUP(F386,Sheet2!F:H,3,0),"")</f>
        <v/>
      </c>
      <c r="K386" s="28" t="str">
        <f>+'S3'!AC386</f>
        <v/>
      </c>
      <c r="L386" t="str">
        <f>IF('S3'!J386&lt;&gt;"",'S3'!J386,"")</f>
        <v/>
      </c>
      <c r="M386" t="str">
        <f>IF('S3'!K386&lt;&gt;"",'S3'!K386,"")</f>
        <v/>
      </c>
      <c r="N386">
        <f>+IFERROR(VLOOKUP(L386,Sheet3!A:C,3,0)," ")</f>
        <v>0</v>
      </c>
      <c r="Q386">
        <f>+'S3'!N386</f>
        <v>0</v>
      </c>
      <c r="R386" s="25">
        <f>+'S3'!T386</f>
        <v>0</v>
      </c>
      <c r="U386">
        <f t="shared" si="18"/>
        <v>0</v>
      </c>
      <c r="V386" s="12" t="str">
        <f>+'S3'!X386</f>
        <v/>
      </c>
      <c r="W386" s="34" t="str">
        <f>+'S3'!Y386</f>
        <v/>
      </c>
      <c r="Y386" s="12" t="str">
        <f t="shared" si="17"/>
        <v/>
      </c>
      <c r="Z386" s="27" t="str">
        <f t="shared" si="19"/>
        <v/>
      </c>
      <c r="AA386" s="22">
        <v>0</v>
      </c>
      <c r="AB386" s="26" t="str">
        <f>+'S3'!Z386</f>
        <v/>
      </c>
    </row>
    <row r="387" spans="3:28" x14ac:dyDescent="0.3">
      <c r="C387" t="str">
        <f>+'S3'!AB387</f>
        <v/>
      </c>
      <c r="D387" t="str">
        <f>+IFERROR(VLOOKUP(F387,Sheet2!F:G,2,0),"")</f>
        <v/>
      </c>
      <c r="E387" t="str">
        <f>+IFERROR(VLOOKUP(C387,'S3'!E:F,2,0),"")</f>
        <v/>
      </c>
      <c r="F387" s="30" t="str">
        <f>+IFERROR(VLOOKUP(C387,Sheet2!C:F,4,0),"")</f>
        <v/>
      </c>
      <c r="G387" t="str">
        <f>+IFERROR(VLOOKUP(F387,Sheet2!F:H,3,0),"")</f>
        <v/>
      </c>
      <c r="K387" s="28" t="str">
        <f>+'S3'!AC387</f>
        <v/>
      </c>
      <c r="L387" t="str">
        <f>IF('S3'!J387&lt;&gt;"",'S3'!J387,"")</f>
        <v/>
      </c>
      <c r="M387" t="str">
        <f>IF('S3'!K387&lt;&gt;"",'S3'!K387,"")</f>
        <v/>
      </c>
      <c r="N387">
        <f>+IFERROR(VLOOKUP(L387,Sheet3!A:C,3,0)," ")</f>
        <v>0</v>
      </c>
      <c r="Q387">
        <f>+'S3'!N387</f>
        <v>0</v>
      </c>
      <c r="R387" s="25">
        <f>+'S3'!T387</f>
        <v>0</v>
      </c>
      <c r="U387">
        <f t="shared" si="18"/>
        <v>0</v>
      </c>
      <c r="V387" s="12" t="str">
        <f>+'S3'!X387</f>
        <v/>
      </c>
      <c r="W387" s="34" t="str">
        <f>+'S3'!Y387</f>
        <v/>
      </c>
      <c r="Y387" s="12" t="str">
        <f t="shared" ref="Y387:Y389" si="20">IFERROR(W387%*V387,"")</f>
        <v/>
      </c>
      <c r="Z387" s="27" t="str">
        <f t="shared" si="19"/>
        <v/>
      </c>
      <c r="AA387" s="22">
        <v>0</v>
      </c>
      <c r="AB387" s="26" t="str">
        <f>+'S3'!Z387</f>
        <v/>
      </c>
    </row>
    <row r="388" spans="3:28" x14ac:dyDescent="0.3">
      <c r="C388" t="str">
        <f>+'S3'!AB388</f>
        <v/>
      </c>
      <c r="D388" t="str">
        <f>+IFERROR(VLOOKUP(F388,Sheet2!F:G,2,0),"")</f>
        <v/>
      </c>
      <c r="E388" t="str">
        <f>+IFERROR(VLOOKUP(C388,'S3'!E:F,2,0),"")</f>
        <v/>
      </c>
      <c r="F388" s="30" t="str">
        <f>+IFERROR(VLOOKUP(C388,Sheet2!C:F,4,0),"")</f>
        <v/>
      </c>
      <c r="G388" t="str">
        <f>+IFERROR(VLOOKUP(F388,Sheet2!F:H,3,0),"")</f>
        <v/>
      </c>
      <c r="K388" s="28" t="str">
        <f>+'S3'!AC388</f>
        <v/>
      </c>
      <c r="L388" t="str">
        <f>IF('S3'!J388&lt;&gt;"",'S3'!J388,"")</f>
        <v/>
      </c>
      <c r="M388" t="str">
        <f>IF('S3'!K388&lt;&gt;"",'S3'!K388,"")</f>
        <v/>
      </c>
      <c r="N388">
        <f>+IFERROR(VLOOKUP(L388,Sheet3!A:C,3,0)," ")</f>
        <v>0</v>
      </c>
      <c r="Q388">
        <f>+'S3'!N388</f>
        <v>0</v>
      </c>
      <c r="R388" s="25">
        <f>+'S3'!T388</f>
        <v>0</v>
      </c>
      <c r="U388">
        <f t="shared" si="18"/>
        <v>0</v>
      </c>
      <c r="V388" s="12" t="str">
        <f>+'S3'!X388</f>
        <v/>
      </c>
      <c r="W388" s="34" t="str">
        <f>+'S3'!Y388</f>
        <v/>
      </c>
      <c r="Y388" s="12" t="str">
        <f t="shared" si="20"/>
        <v/>
      </c>
      <c r="Z388" s="27" t="str">
        <f t="shared" si="19"/>
        <v/>
      </c>
      <c r="AA388" s="22">
        <v>0</v>
      </c>
      <c r="AB388" s="26" t="str">
        <f>+'S3'!Z388</f>
        <v/>
      </c>
    </row>
    <row r="389" spans="3:28" x14ac:dyDescent="0.3">
      <c r="C389" t="str">
        <f>+'S3'!AB389</f>
        <v/>
      </c>
      <c r="W389" s="34" t="str">
        <f>+'S3'!Y389</f>
        <v/>
      </c>
      <c r="Y389" s="12" t="str">
        <f t="shared" si="20"/>
        <v/>
      </c>
      <c r="Z389" s="27" t="str">
        <f t="shared" si="19"/>
        <v/>
      </c>
      <c r="AA389" s="22">
        <v>0</v>
      </c>
      <c r="AB389" s="26" t="str">
        <f>+'S3'!Z389</f>
        <v/>
      </c>
    </row>
    <row r="390" spans="3:28" x14ac:dyDescent="0.3">
      <c r="C390" t="str">
        <f>+'S3'!AB390</f>
        <v/>
      </c>
    </row>
    <row r="391" spans="3:28" x14ac:dyDescent="0.3">
      <c r="C391" t="str">
        <f>+'S3'!AB391</f>
        <v/>
      </c>
    </row>
    <row r="392" spans="3:28" x14ac:dyDescent="0.3">
      <c r="C392" t="str">
        <f>+'S3'!AB392</f>
        <v/>
      </c>
    </row>
    <row r="393" spans="3:28" x14ac:dyDescent="0.3">
      <c r="C393" t="str">
        <f>+'S3'!AB393</f>
        <v/>
      </c>
    </row>
    <row r="394" spans="3:28" x14ac:dyDescent="0.3">
      <c r="C394" t="str">
        <f>+'S3'!AB394</f>
        <v/>
      </c>
    </row>
    <row r="395" spans="3:28" x14ac:dyDescent="0.3">
      <c r="C395" t="str">
        <f>+'S3'!AB395</f>
        <v/>
      </c>
    </row>
    <row r="396" spans="3:28" x14ac:dyDescent="0.3">
      <c r="C396" t="str">
        <f>+'S3'!AB396</f>
        <v/>
      </c>
    </row>
    <row r="397" spans="3:28" x14ac:dyDescent="0.3">
      <c r="C397" t="str">
        <f>+'S3'!AB397</f>
        <v/>
      </c>
    </row>
    <row r="398" spans="3:28" x14ac:dyDescent="0.3">
      <c r="C398" t="str">
        <f>+'S3'!AB398</f>
        <v/>
      </c>
    </row>
    <row r="399" spans="3:28" x14ac:dyDescent="0.3">
      <c r="C399" t="str">
        <f>+'S3'!AB399</f>
        <v/>
      </c>
    </row>
    <row r="400" spans="3:28" x14ac:dyDescent="0.3">
      <c r="C400" t="str">
        <f>+'S3'!AB400</f>
        <v/>
      </c>
    </row>
    <row r="401" spans="3:3" x14ac:dyDescent="0.3">
      <c r="C401" t="str">
        <f>+'S3'!AB401</f>
        <v/>
      </c>
    </row>
    <row r="402" spans="3:3" x14ac:dyDescent="0.3">
      <c r="C402" t="str">
        <f>+'S3'!AB402</f>
        <v/>
      </c>
    </row>
    <row r="403" spans="3:3" x14ac:dyDescent="0.3">
      <c r="C403" t="str">
        <f>+'S3'!AB403</f>
        <v/>
      </c>
    </row>
  </sheetData>
  <autoFilter ref="A1:BC51" xr:uid="{00000000-0001-0000-0000-000000000000}"/>
  <conditionalFormatting sqref="L1:L1048576">
    <cfRule type="duplicateValues" dxfId="0" priority="1"/>
  </conditionalFormatting>
  <dataValidations count="4">
    <dataValidation type="list" allowBlank="1" showInputMessage="1" showErrorMessage="1" sqref="UB1:UB2 KF1:KF2 WWR1:WWR2 WMV1:WMV2 WCZ1:WCZ2 VTD1:VTD2 VJH1:VJH2 UZL1:UZL2 UPP1:UPP2 UFT1:UFT2 TVX1:TVX2 TMB1:TMB2 TCF1:TCF2 SSJ1:SSJ2 SIN1:SIN2 RYR1:RYR2 ROV1:ROV2 REZ1:REZ2 QVD1:QVD2 QLH1:QLH2 QBL1:QBL2 PRP1:PRP2 PHT1:PHT2 OXX1:OXX2 OOB1:OOB2 OEF1:OEF2 NUJ1:NUJ2 NKN1:NKN2 NAR1:NAR2 MQV1:MQV2 MGZ1:MGZ2 LXD1:LXD2 LNH1:LNH2 LDL1:LDL2 KTP1:KTP2 KJT1:KJT2 JZX1:JZX2 JQB1:JQB2 JGF1:JGF2 IWJ1:IWJ2 IMN1:IMN2 ICR1:ICR2 HSV1:HSV2 HIZ1:HIZ2 GZD1:GZD2 GPH1:GPH2 GFL1:GFL2 FVP1:FVP2 FLT1:FLT2 FBX1:FBX2 ESB1:ESB2 EIF1:EIF2 DYJ1:DYJ2 DON1:DON2 DER1:DER2 CUV1:CUV2 CKZ1:CKZ2 CBD1:CBD2 BRH1:BRH2 BHL1:BHL2 AXP1:AXP2 ANT1:ANT2 ADX1:ADX2 AB1:AB389" xr:uid="{00000000-0002-0000-0000-000000000000}">
      <formula1>"VND,USD"</formula1>
    </dataValidation>
    <dataValidation type="list" allowBlank="1" showInputMessage="1" showErrorMessage="1" sqref="K1 JQ1 TM1 ADI1 ANE1 AXA1 BGW1 BQS1 CAO1 CKK1 CUG1 DEC1 DNY1 DXU1 EHQ1 ERM1 FBI1 FLE1 FVA1 GEW1 GOS1 GYO1 HIK1 HSG1 ICC1 ILY1 IVU1 JFQ1 JPM1 JZI1 KJE1 KTA1 LCW1 LMS1 LWO1 MGK1 MQG1 NAC1 NJY1 NTU1 ODQ1 ONM1 OXI1 PHE1 PRA1 QAW1 QKS1 QUO1 REK1 ROG1 RYC1 SHY1 SRU1 TBQ1 TLM1 TVI1 UFE1 UPA1 UYW1 VIS1 VSO1 WCK1 WMG1 WWC1" xr:uid="{00000000-0002-0000-0000-000001000000}">
      <formula1>"TM,CK,TTD,HDDT,BT"</formula1>
    </dataValidation>
    <dataValidation type="list" allowBlank="1" showInputMessage="1" showErrorMessage="1" sqref="KE1:KE2 WWQ1:WWQ2 WMU1:WMU2 WCY1:WCY2 VTC1:VTC2 VJG1:VJG2 UZK1:UZK2 UPO1:UPO2 UFS1:UFS2 TVW1:TVW2 TMA1:TMA2 TCE1:TCE2 SSI1:SSI2 SIM1:SIM2 RYQ1:RYQ2 ROU1:ROU2 REY1:REY2 QVC1:QVC2 QLG1:QLG2 QBK1:QBK2 PRO1:PRO2 PHS1:PHS2 OXW1:OXW2 OOA1:OOA2 OEE1:OEE2 NUI1:NUI2 NKM1:NKM2 NAQ1:NAQ2 MQU1:MQU2 MGY1:MGY2 LXC1:LXC2 LNG1:LNG2 LDK1:LDK2 KTO1:KTO2 KJS1:KJS2 JZW1:JZW2 JQA1:JQA2 JGE1:JGE2 IWI1:IWI2 IMM1:IMM2 ICQ1:ICQ2 HSU1:HSU2 HIY1:HIY2 GZC1:GZC2 GPG1:GPG2 GFK1:GFK2 FVO1:FVO2 FLS1:FLS2 FBW1:FBW2 ESA1:ESA2 EIE1:EIE2 DYI1:DYI2 DOM1:DOM2 DEQ1:DEQ2 CUU1:CUU2 CKY1:CKY2 CBC1:CBC2 BRG1:BRG2 BHK1:BHK2 AXO1:AXO2 ANS1:ANS2 ADW1:ADW2 UA1:UA2" xr:uid="{00000000-0002-0000-0000-000003000000}">
      <formula1>"0,1"</formula1>
    </dataValidation>
    <dataValidation type="list" allowBlank="1" showInputMessage="1" showErrorMessage="1" sqref="AA1:AA389" xr:uid="{00000000-0002-0000-0000-000002000000}">
      <formula1>"0,1,2,4"</formula1>
    </dataValidation>
  </dataValidation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DD4EB-4BC7-4EF4-99CC-C19FB9C22520}">
  <dimension ref="A1:AC797"/>
  <sheetViews>
    <sheetView workbookViewId="0">
      <selection activeCell="A13" sqref="A13:S14"/>
    </sheetView>
  </sheetViews>
  <sheetFormatPr defaultRowHeight="14.4" x14ac:dyDescent="0.3"/>
  <cols>
    <col min="16" max="16" width="11.109375" customWidth="1"/>
    <col min="20" max="21" width="8.88671875" style="29"/>
    <col min="22" max="23" width="12" style="29" customWidth="1"/>
    <col min="24" max="24" width="15.109375" style="29" customWidth="1"/>
    <col min="25" max="25" width="8.88671875" style="32"/>
    <col min="26" max="27" width="8.88671875" style="29"/>
    <col min="28" max="28" width="10.109375" style="29" customWidth="1"/>
  </cols>
  <sheetData>
    <row r="1" spans="1:29" x14ac:dyDescent="0.3">
      <c r="A1" t="s">
        <v>60</v>
      </c>
      <c r="B1" t="s">
        <v>61</v>
      </c>
      <c r="C1" t="s">
        <v>62</v>
      </c>
      <c r="D1" t="s">
        <v>63</v>
      </c>
      <c r="E1" t="s">
        <v>64</v>
      </c>
      <c r="F1" t="s">
        <v>65</v>
      </c>
      <c r="G1" t="s">
        <v>66</v>
      </c>
      <c r="H1" t="s">
        <v>67</v>
      </c>
      <c r="I1" t="s">
        <v>68</v>
      </c>
      <c r="J1" t="s">
        <v>69</v>
      </c>
      <c r="K1" t="s">
        <v>70</v>
      </c>
      <c r="L1" t="s">
        <v>71</v>
      </c>
      <c r="M1" t="s">
        <v>72</v>
      </c>
      <c r="N1" t="s">
        <v>73</v>
      </c>
      <c r="O1" t="s">
        <v>74</v>
      </c>
      <c r="P1" t="s">
        <v>6988</v>
      </c>
      <c r="Q1" t="s">
        <v>75</v>
      </c>
      <c r="R1" t="s">
        <v>76</v>
      </c>
      <c r="S1" t="s">
        <v>77</v>
      </c>
    </row>
    <row r="2" spans="1:29" x14ac:dyDescent="0.3">
      <c r="A2" t="s">
        <v>7009</v>
      </c>
      <c r="B2" t="s">
        <v>7010</v>
      </c>
      <c r="C2" t="s">
        <v>6996</v>
      </c>
      <c r="D2" t="s">
        <v>6997</v>
      </c>
      <c r="E2" t="s">
        <v>6946</v>
      </c>
      <c r="F2" t="s">
        <v>7011</v>
      </c>
      <c r="I2">
        <v>14</v>
      </c>
      <c r="J2">
        <v>68477297</v>
      </c>
      <c r="K2" t="s">
        <v>1267</v>
      </c>
      <c r="L2">
        <v>8</v>
      </c>
      <c r="N2" s="25">
        <v>80</v>
      </c>
      <c r="O2" s="25">
        <v>147420</v>
      </c>
      <c r="P2" s="25">
        <v>11793600</v>
      </c>
      <c r="Q2" t="s">
        <v>78</v>
      </c>
      <c r="R2" t="s">
        <v>7001</v>
      </c>
      <c r="S2" t="s">
        <v>7002</v>
      </c>
      <c r="T2" s="29">
        <f>+O2/1.08</f>
        <v>136500</v>
      </c>
      <c r="U2" s="29">
        <f>+T2*N2</f>
        <v>10920000</v>
      </c>
      <c r="V2" s="29">
        <f>+SUMIF(B:B,B2,U:U)</f>
        <v>94400037.03703703</v>
      </c>
      <c r="W2" s="29">
        <f>+V2</f>
        <v>94400037.03703703</v>
      </c>
      <c r="X2" s="29">
        <f>+IF(W2&lt;&gt;0,W2,"")</f>
        <v>94400037.03703703</v>
      </c>
      <c r="Y2" s="32">
        <f>+IF(X2&lt;&gt;"",8,"")</f>
        <v>8</v>
      </c>
      <c r="Z2" s="29" t="str">
        <f>+IF(X2&lt;&gt;"","VND","")</f>
        <v>VND</v>
      </c>
      <c r="AA2" s="29" t="str">
        <f>+E2</f>
        <v>BBLANH</v>
      </c>
      <c r="AB2" s="29" t="str">
        <f>+IF(AA2&lt;&gt;0,AA2,"")</f>
        <v>BBLANH</v>
      </c>
      <c r="AC2" t="str">
        <f>+IF(X2&lt;&gt;"","TM/CK","")</f>
        <v>TM/CK</v>
      </c>
    </row>
    <row r="3" spans="1:29" x14ac:dyDescent="0.3">
      <c r="A3" t="s">
        <v>7009</v>
      </c>
      <c r="B3" t="s">
        <v>7010</v>
      </c>
      <c r="C3" t="s">
        <v>6996</v>
      </c>
      <c r="D3" t="s">
        <v>6997</v>
      </c>
      <c r="E3" t="s">
        <v>6946</v>
      </c>
      <c r="F3" t="s">
        <v>7011</v>
      </c>
      <c r="I3">
        <v>15</v>
      </c>
      <c r="J3">
        <v>68942958</v>
      </c>
      <c r="K3" t="s">
        <v>1969</v>
      </c>
      <c r="L3">
        <v>8</v>
      </c>
      <c r="N3" s="25">
        <v>80</v>
      </c>
      <c r="O3" s="25">
        <v>141824</v>
      </c>
      <c r="P3" s="25">
        <v>11345920</v>
      </c>
      <c r="Q3" t="s">
        <v>78</v>
      </c>
      <c r="R3" t="s">
        <v>7008</v>
      </c>
      <c r="S3" t="s">
        <v>7002</v>
      </c>
      <c r="T3" s="29">
        <f t="shared" ref="T3:T66" si="0">+O3/1.08</f>
        <v>131318.51851851851</v>
      </c>
      <c r="U3" s="29">
        <f t="shared" ref="U3:U66" si="1">+T3*N3</f>
        <v>10505481.481481481</v>
      </c>
      <c r="V3" s="29">
        <f t="shared" ref="V3:V66" si="2">+SUMIF(B:B,B3,U:U)</f>
        <v>94400037.03703703</v>
      </c>
      <c r="W3" s="29" t="str">
        <f>+IF(V3=V2,"",V3)</f>
        <v/>
      </c>
      <c r="X3" s="29" t="str">
        <f t="shared" ref="X3:X66" si="3">+IF(W3&lt;&gt;0,W3,"")</f>
        <v/>
      </c>
      <c r="Y3" s="32" t="str">
        <f t="shared" ref="Y3:Y66" si="4">+IF(X3&lt;&gt;"",8,"")</f>
        <v/>
      </c>
      <c r="Z3" s="29" t="str">
        <f t="shared" ref="Z3:Z66" si="5">+IF(X3&lt;&gt;"","VND","")</f>
        <v/>
      </c>
      <c r="AA3" s="29" t="str">
        <f>+IF(B3=B2,"",E3)</f>
        <v/>
      </c>
      <c r="AB3" s="29" t="str">
        <f t="shared" ref="AB3:AB66" si="6">+IF(AA3&lt;&gt;0,AA3,"")</f>
        <v/>
      </c>
      <c r="AC3" t="str">
        <f t="shared" ref="AC3:AC66" si="7">+IF(X3&lt;&gt;"","TM/CK","")</f>
        <v/>
      </c>
    </row>
    <row r="4" spans="1:29" x14ac:dyDescent="0.3">
      <c r="A4" t="s">
        <v>7009</v>
      </c>
      <c r="B4" t="s">
        <v>7010</v>
      </c>
      <c r="C4" t="s">
        <v>6996</v>
      </c>
      <c r="D4" t="s">
        <v>6997</v>
      </c>
      <c r="E4" t="s">
        <v>6946</v>
      </c>
      <c r="F4" t="s">
        <v>7011</v>
      </c>
      <c r="I4">
        <v>16</v>
      </c>
      <c r="J4">
        <v>65647167</v>
      </c>
      <c r="K4" t="s">
        <v>7012</v>
      </c>
      <c r="L4">
        <v>8</v>
      </c>
      <c r="N4" s="25">
        <v>80</v>
      </c>
      <c r="O4" s="25">
        <v>126820</v>
      </c>
      <c r="P4" s="25">
        <v>10145600</v>
      </c>
      <c r="Q4" t="s">
        <v>78</v>
      </c>
      <c r="R4" t="s">
        <v>7013</v>
      </c>
      <c r="S4" t="s">
        <v>7002</v>
      </c>
      <c r="T4" s="29">
        <f t="shared" si="0"/>
        <v>117425.92592592591</v>
      </c>
      <c r="U4" s="29">
        <f t="shared" si="1"/>
        <v>9394074.0740740728</v>
      </c>
      <c r="V4" s="29">
        <f t="shared" si="2"/>
        <v>94400037.03703703</v>
      </c>
      <c r="W4" s="29" t="str">
        <f t="shared" ref="W4:W67" si="8">+IF(V4=V3,"",V4)</f>
        <v/>
      </c>
      <c r="X4" s="29" t="str">
        <f t="shared" si="3"/>
        <v/>
      </c>
      <c r="Y4" s="32" t="str">
        <f t="shared" si="4"/>
        <v/>
      </c>
      <c r="Z4" s="29" t="str">
        <f t="shared" si="5"/>
        <v/>
      </c>
      <c r="AA4" s="29" t="str">
        <f t="shared" ref="AA4:AA67" si="9">+IF(B4=B3,"",E4)</f>
        <v/>
      </c>
      <c r="AB4" s="29" t="str">
        <f t="shared" si="6"/>
        <v/>
      </c>
      <c r="AC4" t="str">
        <f t="shared" si="7"/>
        <v/>
      </c>
    </row>
    <row r="5" spans="1:29" x14ac:dyDescent="0.3">
      <c r="A5" t="s">
        <v>7009</v>
      </c>
      <c r="B5" t="s">
        <v>7010</v>
      </c>
      <c r="C5" t="s">
        <v>6996</v>
      </c>
      <c r="D5" t="s">
        <v>6997</v>
      </c>
      <c r="E5" t="s">
        <v>6946</v>
      </c>
      <c r="F5" t="s">
        <v>7011</v>
      </c>
      <c r="I5">
        <v>17</v>
      </c>
      <c r="J5">
        <v>65484984</v>
      </c>
      <c r="K5" t="s">
        <v>6957</v>
      </c>
      <c r="L5">
        <v>8</v>
      </c>
      <c r="N5" s="25">
        <v>80</v>
      </c>
      <c r="O5" s="25">
        <v>113036</v>
      </c>
      <c r="P5" s="25">
        <v>9042880</v>
      </c>
      <c r="Q5" t="s">
        <v>78</v>
      </c>
      <c r="R5" t="s">
        <v>7003</v>
      </c>
      <c r="S5" t="s">
        <v>7002</v>
      </c>
      <c r="T5" s="29">
        <f t="shared" si="0"/>
        <v>104662.96296296295</v>
      </c>
      <c r="U5" s="29">
        <f t="shared" si="1"/>
        <v>8373037.0370370355</v>
      </c>
      <c r="V5" s="29">
        <f t="shared" si="2"/>
        <v>94400037.03703703</v>
      </c>
      <c r="W5" s="29" t="str">
        <f t="shared" si="8"/>
        <v/>
      </c>
      <c r="X5" s="29" t="str">
        <f t="shared" si="3"/>
        <v/>
      </c>
      <c r="Y5" s="32" t="str">
        <f t="shared" si="4"/>
        <v/>
      </c>
      <c r="Z5" s="29" t="str">
        <f t="shared" si="5"/>
        <v/>
      </c>
      <c r="AA5" s="29" t="str">
        <f t="shared" si="9"/>
        <v/>
      </c>
      <c r="AB5" s="29" t="str">
        <f t="shared" si="6"/>
        <v/>
      </c>
      <c r="AC5" t="str">
        <f t="shared" si="7"/>
        <v/>
      </c>
    </row>
    <row r="6" spans="1:29" x14ac:dyDescent="0.3">
      <c r="A6" t="s">
        <v>7009</v>
      </c>
      <c r="B6" t="s">
        <v>7010</v>
      </c>
      <c r="C6" t="s">
        <v>6996</v>
      </c>
      <c r="D6" t="s">
        <v>6997</v>
      </c>
      <c r="E6" t="s">
        <v>6946</v>
      </c>
      <c r="F6" t="s">
        <v>7011</v>
      </c>
      <c r="I6">
        <v>18</v>
      </c>
      <c r="J6">
        <v>68181864</v>
      </c>
      <c r="K6" t="s">
        <v>7014</v>
      </c>
      <c r="L6">
        <v>36</v>
      </c>
      <c r="N6" s="25">
        <v>360</v>
      </c>
      <c r="O6" s="25">
        <v>31563</v>
      </c>
      <c r="P6" s="25">
        <v>11362680</v>
      </c>
      <c r="Q6" t="s">
        <v>78</v>
      </c>
      <c r="R6" t="s">
        <v>7007</v>
      </c>
      <c r="S6" t="s">
        <v>7002</v>
      </c>
      <c r="T6" s="29">
        <f t="shared" si="0"/>
        <v>29224.999999999996</v>
      </c>
      <c r="U6" s="29">
        <f t="shared" si="1"/>
        <v>10520999.999999998</v>
      </c>
      <c r="V6" s="29">
        <f t="shared" si="2"/>
        <v>94400037.03703703</v>
      </c>
      <c r="W6" s="29" t="str">
        <f t="shared" si="8"/>
        <v/>
      </c>
      <c r="X6" s="29" t="str">
        <f t="shared" si="3"/>
        <v/>
      </c>
      <c r="Y6" s="32" t="str">
        <f t="shared" si="4"/>
        <v/>
      </c>
      <c r="Z6" s="29" t="str">
        <f t="shared" si="5"/>
        <v/>
      </c>
      <c r="AA6" s="29" t="str">
        <f t="shared" si="9"/>
        <v/>
      </c>
      <c r="AB6" s="29" t="str">
        <f t="shared" si="6"/>
        <v/>
      </c>
      <c r="AC6" t="str">
        <f t="shared" si="7"/>
        <v/>
      </c>
    </row>
    <row r="7" spans="1:29" x14ac:dyDescent="0.3">
      <c r="A7" t="s">
        <v>7009</v>
      </c>
      <c r="B7" t="s">
        <v>7010</v>
      </c>
      <c r="C7" t="s">
        <v>6996</v>
      </c>
      <c r="D7" t="s">
        <v>6997</v>
      </c>
      <c r="E7" t="s">
        <v>6946</v>
      </c>
      <c r="F7" t="s">
        <v>7011</v>
      </c>
      <c r="I7">
        <v>19</v>
      </c>
      <c r="J7">
        <v>62758282</v>
      </c>
      <c r="K7" t="s">
        <v>58</v>
      </c>
      <c r="L7">
        <v>36</v>
      </c>
      <c r="N7" s="25">
        <v>360</v>
      </c>
      <c r="O7" s="25">
        <v>31563</v>
      </c>
      <c r="P7" s="25">
        <v>11362680</v>
      </c>
      <c r="Q7" t="s">
        <v>78</v>
      </c>
      <c r="R7" t="s">
        <v>7007</v>
      </c>
      <c r="S7" t="s">
        <v>7002</v>
      </c>
      <c r="T7" s="29">
        <f t="shared" si="0"/>
        <v>29224.999999999996</v>
      </c>
      <c r="U7" s="29">
        <f t="shared" si="1"/>
        <v>10520999.999999998</v>
      </c>
      <c r="V7" s="29">
        <f t="shared" si="2"/>
        <v>94400037.03703703</v>
      </c>
      <c r="W7" s="29" t="str">
        <f t="shared" si="8"/>
        <v/>
      </c>
      <c r="X7" s="29" t="str">
        <f t="shared" si="3"/>
        <v/>
      </c>
      <c r="Y7" s="32" t="str">
        <f t="shared" si="4"/>
        <v/>
      </c>
      <c r="Z7" s="29" t="str">
        <f t="shared" si="5"/>
        <v/>
      </c>
      <c r="AA7" s="29" t="str">
        <f t="shared" si="9"/>
        <v/>
      </c>
      <c r="AB7" s="29" t="str">
        <f t="shared" si="6"/>
        <v/>
      </c>
      <c r="AC7" t="str">
        <f t="shared" si="7"/>
        <v/>
      </c>
    </row>
    <row r="8" spans="1:29" x14ac:dyDescent="0.3">
      <c r="A8" t="s">
        <v>7009</v>
      </c>
      <c r="B8" t="s">
        <v>7010</v>
      </c>
      <c r="C8" t="s">
        <v>6996</v>
      </c>
      <c r="D8" t="s">
        <v>6997</v>
      </c>
      <c r="E8" t="s">
        <v>6946</v>
      </c>
      <c r="F8" t="s">
        <v>7011</v>
      </c>
      <c r="I8">
        <v>20</v>
      </c>
      <c r="J8">
        <v>65591283</v>
      </c>
      <c r="K8" t="s">
        <v>7005</v>
      </c>
      <c r="L8">
        <v>36</v>
      </c>
      <c r="N8" s="25">
        <v>180</v>
      </c>
      <c r="O8" s="25">
        <v>30463</v>
      </c>
      <c r="P8" s="25">
        <v>5483340</v>
      </c>
      <c r="Q8" t="s">
        <v>78</v>
      </c>
      <c r="R8" t="s">
        <v>7006</v>
      </c>
      <c r="S8" t="s">
        <v>7002</v>
      </c>
      <c r="T8" s="29">
        <f t="shared" si="0"/>
        <v>28206.481481481478</v>
      </c>
      <c r="U8" s="29">
        <f t="shared" si="1"/>
        <v>5077166.666666666</v>
      </c>
      <c r="V8" s="29">
        <f t="shared" si="2"/>
        <v>94400037.03703703</v>
      </c>
      <c r="W8" s="29" t="str">
        <f>+IF(V8=V7,"",V8)</f>
        <v/>
      </c>
      <c r="X8" s="29" t="str">
        <f t="shared" si="3"/>
        <v/>
      </c>
      <c r="Y8" s="32" t="str">
        <f t="shared" si="4"/>
        <v/>
      </c>
      <c r="Z8" s="29" t="str">
        <f t="shared" si="5"/>
        <v/>
      </c>
      <c r="AA8" s="29" t="str">
        <f t="shared" si="9"/>
        <v/>
      </c>
      <c r="AB8" s="29" t="str">
        <f t="shared" si="6"/>
        <v/>
      </c>
      <c r="AC8" t="str">
        <f t="shared" si="7"/>
        <v/>
      </c>
    </row>
    <row r="9" spans="1:29" x14ac:dyDescent="0.3">
      <c r="A9" t="s">
        <v>7009</v>
      </c>
      <c r="B9" t="s">
        <v>7010</v>
      </c>
      <c r="C9" t="s">
        <v>6996</v>
      </c>
      <c r="D9" t="s">
        <v>6997</v>
      </c>
      <c r="E9" t="s">
        <v>6946</v>
      </c>
      <c r="F9" t="s">
        <v>7011</v>
      </c>
      <c r="I9">
        <v>21</v>
      </c>
      <c r="J9">
        <v>65591284</v>
      </c>
      <c r="K9" t="s">
        <v>6966</v>
      </c>
      <c r="L9">
        <v>36</v>
      </c>
      <c r="N9" s="25">
        <v>360</v>
      </c>
      <c r="O9" s="25">
        <v>23710</v>
      </c>
      <c r="P9" s="25">
        <v>8535600</v>
      </c>
      <c r="Q9" t="s">
        <v>78</v>
      </c>
      <c r="R9" t="s">
        <v>7006</v>
      </c>
      <c r="S9" t="s">
        <v>7002</v>
      </c>
      <c r="T9" s="29">
        <f t="shared" si="0"/>
        <v>21953.703703703701</v>
      </c>
      <c r="U9" s="29">
        <f t="shared" si="1"/>
        <v>7903333.3333333321</v>
      </c>
      <c r="V9" s="29">
        <f t="shared" si="2"/>
        <v>94400037.03703703</v>
      </c>
      <c r="W9" s="29" t="str">
        <f t="shared" si="8"/>
        <v/>
      </c>
      <c r="X9" s="29" t="str">
        <f t="shared" si="3"/>
        <v/>
      </c>
      <c r="Y9" s="32" t="str">
        <f t="shared" si="4"/>
        <v/>
      </c>
      <c r="Z9" s="29" t="str">
        <f t="shared" si="5"/>
        <v/>
      </c>
      <c r="AA9" s="29" t="str">
        <f t="shared" si="9"/>
        <v/>
      </c>
      <c r="AB9" s="29" t="str">
        <f t="shared" si="6"/>
        <v/>
      </c>
      <c r="AC9" t="str">
        <f t="shared" si="7"/>
        <v/>
      </c>
    </row>
    <row r="10" spans="1:29" x14ac:dyDescent="0.3">
      <c r="A10" t="s">
        <v>7009</v>
      </c>
      <c r="B10" t="s">
        <v>7010</v>
      </c>
      <c r="C10" t="s">
        <v>6996</v>
      </c>
      <c r="D10" t="s">
        <v>6997</v>
      </c>
      <c r="E10" t="s">
        <v>6946</v>
      </c>
      <c r="F10" t="s">
        <v>7011</v>
      </c>
      <c r="I10">
        <v>22</v>
      </c>
      <c r="J10">
        <v>65591301</v>
      </c>
      <c r="K10" t="s">
        <v>6963</v>
      </c>
      <c r="L10">
        <v>60</v>
      </c>
      <c r="N10" s="25">
        <v>600</v>
      </c>
      <c r="O10" s="25">
        <v>14489</v>
      </c>
      <c r="P10" s="25">
        <v>8693400</v>
      </c>
      <c r="Q10" t="s">
        <v>78</v>
      </c>
      <c r="R10" t="s">
        <v>7006</v>
      </c>
      <c r="S10" t="s">
        <v>7002</v>
      </c>
      <c r="T10" s="29">
        <f t="shared" si="0"/>
        <v>13415.740740740739</v>
      </c>
      <c r="U10" s="29">
        <f t="shared" si="1"/>
        <v>8049444.4444444431</v>
      </c>
      <c r="V10" s="29">
        <f t="shared" si="2"/>
        <v>94400037.03703703</v>
      </c>
      <c r="W10" s="29" t="str">
        <f t="shared" si="8"/>
        <v/>
      </c>
      <c r="X10" s="29" t="str">
        <f t="shared" si="3"/>
        <v/>
      </c>
      <c r="Y10" s="32" t="str">
        <f t="shared" si="4"/>
        <v/>
      </c>
      <c r="Z10" s="29" t="str">
        <f t="shared" si="5"/>
        <v/>
      </c>
      <c r="AA10" s="29" t="str">
        <f t="shared" si="9"/>
        <v/>
      </c>
      <c r="AB10" s="29" t="str">
        <f t="shared" si="6"/>
        <v/>
      </c>
      <c r="AC10" t="str">
        <f t="shared" si="7"/>
        <v/>
      </c>
    </row>
    <row r="11" spans="1:29" x14ac:dyDescent="0.3">
      <c r="A11" t="s">
        <v>7009</v>
      </c>
      <c r="B11" t="s">
        <v>7010</v>
      </c>
      <c r="C11" t="s">
        <v>6996</v>
      </c>
      <c r="D11" t="s">
        <v>6997</v>
      </c>
      <c r="E11" t="s">
        <v>6946</v>
      </c>
      <c r="F11" t="s">
        <v>7011</v>
      </c>
      <c r="I11">
        <v>24</v>
      </c>
      <c r="J11">
        <v>65251314</v>
      </c>
      <c r="K11" t="s">
        <v>415</v>
      </c>
      <c r="L11">
        <v>6</v>
      </c>
      <c r="N11" s="25">
        <v>60</v>
      </c>
      <c r="O11" s="25">
        <v>83439</v>
      </c>
      <c r="P11" s="25">
        <v>5006340</v>
      </c>
      <c r="Q11" t="s">
        <v>78</v>
      </c>
      <c r="R11" t="s">
        <v>7004</v>
      </c>
      <c r="S11" t="s">
        <v>7002</v>
      </c>
      <c r="T11" s="29">
        <f t="shared" si="0"/>
        <v>77258.333333333328</v>
      </c>
      <c r="U11" s="29">
        <f t="shared" si="1"/>
        <v>4635500</v>
      </c>
      <c r="V11" s="29">
        <f t="shared" si="2"/>
        <v>94400037.03703703</v>
      </c>
      <c r="W11" s="29" t="str">
        <f t="shared" si="8"/>
        <v/>
      </c>
      <c r="X11" s="29" t="str">
        <f t="shared" si="3"/>
        <v/>
      </c>
      <c r="Y11" s="32" t="str">
        <f t="shared" si="4"/>
        <v/>
      </c>
      <c r="Z11" s="29" t="str">
        <f t="shared" si="5"/>
        <v/>
      </c>
      <c r="AA11" s="29" t="str">
        <f t="shared" si="9"/>
        <v/>
      </c>
      <c r="AB11" s="29" t="str">
        <f t="shared" si="6"/>
        <v/>
      </c>
      <c r="AC11" t="str">
        <f t="shared" si="7"/>
        <v/>
      </c>
    </row>
    <row r="12" spans="1:29" x14ac:dyDescent="0.3">
      <c r="A12" t="s">
        <v>7009</v>
      </c>
      <c r="B12" t="s">
        <v>7010</v>
      </c>
      <c r="C12" t="s">
        <v>6996</v>
      </c>
      <c r="D12" t="s">
        <v>6997</v>
      </c>
      <c r="E12" t="s">
        <v>6946</v>
      </c>
      <c r="F12" t="s">
        <v>7011</v>
      </c>
      <c r="I12">
        <v>25</v>
      </c>
      <c r="J12">
        <v>65252542</v>
      </c>
      <c r="K12" t="s">
        <v>413</v>
      </c>
      <c r="L12">
        <v>8</v>
      </c>
      <c r="N12" s="25">
        <v>160</v>
      </c>
      <c r="O12" s="25">
        <v>57375</v>
      </c>
      <c r="P12" s="25">
        <v>9180000</v>
      </c>
      <c r="Q12" t="s">
        <v>78</v>
      </c>
      <c r="R12" t="s">
        <v>7004</v>
      </c>
      <c r="S12" t="s">
        <v>7002</v>
      </c>
      <c r="T12" s="29">
        <f t="shared" si="0"/>
        <v>53125</v>
      </c>
      <c r="U12" s="29">
        <f t="shared" si="1"/>
        <v>8500000</v>
      </c>
      <c r="V12" s="29">
        <f t="shared" si="2"/>
        <v>94400037.03703703</v>
      </c>
      <c r="W12" s="29" t="str">
        <f t="shared" si="8"/>
        <v/>
      </c>
      <c r="X12" s="29" t="str">
        <f t="shared" si="3"/>
        <v/>
      </c>
      <c r="Y12" s="32" t="str">
        <f t="shared" si="4"/>
        <v/>
      </c>
      <c r="Z12" s="29" t="str">
        <f t="shared" si="5"/>
        <v/>
      </c>
      <c r="AA12" s="29" t="str">
        <f t="shared" si="9"/>
        <v/>
      </c>
      <c r="AB12" s="29" t="str">
        <f t="shared" si="6"/>
        <v/>
      </c>
      <c r="AC12" t="str">
        <f t="shared" si="7"/>
        <v/>
      </c>
    </row>
    <row r="13" spans="1:29" x14ac:dyDescent="0.3">
      <c r="N13" s="25"/>
      <c r="O13" s="25"/>
      <c r="P13" s="25"/>
      <c r="T13" s="29">
        <f t="shared" si="0"/>
        <v>0</v>
      </c>
      <c r="U13" s="29">
        <f t="shared" si="1"/>
        <v>0</v>
      </c>
      <c r="V13" s="29">
        <f t="shared" si="2"/>
        <v>0</v>
      </c>
      <c r="W13" s="29">
        <f t="shared" si="8"/>
        <v>0</v>
      </c>
      <c r="X13" s="29" t="str">
        <f t="shared" si="3"/>
        <v/>
      </c>
      <c r="Y13" s="32" t="str">
        <f t="shared" si="4"/>
        <v/>
      </c>
      <c r="Z13" s="29" t="str">
        <f t="shared" si="5"/>
        <v/>
      </c>
      <c r="AA13" s="29">
        <f t="shared" si="9"/>
        <v>0</v>
      </c>
      <c r="AB13" s="29" t="str">
        <f t="shared" si="6"/>
        <v/>
      </c>
      <c r="AC13" t="str">
        <f t="shared" si="7"/>
        <v/>
      </c>
    </row>
    <row r="14" spans="1:29" x14ac:dyDescent="0.3">
      <c r="N14" s="25"/>
      <c r="O14" s="25"/>
      <c r="P14" s="25"/>
      <c r="T14" s="29">
        <f t="shared" si="0"/>
        <v>0</v>
      </c>
      <c r="U14" s="29">
        <f t="shared" si="1"/>
        <v>0</v>
      </c>
      <c r="V14" s="29">
        <f t="shared" si="2"/>
        <v>0</v>
      </c>
      <c r="W14" s="29" t="str">
        <f t="shared" si="8"/>
        <v/>
      </c>
      <c r="X14" s="29" t="str">
        <f t="shared" si="3"/>
        <v/>
      </c>
      <c r="Y14" s="32" t="str">
        <f t="shared" si="4"/>
        <v/>
      </c>
      <c r="Z14" s="29" t="str">
        <f t="shared" si="5"/>
        <v/>
      </c>
      <c r="AA14" s="29" t="str">
        <f t="shared" si="9"/>
        <v/>
      </c>
      <c r="AB14" s="29" t="str">
        <f t="shared" si="6"/>
        <v/>
      </c>
      <c r="AC14" t="str">
        <f t="shared" si="7"/>
        <v/>
      </c>
    </row>
    <row r="15" spans="1:29" x14ac:dyDescent="0.3">
      <c r="N15" s="25"/>
      <c r="O15" s="25"/>
      <c r="P15" s="25"/>
      <c r="T15" s="29">
        <f t="shared" si="0"/>
        <v>0</v>
      </c>
      <c r="U15" s="29">
        <f t="shared" si="1"/>
        <v>0</v>
      </c>
      <c r="V15" s="29">
        <f t="shared" si="2"/>
        <v>0</v>
      </c>
      <c r="W15" s="29" t="str">
        <f t="shared" si="8"/>
        <v/>
      </c>
      <c r="X15" s="29" t="str">
        <f t="shared" si="3"/>
        <v/>
      </c>
      <c r="Y15" s="32" t="str">
        <f t="shared" si="4"/>
        <v/>
      </c>
      <c r="Z15" s="29" t="str">
        <f t="shared" si="5"/>
        <v/>
      </c>
      <c r="AA15" s="29" t="str">
        <f t="shared" si="9"/>
        <v/>
      </c>
      <c r="AB15" s="29" t="str">
        <f t="shared" si="6"/>
        <v/>
      </c>
      <c r="AC15" t="str">
        <f t="shared" si="7"/>
        <v/>
      </c>
    </row>
    <row r="16" spans="1:29" x14ac:dyDescent="0.3">
      <c r="N16" s="25"/>
      <c r="O16" s="25"/>
      <c r="P16" s="25"/>
      <c r="T16" s="29">
        <f t="shared" si="0"/>
        <v>0</v>
      </c>
      <c r="U16" s="29">
        <f t="shared" si="1"/>
        <v>0</v>
      </c>
      <c r="V16" s="29">
        <f t="shared" si="2"/>
        <v>0</v>
      </c>
      <c r="W16" s="29" t="str">
        <f t="shared" si="8"/>
        <v/>
      </c>
      <c r="X16" s="29" t="str">
        <f t="shared" si="3"/>
        <v/>
      </c>
      <c r="Y16" s="32" t="str">
        <f t="shared" si="4"/>
        <v/>
      </c>
      <c r="Z16" s="29" t="str">
        <f t="shared" si="5"/>
        <v/>
      </c>
      <c r="AA16" s="29" t="str">
        <f t="shared" si="9"/>
        <v/>
      </c>
      <c r="AB16" s="29" t="str">
        <f t="shared" si="6"/>
        <v/>
      </c>
      <c r="AC16" t="str">
        <f t="shared" si="7"/>
        <v/>
      </c>
    </row>
    <row r="17" spans="14:29" x14ac:dyDescent="0.3">
      <c r="N17" s="25"/>
      <c r="O17" s="25"/>
      <c r="P17" s="25"/>
      <c r="T17" s="29">
        <f t="shared" si="0"/>
        <v>0</v>
      </c>
      <c r="U17" s="29">
        <f t="shared" si="1"/>
        <v>0</v>
      </c>
      <c r="V17" s="29">
        <f t="shared" si="2"/>
        <v>0</v>
      </c>
      <c r="W17" s="29" t="str">
        <f t="shared" si="8"/>
        <v/>
      </c>
      <c r="X17" s="29" t="str">
        <f t="shared" si="3"/>
        <v/>
      </c>
      <c r="Y17" s="32" t="str">
        <f t="shared" si="4"/>
        <v/>
      </c>
      <c r="Z17" s="29" t="str">
        <f t="shared" si="5"/>
        <v/>
      </c>
      <c r="AA17" s="29" t="str">
        <f t="shared" si="9"/>
        <v/>
      </c>
      <c r="AB17" s="29" t="str">
        <f t="shared" si="6"/>
        <v/>
      </c>
      <c r="AC17" t="str">
        <f t="shared" si="7"/>
        <v/>
      </c>
    </row>
    <row r="18" spans="14:29" x14ac:dyDescent="0.3">
      <c r="N18" s="25"/>
      <c r="O18" s="25"/>
      <c r="P18" s="25"/>
      <c r="T18" s="29">
        <f t="shared" si="0"/>
        <v>0</v>
      </c>
      <c r="U18" s="29">
        <f t="shared" si="1"/>
        <v>0</v>
      </c>
      <c r="V18" s="29">
        <f t="shared" si="2"/>
        <v>0</v>
      </c>
      <c r="W18" s="29" t="str">
        <f t="shared" si="8"/>
        <v/>
      </c>
      <c r="X18" s="29" t="str">
        <f t="shared" si="3"/>
        <v/>
      </c>
      <c r="Y18" s="32" t="str">
        <f t="shared" si="4"/>
        <v/>
      </c>
      <c r="Z18" s="29" t="str">
        <f t="shared" si="5"/>
        <v/>
      </c>
      <c r="AA18" s="29" t="str">
        <f t="shared" si="9"/>
        <v/>
      </c>
      <c r="AB18" s="29" t="str">
        <f t="shared" si="6"/>
        <v/>
      </c>
      <c r="AC18" t="str">
        <f t="shared" si="7"/>
        <v/>
      </c>
    </row>
    <row r="19" spans="14:29" x14ac:dyDescent="0.3">
      <c r="N19" s="25"/>
      <c r="O19" s="25"/>
      <c r="P19" s="25"/>
      <c r="T19" s="29">
        <f t="shared" si="0"/>
        <v>0</v>
      </c>
      <c r="U19" s="29">
        <f t="shared" si="1"/>
        <v>0</v>
      </c>
      <c r="V19" s="29">
        <f t="shared" si="2"/>
        <v>0</v>
      </c>
      <c r="W19" s="29" t="str">
        <f t="shared" si="8"/>
        <v/>
      </c>
      <c r="X19" s="29" t="str">
        <f t="shared" si="3"/>
        <v/>
      </c>
      <c r="Y19" s="32" t="str">
        <f t="shared" si="4"/>
        <v/>
      </c>
      <c r="Z19" s="29" t="str">
        <f t="shared" si="5"/>
        <v/>
      </c>
      <c r="AA19" s="29" t="str">
        <f t="shared" si="9"/>
        <v/>
      </c>
      <c r="AB19" s="29" t="str">
        <f t="shared" si="6"/>
        <v/>
      </c>
      <c r="AC19" t="str">
        <f t="shared" si="7"/>
        <v/>
      </c>
    </row>
    <row r="20" spans="14:29" x14ac:dyDescent="0.3">
      <c r="N20" s="25"/>
      <c r="O20" s="25"/>
      <c r="P20" s="25"/>
      <c r="T20" s="29">
        <f t="shared" si="0"/>
        <v>0</v>
      </c>
      <c r="U20" s="29">
        <f t="shared" si="1"/>
        <v>0</v>
      </c>
      <c r="V20" s="29">
        <f t="shared" si="2"/>
        <v>0</v>
      </c>
      <c r="W20" s="29" t="str">
        <f t="shared" si="8"/>
        <v/>
      </c>
      <c r="X20" s="29" t="str">
        <f t="shared" si="3"/>
        <v/>
      </c>
      <c r="Y20" s="32" t="str">
        <f t="shared" si="4"/>
        <v/>
      </c>
      <c r="Z20" s="29" t="str">
        <f t="shared" si="5"/>
        <v/>
      </c>
      <c r="AA20" s="29" t="str">
        <f t="shared" si="9"/>
        <v/>
      </c>
      <c r="AB20" s="29" t="str">
        <f t="shared" si="6"/>
        <v/>
      </c>
      <c r="AC20" t="str">
        <f t="shared" si="7"/>
        <v/>
      </c>
    </row>
    <row r="21" spans="14:29" x14ac:dyDescent="0.3">
      <c r="N21" s="25"/>
      <c r="O21" s="25"/>
      <c r="P21" s="25"/>
      <c r="T21" s="29">
        <f t="shared" si="0"/>
        <v>0</v>
      </c>
      <c r="U21" s="29">
        <f t="shared" si="1"/>
        <v>0</v>
      </c>
      <c r="V21" s="29">
        <f t="shared" si="2"/>
        <v>0</v>
      </c>
      <c r="W21" s="29" t="str">
        <f t="shared" si="8"/>
        <v/>
      </c>
      <c r="X21" s="29" t="str">
        <f t="shared" si="3"/>
        <v/>
      </c>
      <c r="Y21" s="32" t="str">
        <f t="shared" si="4"/>
        <v/>
      </c>
      <c r="Z21" s="29" t="str">
        <f t="shared" si="5"/>
        <v/>
      </c>
      <c r="AA21" s="29" t="str">
        <f t="shared" si="9"/>
        <v/>
      </c>
      <c r="AB21" s="29" t="str">
        <f t="shared" si="6"/>
        <v/>
      </c>
      <c r="AC21" t="str">
        <f t="shared" si="7"/>
        <v/>
      </c>
    </row>
    <row r="22" spans="14:29" x14ac:dyDescent="0.3">
      <c r="N22" s="25"/>
      <c r="O22" s="25"/>
      <c r="P22" s="25"/>
      <c r="T22" s="29">
        <f t="shared" si="0"/>
        <v>0</v>
      </c>
      <c r="U22" s="29">
        <f t="shared" si="1"/>
        <v>0</v>
      </c>
      <c r="V22" s="29">
        <f t="shared" si="2"/>
        <v>0</v>
      </c>
      <c r="W22" s="29" t="str">
        <f t="shared" si="8"/>
        <v/>
      </c>
      <c r="X22" s="29" t="str">
        <f t="shared" si="3"/>
        <v/>
      </c>
      <c r="Y22" s="32" t="str">
        <f t="shared" si="4"/>
        <v/>
      </c>
      <c r="Z22" s="29" t="str">
        <f t="shared" si="5"/>
        <v/>
      </c>
      <c r="AA22" s="29" t="str">
        <f t="shared" si="9"/>
        <v/>
      </c>
      <c r="AB22" s="29" t="str">
        <f t="shared" si="6"/>
        <v/>
      </c>
      <c r="AC22" t="str">
        <f t="shared" si="7"/>
        <v/>
      </c>
    </row>
    <row r="23" spans="14:29" x14ac:dyDescent="0.3">
      <c r="N23" s="25"/>
      <c r="O23" s="25"/>
      <c r="P23" s="25"/>
      <c r="T23" s="29">
        <f t="shared" si="0"/>
        <v>0</v>
      </c>
      <c r="U23" s="29">
        <f t="shared" si="1"/>
        <v>0</v>
      </c>
      <c r="V23" s="29">
        <f t="shared" si="2"/>
        <v>0</v>
      </c>
      <c r="W23" s="29" t="str">
        <f t="shared" si="8"/>
        <v/>
      </c>
      <c r="X23" s="29" t="str">
        <f t="shared" si="3"/>
        <v/>
      </c>
      <c r="Y23" s="32" t="str">
        <f t="shared" si="4"/>
        <v/>
      </c>
      <c r="Z23" s="29" t="str">
        <f t="shared" si="5"/>
        <v/>
      </c>
      <c r="AA23" s="29" t="str">
        <f t="shared" si="9"/>
        <v/>
      </c>
      <c r="AB23" s="29" t="str">
        <f t="shared" si="6"/>
        <v/>
      </c>
      <c r="AC23" t="str">
        <f t="shared" si="7"/>
        <v/>
      </c>
    </row>
    <row r="24" spans="14:29" x14ac:dyDescent="0.3">
      <c r="N24" s="25"/>
      <c r="O24" s="25"/>
      <c r="P24" s="25"/>
      <c r="T24" s="29">
        <f t="shared" si="0"/>
        <v>0</v>
      </c>
      <c r="U24" s="29">
        <f t="shared" si="1"/>
        <v>0</v>
      </c>
      <c r="V24" s="29">
        <f t="shared" si="2"/>
        <v>0</v>
      </c>
      <c r="W24" s="29" t="str">
        <f t="shared" si="8"/>
        <v/>
      </c>
      <c r="X24" s="29" t="str">
        <f t="shared" si="3"/>
        <v/>
      </c>
      <c r="Y24" s="32" t="str">
        <f t="shared" si="4"/>
        <v/>
      </c>
      <c r="Z24" s="29" t="str">
        <f t="shared" si="5"/>
        <v/>
      </c>
      <c r="AA24" s="29" t="str">
        <f t="shared" si="9"/>
        <v/>
      </c>
      <c r="AB24" s="29" t="str">
        <f t="shared" si="6"/>
        <v/>
      </c>
      <c r="AC24" t="str">
        <f t="shared" si="7"/>
        <v/>
      </c>
    </row>
    <row r="25" spans="14:29" x14ac:dyDescent="0.3">
      <c r="N25" s="25"/>
      <c r="O25" s="25"/>
      <c r="P25" s="25"/>
      <c r="T25" s="29">
        <f t="shared" si="0"/>
        <v>0</v>
      </c>
      <c r="U25" s="29">
        <f t="shared" si="1"/>
        <v>0</v>
      </c>
      <c r="V25" s="29">
        <f t="shared" si="2"/>
        <v>0</v>
      </c>
      <c r="W25" s="29" t="str">
        <f t="shared" si="8"/>
        <v/>
      </c>
      <c r="X25" s="29" t="str">
        <f t="shared" si="3"/>
        <v/>
      </c>
      <c r="Y25" s="32" t="str">
        <f t="shared" si="4"/>
        <v/>
      </c>
      <c r="Z25" s="29" t="str">
        <f t="shared" si="5"/>
        <v/>
      </c>
      <c r="AA25" s="29" t="str">
        <f t="shared" si="9"/>
        <v/>
      </c>
      <c r="AB25" s="29" t="str">
        <f t="shared" si="6"/>
        <v/>
      </c>
      <c r="AC25" t="str">
        <f t="shared" si="7"/>
        <v/>
      </c>
    </row>
    <row r="26" spans="14:29" x14ac:dyDescent="0.3">
      <c r="O26" s="25"/>
      <c r="P26" s="25"/>
      <c r="T26" s="29">
        <f t="shared" si="0"/>
        <v>0</v>
      </c>
      <c r="U26" s="29">
        <f t="shared" si="1"/>
        <v>0</v>
      </c>
      <c r="V26" s="29">
        <f t="shared" si="2"/>
        <v>0</v>
      </c>
      <c r="W26" s="29" t="str">
        <f t="shared" si="8"/>
        <v/>
      </c>
      <c r="X26" s="29" t="str">
        <f t="shared" si="3"/>
        <v/>
      </c>
      <c r="Y26" s="32" t="str">
        <f t="shared" si="4"/>
        <v/>
      </c>
      <c r="Z26" s="29" t="str">
        <f t="shared" si="5"/>
        <v/>
      </c>
      <c r="AA26" s="29" t="str">
        <f t="shared" si="9"/>
        <v/>
      </c>
      <c r="AB26" s="29" t="str">
        <f t="shared" si="6"/>
        <v/>
      </c>
      <c r="AC26" t="str">
        <f t="shared" si="7"/>
        <v/>
      </c>
    </row>
    <row r="27" spans="14:29" x14ac:dyDescent="0.3">
      <c r="N27" s="25"/>
      <c r="O27" s="25"/>
      <c r="P27" s="25"/>
      <c r="T27" s="29">
        <f t="shared" si="0"/>
        <v>0</v>
      </c>
      <c r="U27" s="29">
        <f t="shared" si="1"/>
        <v>0</v>
      </c>
      <c r="V27" s="29">
        <f t="shared" si="2"/>
        <v>0</v>
      </c>
      <c r="W27" s="29" t="str">
        <f t="shared" si="8"/>
        <v/>
      </c>
      <c r="X27" s="29" t="str">
        <f t="shared" si="3"/>
        <v/>
      </c>
      <c r="Y27" s="32" t="str">
        <f t="shared" si="4"/>
        <v/>
      </c>
      <c r="Z27" s="29" t="str">
        <f t="shared" si="5"/>
        <v/>
      </c>
      <c r="AA27" s="29" t="str">
        <f t="shared" si="9"/>
        <v/>
      </c>
      <c r="AB27" s="29" t="str">
        <f t="shared" si="6"/>
        <v/>
      </c>
      <c r="AC27" t="str">
        <f t="shared" si="7"/>
        <v/>
      </c>
    </row>
    <row r="28" spans="14:29" x14ac:dyDescent="0.3">
      <c r="N28" s="25"/>
      <c r="O28" s="25"/>
      <c r="P28" s="25"/>
      <c r="T28" s="29">
        <f t="shared" si="0"/>
        <v>0</v>
      </c>
      <c r="U28" s="29">
        <f t="shared" si="1"/>
        <v>0</v>
      </c>
      <c r="V28" s="29">
        <f t="shared" si="2"/>
        <v>0</v>
      </c>
      <c r="W28" s="29" t="str">
        <f t="shared" si="8"/>
        <v/>
      </c>
      <c r="X28" s="29" t="str">
        <f t="shared" si="3"/>
        <v/>
      </c>
      <c r="Y28" s="32" t="str">
        <f t="shared" si="4"/>
        <v/>
      </c>
      <c r="Z28" s="29" t="str">
        <f t="shared" si="5"/>
        <v/>
      </c>
      <c r="AA28" s="29" t="str">
        <f t="shared" si="9"/>
        <v/>
      </c>
      <c r="AB28" s="29" t="str">
        <f t="shared" si="6"/>
        <v/>
      </c>
      <c r="AC28" t="str">
        <f t="shared" si="7"/>
        <v/>
      </c>
    </row>
    <row r="29" spans="14:29" x14ac:dyDescent="0.3">
      <c r="N29" s="25"/>
      <c r="O29" s="25"/>
      <c r="P29" s="25"/>
      <c r="T29" s="29">
        <f t="shared" si="0"/>
        <v>0</v>
      </c>
      <c r="U29" s="29">
        <f t="shared" si="1"/>
        <v>0</v>
      </c>
      <c r="V29" s="29">
        <f t="shared" si="2"/>
        <v>0</v>
      </c>
      <c r="W29" s="29" t="str">
        <f t="shared" si="8"/>
        <v/>
      </c>
      <c r="X29" s="29" t="str">
        <f t="shared" si="3"/>
        <v/>
      </c>
      <c r="Y29" s="32" t="str">
        <f t="shared" si="4"/>
        <v/>
      </c>
      <c r="Z29" s="29" t="str">
        <f t="shared" si="5"/>
        <v/>
      </c>
      <c r="AA29" s="29" t="str">
        <f t="shared" si="9"/>
        <v/>
      </c>
      <c r="AB29" s="29" t="str">
        <f t="shared" si="6"/>
        <v/>
      </c>
      <c r="AC29" t="str">
        <f t="shared" si="7"/>
        <v/>
      </c>
    </row>
    <row r="30" spans="14:29" x14ac:dyDescent="0.3">
      <c r="N30" s="25"/>
      <c r="O30" s="25"/>
      <c r="P30" s="25"/>
      <c r="T30" s="29">
        <f t="shared" si="0"/>
        <v>0</v>
      </c>
      <c r="U30" s="29">
        <f t="shared" si="1"/>
        <v>0</v>
      </c>
      <c r="V30" s="29">
        <f t="shared" si="2"/>
        <v>0</v>
      </c>
      <c r="W30" s="29" t="str">
        <f t="shared" si="8"/>
        <v/>
      </c>
      <c r="X30" s="29" t="str">
        <f t="shared" si="3"/>
        <v/>
      </c>
      <c r="Y30" s="32" t="str">
        <f t="shared" si="4"/>
        <v/>
      </c>
      <c r="Z30" s="29" t="str">
        <f t="shared" si="5"/>
        <v/>
      </c>
      <c r="AA30" s="29" t="str">
        <f t="shared" si="9"/>
        <v/>
      </c>
      <c r="AB30" s="29" t="str">
        <f t="shared" si="6"/>
        <v/>
      </c>
      <c r="AC30" t="str">
        <f t="shared" si="7"/>
        <v/>
      </c>
    </row>
    <row r="31" spans="14:29" x14ac:dyDescent="0.3">
      <c r="N31" s="25"/>
      <c r="O31" s="25"/>
      <c r="P31" s="25"/>
      <c r="T31" s="29">
        <f t="shared" si="0"/>
        <v>0</v>
      </c>
      <c r="U31" s="29">
        <f t="shared" si="1"/>
        <v>0</v>
      </c>
      <c r="V31" s="29">
        <f t="shared" si="2"/>
        <v>0</v>
      </c>
      <c r="W31" s="29" t="str">
        <f t="shared" si="8"/>
        <v/>
      </c>
      <c r="X31" s="29" t="str">
        <f t="shared" si="3"/>
        <v/>
      </c>
      <c r="Y31" s="32" t="str">
        <f t="shared" si="4"/>
        <v/>
      </c>
      <c r="Z31" s="29" t="str">
        <f t="shared" si="5"/>
        <v/>
      </c>
      <c r="AA31" s="29" t="str">
        <f t="shared" si="9"/>
        <v/>
      </c>
      <c r="AB31" s="29" t="str">
        <f t="shared" si="6"/>
        <v/>
      </c>
      <c r="AC31" t="str">
        <f t="shared" si="7"/>
        <v/>
      </c>
    </row>
    <row r="32" spans="14:29" x14ac:dyDescent="0.3">
      <c r="N32" s="25"/>
      <c r="O32" s="25"/>
      <c r="P32" s="25"/>
      <c r="T32" s="29">
        <f t="shared" si="0"/>
        <v>0</v>
      </c>
      <c r="U32" s="29">
        <f t="shared" si="1"/>
        <v>0</v>
      </c>
      <c r="V32" s="29">
        <f t="shared" si="2"/>
        <v>0</v>
      </c>
      <c r="W32" s="29" t="str">
        <f t="shared" si="8"/>
        <v/>
      </c>
      <c r="X32" s="29" t="str">
        <f t="shared" si="3"/>
        <v/>
      </c>
      <c r="Y32" s="32" t="str">
        <f t="shared" si="4"/>
        <v/>
      </c>
      <c r="Z32" s="29" t="str">
        <f t="shared" si="5"/>
        <v/>
      </c>
      <c r="AA32" s="29" t="str">
        <f t="shared" si="9"/>
        <v/>
      </c>
      <c r="AB32" s="29" t="str">
        <f t="shared" si="6"/>
        <v/>
      </c>
      <c r="AC32" t="str">
        <f t="shared" si="7"/>
        <v/>
      </c>
    </row>
    <row r="33" spans="14:29" x14ac:dyDescent="0.3">
      <c r="N33" s="25"/>
      <c r="O33" s="25"/>
      <c r="P33" s="25"/>
      <c r="T33" s="29">
        <f t="shared" si="0"/>
        <v>0</v>
      </c>
      <c r="U33" s="29">
        <f t="shared" si="1"/>
        <v>0</v>
      </c>
      <c r="V33" s="29">
        <f t="shared" si="2"/>
        <v>0</v>
      </c>
      <c r="W33" s="29" t="str">
        <f t="shared" si="8"/>
        <v/>
      </c>
      <c r="X33" s="29" t="str">
        <f t="shared" si="3"/>
        <v/>
      </c>
      <c r="Y33" s="32" t="str">
        <f t="shared" si="4"/>
        <v/>
      </c>
      <c r="Z33" s="29" t="str">
        <f t="shared" si="5"/>
        <v/>
      </c>
      <c r="AA33" s="29" t="str">
        <f t="shared" si="9"/>
        <v/>
      </c>
      <c r="AB33" s="29" t="str">
        <f t="shared" si="6"/>
        <v/>
      </c>
      <c r="AC33" t="str">
        <f t="shared" si="7"/>
        <v/>
      </c>
    </row>
    <row r="34" spans="14:29" x14ac:dyDescent="0.3">
      <c r="N34" s="25"/>
      <c r="O34" s="25"/>
      <c r="P34" s="25"/>
      <c r="T34" s="29">
        <f t="shared" si="0"/>
        <v>0</v>
      </c>
      <c r="U34" s="29">
        <f t="shared" si="1"/>
        <v>0</v>
      </c>
      <c r="V34" s="29">
        <f t="shared" si="2"/>
        <v>0</v>
      </c>
      <c r="W34" s="29" t="str">
        <f t="shared" si="8"/>
        <v/>
      </c>
      <c r="X34" s="29" t="str">
        <f t="shared" si="3"/>
        <v/>
      </c>
      <c r="Y34" s="32" t="str">
        <f t="shared" si="4"/>
        <v/>
      </c>
      <c r="Z34" s="29" t="str">
        <f t="shared" si="5"/>
        <v/>
      </c>
      <c r="AA34" s="29" t="str">
        <f t="shared" si="9"/>
        <v/>
      </c>
      <c r="AB34" s="29" t="str">
        <f t="shared" si="6"/>
        <v/>
      </c>
      <c r="AC34" t="str">
        <f t="shared" si="7"/>
        <v/>
      </c>
    </row>
    <row r="35" spans="14:29" x14ac:dyDescent="0.3">
      <c r="O35" s="25"/>
      <c r="P35" s="25"/>
      <c r="T35" s="29">
        <f t="shared" si="0"/>
        <v>0</v>
      </c>
      <c r="U35" s="29">
        <f t="shared" si="1"/>
        <v>0</v>
      </c>
      <c r="V35" s="29">
        <f t="shared" si="2"/>
        <v>0</v>
      </c>
      <c r="W35" s="29" t="str">
        <f t="shared" si="8"/>
        <v/>
      </c>
      <c r="X35" s="29" t="str">
        <f t="shared" si="3"/>
        <v/>
      </c>
      <c r="Y35" s="32" t="str">
        <f t="shared" si="4"/>
        <v/>
      </c>
      <c r="Z35" s="29" t="str">
        <f t="shared" si="5"/>
        <v/>
      </c>
      <c r="AA35" s="29" t="str">
        <f t="shared" si="9"/>
        <v/>
      </c>
      <c r="AB35" s="29" t="str">
        <f t="shared" si="6"/>
        <v/>
      </c>
      <c r="AC35" t="str">
        <f t="shared" si="7"/>
        <v/>
      </c>
    </row>
    <row r="36" spans="14:29" x14ac:dyDescent="0.3">
      <c r="O36" s="25"/>
      <c r="P36" s="25"/>
      <c r="T36" s="29">
        <f t="shared" si="0"/>
        <v>0</v>
      </c>
      <c r="U36" s="29">
        <f t="shared" si="1"/>
        <v>0</v>
      </c>
      <c r="V36" s="29">
        <f t="shared" si="2"/>
        <v>0</v>
      </c>
      <c r="W36" s="29" t="str">
        <f t="shared" si="8"/>
        <v/>
      </c>
      <c r="X36" s="29" t="str">
        <f t="shared" si="3"/>
        <v/>
      </c>
      <c r="Y36" s="32" t="str">
        <f t="shared" si="4"/>
        <v/>
      </c>
      <c r="Z36" s="29" t="str">
        <f t="shared" si="5"/>
        <v/>
      </c>
      <c r="AA36" s="29" t="str">
        <f t="shared" si="9"/>
        <v/>
      </c>
      <c r="AB36" s="29" t="str">
        <f t="shared" si="6"/>
        <v/>
      </c>
      <c r="AC36" t="str">
        <f t="shared" si="7"/>
        <v/>
      </c>
    </row>
    <row r="37" spans="14:29" x14ac:dyDescent="0.3">
      <c r="O37" s="25"/>
      <c r="P37" s="25"/>
      <c r="T37" s="29">
        <f t="shared" si="0"/>
        <v>0</v>
      </c>
      <c r="U37" s="29">
        <f t="shared" si="1"/>
        <v>0</v>
      </c>
      <c r="V37" s="29">
        <f t="shared" si="2"/>
        <v>0</v>
      </c>
      <c r="W37" s="29" t="str">
        <f t="shared" si="8"/>
        <v/>
      </c>
      <c r="X37" s="29" t="str">
        <f t="shared" si="3"/>
        <v/>
      </c>
      <c r="Y37" s="32" t="str">
        <f t="shared" si="4"/>
        <v/>
      </c>
      <c r="Z37" s="29" t="str">
        <f t="shared" si="5"/>
        <v/>
      </c>
      <c r="AA37" s="29" t="str">
        <f t="shared" si="9"/>
        <v/>
      </c>
      <c r="AB37" s="29" t="str">
        <f t="shared" si="6"/>
        <v/>
      </c>
      <c r="AC37" t="str">
        <f t="shared" si="7"/>
        <v/>
      </c>
    </row>
    <row r="38" spans="14:29" x14ac:dyDescent="0.3">
      <c r="O38" s="25"/>
      <c r="P38" s="25"/>
      <c r="T38" s="29">
        <f t="shared" si="0"/>
        <v>0</v>
      </c>
      <c r="U38" s="29">
        <f t="shared" si="1"/>
        <v>0</v>
      </c>
      <c r="V38" s="29">
        <f t="shared" si="2"/>
        <v>0</v>
      </c>
      <c r="W38" s="29" t="str">
        <f t="shared" si="8"/>
        <v/>
      </c>
      <c r="X38" s="29" t="str">
        <f t="shared" si="3"/>
        <v/>
      </c>
      <c r="Y38" s="32" t="str">
        <f t="shared" si="4"/>
        <v/>
      </c>
      <c r="Z38" s="29" t="str">
        <f t="shared" si="5"/>
        <v/>
      </c>
      <c r="AA38" s="29" t="str">
        <f t="shared" si="9"/>
        <v/>
      </c>
      <c r="AB38" s="29" t="str">
        <f t="shared" si="6"/>
        <v/>
      </c>
      <c r="AC38" t="str">
        <f t="shared" si="7"/>
        <v/>
      </c>
    </row>
    <row r="39" spans="14:29" x14ac:dyDescent="0.3">
      <c r="N39" s="25"/>
      <c r="O39" s="25"/>
      <c r="P39" s="25"/>
      <c r="T39" s="29">
        <f t="shared" si="0"/>
        <v>0</v>
      </c>
      <c r="U39" s="29">
        <f t="shared" si="1"/>
        <v>0</v>
      </c>
      <c r="V39" s="29">
        <f t="shared" si="2"/>
        <v>0</v>
      </c>
      <c r="W39" s="29" t="str">
        <f t="shared" si="8"/>
        <v/>
      </c>
      <c r="X39" s="29" t="str">
        <f t="shared" si="3"/>
        <v/>
      </c>
      <c r="Y39" s="32" t="str">
        <f t="shared" si="4"/>
        <v/>
      </c>
      <c r="Z39" s="29" t="str">
        <f t="shared" si="5"/>
        <v/>
      </c>
      <c r="AA39" s="29" t="str">
        <f t="shared" si="9"/>
        <v/>
      </c>
      <c r="AB39" s="29" t="str">
        <f t="shared" si="6"/>
        <v/>
      </c>
      <c r="AC39" t="str">
        <f t="shared" si="7"/>
        <v/>
      </c>
    </row>
    <row r="40" spans="14:29" x14ac:dyDescent="0.3">
      <c r="N40" s="25"/>
      <c r="O40" s="25"/>
      <c r="P40" s="25"/>
      <c r="T40" s="29">
        <f t="shared" si="0"/>
        <v>0</v>
      </c>
      <c r="U40" s="29">
        <f t="shared" si="1"/>
        <v>0</v>
      </c>
      <c r="V40" s="29">
        <f t="shared" si="2"/>
        <v>0</v>
      </c>
      <c r="W40" s="29" t="str">
        <f t="shared" si="8"/>
        <v/>
      </c>
      <c r="X40" s="29" t="str">
        <f t="shared" si="3"/>
        <v/>
      </c>
      <c r="Y40" s="32" t="str">
        <f t="shared" si="4"/>
        <v/>
      </c>
      <c r="Z40" s="29" t="str">
        <f t="shared" si="5"/>
        <v/>
      </c>
      <c r="AA40" s="29" t="str">
        <f t="shared" si="9"/>
        <v/>
      </c>
      <c r="AB40" s="29" t="str">
        <f t="shared" si="6"/>
        <v/>
      </c>
      <c r="AC40" t="str">
        <f t="shared" si="7"/>
        <v/>
      </c>
    </row>
    <row r="41" spans="14:29" x14ac:dyDescent="0.3">
      <c r="O41" s="25"/>
      <c r="P41" s="25"/>
      <c r="T41" s="29">
        <f t="shared" si="0"/>
        <v>0</v>
      </c>
      <c r="U41" s="29">
        <f t="shared" si="1"/>
        <v>0</v>
      </c>
      <c r="V41" s="29">
        <f t="shared" si="2"/>
        <v>0</v>
      </c>
      <c r="W41" s="29" t="str">
        <f t="shared" si="8"/>
        <v/>
      </c>
      <c r="X41" s="29" t="str">
        <f t="shared" si="3"/>
        <v/>
      </c>
      <c r="Y41" s="32" t="str">
        <f t="shared" si="4"/>
        <v/>
      </c>
      <c r="Z41" s="29" t="str">
        <f t="shared" si="5"/>
        <v/>
      </c>
      <c r="AA41" s="29" t="str">
        <f t="shared" si="9"/>
        <v/>
      </c>
      <c r="AB41" s="29" t="str">
        <f t="shared" si="6"/>
        <v/>
      </c>
      <c r="AC41" t="str">
        <f t="shared" si="7"/>
        <v/>
      </c>
    </row>
    <row r="42" spans="14:29" x14ac:dyDescent="0.3">
      <c r="N42" s="25"/>
      <c r="O42" s="25"/>
      <c r="P42" s="25"/>
      <c r="T42" s="29">
        <f t="shared" si="0"/>
        <v>0</v>
      </c>
      <c r="U42" s="29">
        <f t="shared" si="1"/>
        <v>0</v>
      </c>
      <c r="V42" s="29">
        <f t="shared" si="2"/>
        <v>0</v>
      </c>
      <c r="W42" s="29" t="str">
        <f t="shared" si="8"/>
        <v/>
      </c>
      <c r="X42" s="29" t="str">
        <f t="shared" si="3"/>
        <v/>
      </c>
      <c r="Y42" s="32" t="str">
        <f t="shared" si="4"/>
        <v/>
      </c>
      <c r="Z42" s="29" t="str">
        <f t="shared" si="5"/>
        <v/>
      </c>
      <c r="AA42" s="29" t="str">
        <f t="shared" si="9"/>
        <v/>
      </c>
      <c r="AB42" s="29" t="str">
        <f t="shared" si="6"/>
        <v/>
      </c>
      <c r="AC42" t="str">
        <f t="shared" si="7"/>
        <v/>
      </c>
    </row>
    <row r="43" spans="14:29" x14ac:dyDescent="0.3">
      <c r="O43" s="25"/>
      <c r="P43" s="25"/>
      <c r="T43" s="29">
        <f t="shared" si="0"/>
        <v>0</v>
      </c>
      <c r="U43" s="29">
        <f t="shared" si="1"/>
        <v>0</v>
      </c>
      <c r="V43" s="29">
        <f t="shared" si="2"/>
        <v>0</v>
      </c>
      <c r="W43" s="29" t="str">
        <f t="shared" si="8"/>
        <v/>
      </c>
      <c r="X43" s="29" t="str">
        <f t="shared" si="3"/>
        <v/>
      </c>
      <c r="Y43" s="32" t="str">
        <f t="shared" si="4"/>
        <v/>
      </c>
      <c r="Z43" s="29" t="str">
        <f t="shared" si="5"/>
        <v/>
      </c>
      <c r="AA43" s="29" t="str">
        <f t="shared" si="9"/>
        <v/>
      </c>
      <c r="AB43" s="29" t="str">
        <f t="shared" si="6"/>
        <v/>
      </c>
      <c r="AC43" t="str">
        <f t="shared" si="7"/>
        <v/>
      </c>
    </row>
    <row r="44" spans="14:29" x14ac:dyDescent="0.3">
      <c r="O44" s="25"/>
      <c r="P44" s="25"/>
      <c r="T44" s="29">
        <f t="shared" si="0"/>
        <v>0</v>
      </c>
      <c r="U44" s="29">
        <f t="shared" si="1"/>
        <v>0</v>
      </c>
      <c r="V44" s="29">
        <f t="shared" si="2"/>
        <v>0</v>
      </c>
      <c r="W44" s="29" t="str">
        <f t="shared" si="8"/>
        <v/>
      </c>
      <c r="X44" s="29" t="str">
        <f t="shared" si="3"/>
        <v/>
      </c>
      <c r="Y44" s="32" t="str">
        <f t="shared" si="4"/>
        <v/>
      </c>
      <c r="Z44" s="29" t="str">
        <f t="shared" si="5"/>
        <v/>
      </c>
      <c r="AA44" s="29" t="str">
        <f t="shared" si="9"/>
        <v/>
      </c>
      <c r="AB44" s="29" t="str">
        <f t="shared" si="6"/>
        <v/>
      </c>
      <c r="AC44" t="str">
        <f t="shared" si="7"/>
        <v/>
      </c>
    </row>
    <row r="45" spans="14:29" x14ac:dyDescent="0.3">
      <c r="O45" s="25"/>
      <c r="P45" s="25"/>
      <c r="T45" s="29">
        <f t="shared" si="0"/>
        <v>0</v>
      </c>
      <c r="U45" s="29">
        <f t="shared" si="1"/>
        <v>0</v>
      </c>
      <c r="V45" s="29">
        <f t="shared" si="2"/>
        <v>0</v>
      </c>
      <c r="W45" s="29" t="str">
        <f t="shared" si="8"/>
        <v/>
      </c>
      <c r="X45" s="29" t="str">
        <f t="shared" si="3"/>
        <v/>
      </c>
      <c r="Y45" s="32" t="str">
        <f t="shared" si="4"/>
        <v/>
      </c>
      <c r="Z45" s="29" t="str">
        <f t="shared" si="5"/>
        <v/>
      </c>
      <c r="AA45" s="29" t="str">
        <f t="shared" si="9"/>
        <v/>
      </c>
      <c r="AB45" s="29" t="str">
        <f t="shared" si="6"/>
        <v/>
      </c>
      <c r="AC45" t="str">
        <f t="shared" si="7"/>
        <v/>
      </c>
    </row>
    <row r="46" spans="14:29" x14ac:dyDescent="0.3">
      <c r="O46" s="25"/>
      <c r="P46" s="25"/>
      <c r="T46" s="29">
        <f t="shared" si="0"/>
        <v>0</v>
      </c>
      <c r="U46" s="29">
        <f t="shared" si="1"/>
        <v>0</v>
      </c>
      <c r="V46" s="29">
        <f t="shared" si="2"/>
        <v>0</v>
      </c>
      <c r="W46" s="29" t="str">
        <f t="shared" si="8"/>
        <v/>
      </c>
      <c r="X46" s="29" t="str">
        <f t="shared" si="3"/>
        <v/>
      </c>
      <c r="Y46" s="32" t="str">
        <f t="shared" si="4"/>
        <v/>
      </c>
      <c r="Z46" s="29" t="str">
        <f t="shared" si="5"/>
        <v/>
      </c>
      <c r="AA46" s="29" t="str">
        <f t="shared" si="9"/>
        <v/>
      </c>
      <c r="AB46" s="29" t="str">
        <f t="shared" si="6"/>
        <v/>
      </c>
      <c r="AC46" t="str">
        <f t="shared" si="7"/>
        <v/>
      </c>
    </row>
    <row r="47" spans="14:29" x14ac:dyDescent="0.3">
      <c r="O47" s="25"/>
      <c r="P47" s="25"/>
      <c r="T47" s="29">
        <f t="shared" si="0"/>
        <v>0</v>
      </c>
      <c r="U47" s="29">
        <f t="shared" si="1"/>
        <v>0</v>
      </c>
      <c r="V47" s="29">
        <f t="shared" si="2"/>
        <v>0</v>
      </c>
      <c r="W47" s="29" t="str">
        <f t="shared" si="8"/>
        <v/>
      </c>
      <c r="X47" s="29" t="str">
        <f t="shared" si="3"/>
        <v/>
      </c>
      <c r="Y47" s="32" t="str">
        <f t="shared" si="4"/>
        <v/>
      </c>
      <c r="Z47" s="29" t="str">
        <f t="shared" si="5"/>
        <v/>
      </c>
      <c r="AA47" s="29" t="str">
        <f t="shared" si="9"/>
        <v/>
      </c>
      <c r="AB47" s="29" t="str">
        <f t="shared" si="6"/>
        <v/>
      </c>
      <c r="AC47" t="str">
        <f t="shared" si="7"/>
        <v/>
      </c>
    </row>
    <row r="48" spans="14:29" x14ac:dyDescent="0.3">
      <c r="O48" s="25"/>
      <c r="P48" s="25"/>
      <c r="T48" s="29">
        <f t="shared" si="0"/>
        <v>0</v>
      </c>
      <c r="U48" s="29">
        <f t="shared" si="1"/>
        <v>0</v>
      </c>
      <c r="V48" s="29">
        <f t="shared" si="2"/>
        <v>0</v>
      </c>
      <c r="W48" s="29" t="str">
        <f t="shared" si="8"/>
        <v/>
      </c>
      <c r="X48" s="29" t="str">
        <f t="shared" si="3"/>
        <v/>
      </c>
      <c r="Y48" s="32" t="str">
        <f t="shared" si="4"/>
        <v/>
      </c>
      <c r="Z48" s="29" t="str">
        <f t="shared" si="5"/>
        <v/>
      </c>
      <c r="AA48" s="29" t="str">
        <f t="shared" si="9"/>
        <v/>
      </c>
      <c r="AB48" s="29" t="str">
        <f t="shared" si="6"/>
        <v/>
      </c>
      <c r="AC48" t="str">
        <f t="shared" si="7"/>
        <v/>
      </c>
    </row>
    <row r="49" spans="15:29" x14ac:dyDescent="0.3">
      <c r="O49" s="25"/>
      <c r="P49" s="25"/>
      <c r="T49" s="29">
        <f t="shared" si="0"/>
        <v>0</v>
      </c>
      <c r="U49" s="29">
        <f t="shared" si="1"/>
        <v>0</v>
      </c>
      <c r="V49" s="29">
        <f t="shared" si="2"/>
        <v>0</v>
      </c>
      <c r="W49" s="29" t="str">
        <f t="shared" si="8"/>
        <v/>
      </c>
      <c r="X49" s="29" t="str">
        <f t="shared" si="3"/>
        <v/>
      </c>
      <c r="Y49" s="32" t="str">
        <f t="shared" si="4"/>
        <v/>
      </c>
      <c r="Z49" s="29" t="str">
        <f t="shared" si="5"/>
        <v/>
      </c>
      <c r="AA49" s="29" t="str">
        <f t="shared" si="9"/>
        <v/>
      </c>
      <c r="AB49" s="29" t="str">
        <f t="shared" si="6"/>
        <v/>
      </c>
      <c r="AC49" t="str">
        <f t="shared" si="7"/>
        <v/>
      </c>
    </row>
    <row r="50" spans="15:29" x14ac:dyDescent="0.3">
      <c r="O50" s="25"/>
      <c r="P50" s="25"/>
      <c r="T50" s="29">
        <f t="shared" si="0"/>
        <v>0</v>
      </c>
      <c r="U50" s="29">
        <f t="shared" si="1"/>
        <v>0</v>
      </c>
      <c r="V50" s="29">
        <f t="shared" si="2"/>
        <v>0</v>
      </c>
      <c r="W50" s="29" t="str">
        <f t="shared" si="8"/>
        <v/>
      </c>
      <c r="X50" s="29" t="str">
        <f t="shared" si="3"/>
        <v/>
      </c>
      <c r="Y50" s="32" t="str">
        <f t="shared" si="4"/>
        <v/>
      </c>
      <c r="Z50" s="29" t="str">
        <f t="shared" si="5"/>
        <v/>
      </c>
      <c r="AA50" s="29" t="str">
        <f t="shared" si="9"/>
        <v/>
      </c>
      <c r="AB50" s="29" t="str">
        <f t="shared" si="6"/>
        <v/>
      </c>
      <c r="AC50" t="str">
        <f t="shared" si="7"/>
        <v/>
      </c>
    </row>
    <row r="51" spans="15:29" x14ac:dyDescent="0.3">
      <c r="O51" s="25"/>
      <c r="P51" s="25"/>
      <c r="T51" s="29">
        <f t="shared" si="0"/>
        <v>0</v>
      </c>
      <c r="U51" s="29">
        <f t="shared" si="1"/>
        <v>0</v>
      </c>
      <c r="V51" s="29">
        <f t="shared" si="2"/>
        <v>0</v>
      </c>
      <c r="W51" s="29" t="str">
        <f t="shared" si="8"/>
        <v/>
      </c>
      <c r="X51" s="29" t="str">
        <f t="shared" si="3"/>
        <v/>
      </c>
      <c r="Y51" s="32" t="str">
        <f t="shared" si="4"/>
        <v/>
      </c>
      <c r="Z51" s="29" t="str">
        <f t="shared" si="5"/>
        <v/>
      </c>
      <c r="AA51" s="29" t="str">
        <f t="shared" si="9"/>
        <v/>
      </c>
      <c r="AB51" s="29" t="str">
        <f t="shared" si="6"/>
        <v/>
      </c>
      <c r="AC51" t="str">
        <f t="shared" si="7"/>
        <v/>
      </c>
    </row>
    <row r="52" spans="15:29" x14ac:dyDescent="0.3">
      <c r="O52" s="25"/>
      <c r="P52" s="25"/>
      <c r="T52" s="29">
        <f t="shared" si="0"/>
        <v>0</v>
      </c>
      <c r="U52" s="29">
        <f t="shared" si="1"/>
        <v>0</v>
      </c>
      <c r="V52" s="29">
        <f t="shared" si="2"/>
        <v>0</v>
      </c>
      <c r="W52" s="29" t="str">
        <f t="shared" si="8"/>
        <v/>
      </c>
      <c r="X52" s="29" t="str">
        <f t="shared" si="3"/>
        <v/>
      </c>
      <c r="Y52" s="32" t="str">
        <f t="shared" si="4"/>
        <v/>
      </c>
      <c r="Z52" s="29" t="str">
        <f t="shared" si="5"/>
        <v/>
      </c>
      <c r="AA52" s="29" t="str">
        <f t="shared" si="9"/>
        <v/>
      </c>
      <c r="AB52" s="29" t="str">
        <f t="shared" si="6"/>
        <v/>
      </c>
      <c r="AC52" t="str">
        <f t="shared" si="7"/>
        <v/>
      </c>
    </row>
    <row r="53" spans="15:29" x14ac:dyDescent="0.3">
      <c r="O53" s="25"/>
      <c r="P53" s="25"/>
      <c r="T53" s="29">
        <f t="shared" si="0"/>
        <v>0</v>
      </c>
      <c r="U53" s="29">
        <f t="shared" si="1"/>
        <v>0</v>
      </c>
      <c r="V53" s="29">
        <f t="shared" si="2"/>
        <v>0</v>
      </c>
      <c r="W53" s="29" t="str">
        <f t="shared" si="8"/>
        <v/>
      </c>
      <c r="X53" s="29" t="str">
        <f t="shared" si="3"/>
        <v/>
      </c>
      <c r="Y53" s="32" t="str">
        <f t="shared" si="4"/>
        <v/>
      </c>
      <c r="Z53" s="29" t="str">
        <f t="shared" si="5"/>
        <v/>
      </c>
      <c r="AA53" s="29" t="str">
        <f t="shared" si="9"/>
        <v/>
      </c>
      <c r="AB53" s="29" t="str">
        <f t="shared" si="6"/>
        <v/>
      </c>
      <c r="AC53" t="str">
        <f t="shared" si="7"/>
        <v/>
      </c>
    </row>
    <row r="54" spans="15:29" x14ac:dyDescent="0.3">
      <c r="O54" s="25"/>
      <c r="P54" s="25"/>
      <c r="T54" s="29">
        <f t="shared" si="0"/>
        <v>0</v>
      </c>
      <c r="U54" s="29">
        <f t="shared" si="1"/>
        <v>0</v>
      </c>
      <c r="V54" s="29">
        <f t="shared" si="2"/>
        <v>0</v>
      </c>
      <c r="W54" s="29" t="str">
        <f t="shared" si="8"/>
        <v/>
      </c>
      <c r="X54" s="29" t="str">
        <f t="shared" si="3"/>
        <v/>
      </c>
      <c r="Y54" s="32" t="str">
        <f t="shared" si="4"/>
        <v/>
      </c>
      <c r="Z54" s="29" t="str">
        <f t="shared" si="5"/>
        <v/>
      </c>
      <c r="AA54" s="29" t="str">
        <f t="shared" si="9"/>
        <v/>
      </c>
      <c r="AB54" s="29" t="str">
        <f t="shared" si="6"/>
        <v/>
      </c>
      <c r="AC54" t="str">
        <f t="shared" si="7"/>
        <v/>
      </c>
    </row>
    <row r="55" spans="15:29" x14ac:dyDescent="0.3">
      <c r="O55" s="25"/>
      <c r="P55" s="25"/>
      <c r="T55" s="29">
        <f t="shared" si="0"/>
        <v>0</v>
      </c>
      <c r="U55" s="29">
        <f t="shared" si="1"/>
        <v>0</v>
      </c>
      <c r="V55" s="29">
        <f t="shared" si="2"/>
        <v>0</v>
      </c>
      <c r="W55" s="29" t="str">
        <f t="shared" si="8"/>
        <v/>
      </c>
      <c r="X55" s="29" t="str">
        <f t="shared" si="3"/>
        <v/>
      </c>
      <c r="Y55" s="32" t="str">
        <f t="shared" si="4"/>
        <v/>
      </c>
      <c r="Z55" s="29" t="str">
        <f t="shared" si="5"/>
        <v/>
      </c>
      <c r="AA55" s="29" t="str">
        <f t="shared" si="9"/>
        <v/>
      </c>
      <c r="AB55" s="29" t="str">
        <f t="shared" si="6"/>
        <v/>
      </c>
      <c r="AC55" t="str">
        <f t="shared" si="7"/>
        <v/>
      </c>
    </row>
    <row r="56" spans="15:29" x14ac:dyDescent="0.3">
      <c r="O56" s="25"/>
      <c r="P56" s="25"/>
      <c r="T56" s="29">
        <f t="shared" si="0"/>
        <v>0</v>
      </c>
      <c r="U56" s="29">
        <f t="shared" si="1"/>
        <v>0</v>
      </c>
      <c r="V56" s="29">
        <f t="shared" si="2"/>
        <v>0</v>
      </c>
      <c r="W56" s="29" t="str">
        <f t="shared" si="8"/>
        <v/>
      </c>
      <c r="X56" s="29" t="str">
        <f t="shared" si="3"/>
        <v/>
      </c>
      <c r="Y56" s="32" t="str">
        <f t="shared" si="4"/>
        <v/>
      </c>
      <c r="Z56" s="29" t="str">
        <f t="shared" si="5"/>
        <v/>
      </c>
      <c r="AA56" s="29" t="str">
        <f t="shared" si="9"/>
        <v/>
      </c>
      <c r="AB56" s="29" t="str">
        <f t="shared" si="6"/>
        <v/>
      </c>
      <c r="AC56" t="str">
        <f t="shared" si="7"/>
        <v/>
      </c>
    </row>
    <row r="57" spans="15:29" x14ac:dyDescent="0.3">
      <c r="O57" s="25"/>
      <c r="P57" s="25"/>
      <c r="T57" s="29">
        <f t="shared" si="0"/>
        <v>0</v>
      </c>
      <c r="U57" s="29">
        <f t="shared" si="1"/>
        <v>0</v>
      </c>
      <c r="V57" s="29">
        <f t="shared" si="2"/>
        <v>0</v>
      </c>
      <c r="W57" s="29" t="str">
        <f t="shared" si="8"/>
        <v/>
      </c>
      <c r="X57" s="29" t="str">
        <f t="shared" si="3"/>
        <v/>
      </c>
      <c r="Y57" s="32" t="str">
        <f t="shared" si="4"/>
        <v/>
      </c>
      <c r="Z57" s="29" t="str">
        <f t="shared" si="5"/>
        <v/>
      </c>
      <c r="AA57" s="29" t="str">
        <f t="shared" si="9"/>
        <v/>
      </c>
      <c r="AB57" s="29" t="str">
        <f t="shared" si="6"/>
        <v/>
      </c>
      <c r="AC57" t="str">
        <f t="shared" si="7"/>
        <v/>
      </c>
    </row>
    <row r="58" spans="15:29" x14ac:dyDescent="0.3">
      <c r="O58" s="25"/>
      <c r="P58" s="25"/>
      <c r="T58" s="29">
        <f t="shared" si="0"/>
        <v>0</v>
      </c>
      <c r="U58" s="29">
        <f t="shared" si="1"/>
        <v>0</v>
      </c>
      <c r="V58" s="29">
        <f t="shared" si="2"/>
        <v>0</v>
      </c>
      <c r="W58" s="29" t="str">
        <f t="shared" si="8"/>
        <v/>
      </c>
      <c r="X58" s="29" t="str">
        <f t="shared" si="3"/>
        <v/>
      </c>
      <c r="Y58" s="32" t="str">
        <f t="shared" si="4"/>
        <v/>
      </c>
      <c r="Z58" s="29" t="str">
        <f t="shared" si="5"/>
        <v/>
      </c>
      <c r="AA58" s="29" t="str">
        <f t="shared" si="9"/>
        <v/>
      </c>
      <c r="AB58" s="29" t="str">
        <f t="shared" si="6"/>
        <v/>
      </c>
      <c r="AC58" t="str">
        <f t="shared" si="7"/>
        <v/>
      </c>
    </row>
    <row r="59" spans="15:29" x14ac:dyDescent="0.3">
      <c r="O59" s="25"/>
      <c r="P59" s="25"/>
      <c r="T59" s="29">
        <f t="shared" si="0"/>
        <v>0</v>
      </c>
      <c r="U59" s="29">
        <f t="shared" si="1"/>
        <v>0</v>
      </c>
      <c r="V59" s="29">
        <f t="shared" si="2"/>
        <v>0</v>
      </c>
      <c r="W59" s="29" t="str">
        <f t="shared" si="8"/>
        <v/>
      </c>
      <c r="X59" s="29" t="str">
        <f t="shared" si="3"/>
        <v/>
      </c>
      <c r="Y59" s="32" t="str">
        <f t="shared" si="4"/>
        <v/>
      </c>
      <c r="Z59" s="29" t="str">
        <f t="shared" si="5"/>
        <v/>
      </c>
      <c r="AA59" s="29" t="str">
        <f t="shared" si="9"/>
        <v/>
      </c>
      <c r="AB59" s="29" t="str">
        <f t="shared" si="6"/>
        <v/>
      </c>
      <c r="AC59" t="str">
        <f t="shared" si="7"/>
        <v/>
      </c>
    </row>
    <row r="60" spans="15:29" x14ac:dyDescent="0.3">
      <c r="O60" s="25"/>
      <c r="P60" s="25"/>
      <c r="T60" s="29">
        <f t="shared" si="0"/>
        <v>0</v>
      </c>
      <c r="U60" s="29">
        <f t="shared" si="1"/>
        <v>0</v>
      </c>
      <c r="V60" s="29">
        <f t="shared" si="2"/>
        <v>0</v>
      </c>
      <c r="W60" s="29" t="str">
        <f t="shared" si="8"/>
        <v/>
      </c>
      <c r="X60" s="29" t="str">
        <f t="shared" si="3"/>
        <v/>
      </c>
      <c r="Y60" s="32" t="str">
        <f t="shared" si="4"/>
        <v/>
      </c>
      <c r="Z60" s="29" t="str">
        <f t="shared" si="5"/>
        <v/>
      </c>
      <c r="AA60" s="29" t="str">
        <f t="shared" si="9"/>
        <v/>
      </c>
      <c r="AB60" s="29" t="str">
        <f t="shared" si="6"/>
        <v/>
      </c>
      <c r="AC60" t="str">
        <f t="shared" si="7"/>
        <v/>
      </c>
    </row>
    <row r="61" spans="15:29" x14ac:dyDescent="0.3">
      <c r="O61" s="25"/>
      <c r="P61" s="25"/>
      <c r="T61" s="29">
        <f t="shared" si="0"/>
        <v>0</v>
      </c>
      <c r="U61" s="29">
        <f t="shared" si="1"/>
        <v>0</v>
      </c>
      <c r="V61" s="29">
        <f t="shared" si="2"/>
        <v>0</v>
      </c>
      <c r="W61" s="29" t="str">
        <f t="shared" si="8"/>
        <v/>
      </c>
      <c r="X61" s="29" t="str">
        <f t="shared" si="3"/>
        <v/>
      </c>
      <c r="Y61" s="32" t="str">
        <f t="shared" si="4"/>
        <v/>
      </c>
      <c r="Z61" s="29" t="str">
        <f t="shared" si="5"/>
        <v/>
      </c>
      <c r="AA61" s="29" t="str">
        <f t="shared" si="9"/>
        <v/>
      </c>
      <c r="AB61" s="29" t="str">
        <f t="shared" si="6"/>
        <v/>
      </c>
      <c r="AC61" t="str">
        <f t="shared" si="7"/>
        <v/>
      </c>
    </row>
    <row r="62" spans="15:29" x14ac:dyDescent="0.3">
      <c r="O62" s="25"/>
      <c r="P62" s="25"/>
      <c r="T62" s="29">
        <f t="shared" si="0"/>
        <v>0</v>
      </c>
      <c r="U62" s="29">
        <f t="shared" si="1"/>
        <v>0</v>
      </c>
      <c r="V62" s="29">
        <f t="shared" si="2"/>
        <v>0</v>
      </c>
      <c r="W62" s="29" t="str">
        <f t="shared" si="8"/>
        <v/>
      </c>
      <c r="X62" s="29" t="str">
        <f t="shared" si="3"/>
        <v/>
      </c>
      <c r="Y62" s="32" t="str">
        <f t="shared" si="4"/>
        <v/>
      </c>
      <c r="Z62" s="29" t="str">
        <f t="shared" si="5"/>
        <v/>
      </c>
      <c r="AA62" s="29" t="str">
        <f t="shared" si="9"/>
        <v/>
      </c>
      <c r="AB62" s="29" t="str">
        <f t="shared" si="6"/>
        <v/>
      </c>
      <c r="AC62" t="str">
        <f t="shared" si="7"/>
        <v/>
      </c>
    </row>
    <row r="63" spans="15:29" x14ac:dyDescent="0.3">
      <c r="O63" s="25"/>
      <c r="P63" s="25"/>
      <c r="T63" s="29">
        <f t="shared" si="0"/>
        <v>0</v>
      </c>
      <c r="U63" s="29">
        <f t="shared" si="1"/>
        <v>0</v>
      </c>
      <c r="V63" s="29">
        <f t="shared" si="2"/>
        <v>0</v>
      </c>
      <c r="W63" s="29" t="str">
        <f t="shared" si="8"/>
        <v/>
      </c>
      <c r="X63" s="29" t="str">
        <f t="shared" si="3"/>
        <v/>
      </c>
      <c r="Y63" s="32" t="str">
        <f t="shared" si="4"/>
        <v/>
      </c>
      <c r="Z63" s="29" t="str">
        <f t="shared" si="5"/>
        <v/>
      </c>
      <c r="AA63" s="29" t="str">
        <f t="shared" si="9"/>
        <v/>
      </c>
      <c r="AB63" s="29" t="str">
        <f t="shared" si="6"/>
        <v/>
      </c>
      <c r="AC63" t="str">
        <f t="shared" si="7"/>
        <v/>
      </c>
    </row>
    <row r="64" spans="15:29" x14ac:dyDescent="0.3">
      <c r="O64" s="25"/>
      <c r="P64" s="25"/>
      <c r="T64" s="29">
        <f t="shared" si="0"/>
        <v>0</v>
      </c>
      <c r="U64" s="29">
        <f t="shared" si="1"/>
        <v>0</v>
      </c>
      <c r="V64" s="29">
        <f t="shared" si="2"/>
        <v>0</v>
      </c>
      <c r="W64" s="29" t="str">
        <f t="shared" si="8"/>
        <v/>
      </c>
      <c r="X64" s="29" t="str">
        <f t="shared" si="3"/>
        <v/>
      </c>
      <c r="Y64" s="32" t="str">
        <f t="shared" si="4"/>
        <v/>
      </c>
      <c r="Z64" s="29" t="str">
        <f t="shared" si="5"/>
        <v/>
      </c>
      <c r="AA64" s="29" t="str">
        <f t="shared" si="9"/>
        <v/>
      </c>
      <c r="AB64" s="29" t="str">
        <f t="shared" si="6"/>
        <v/>
      </c>
      <c r="AC64" t="str">
        <f t="shared" si="7"/>
        <v/>
      </c>
    </row>
    <row r="65" spans="15:29" x14ac:dyDescent="0.3">
      <c r="O65" s="25"/>
      <c r="P65" s="25"/>
      <c r="T65" s="29">
        <f t="shared" si="0"/>
        <v>0</v>
      </c>
      <c r="U65" s="29">
        <f t="shared" si="1"/>
        <v>0</v>
      </c>
      <c r="V65" s="29">
        <f t="shared" si="2"/>
        <v>0</v>
      </c>
      <c r="W65" s="29" t="str">
        <f t="shared" si="8"/>
        <v/>
      </c>
      <c r="X65" s="29" t="str">
        <f t="shared" si="3"/>
        <v/>
      </c>
      <c r="Y65" s="32" t="str">
        <f t="shared" si="4"/>
        <v/>
      </c>
      <c r="Z65" s="29" t="str">
        <f t="shared" si="5"/>
        <v/>
      </c>
      <c r="AA65" s="29" t="str">
        <f t="shared" si="9"/>
        <v/>
      </c>
      <c r="AB65" s="29" t="str">
        <f t="shared" si="6"/>
        <v/>
      </c>
      <c r="AC65" t="str">
        <f t="shared" si="7"/>
        <v/>
      </c>
    </row>
    <row r="66" spans="15:29" x14ac:dyDescent="0.3">
      <c r="O66" s="25"/>
      <c r="P66" s="25"/>
      <c r="T66" s="29">
        <f t="shared" si="0"/>
        <v>0</v>
      </c>
      <c r="U66" s="29">
        <f t="shared" si="1"/>
        <v>0</v>
      </c>
      <c r="V66" s="29">
        <f t="shared" si="2"/>
        <v>0</v>
      </c>
      <c r="W66" s="29" t="str">
        <f t="shared" si="8"/>
        <v/>
      </c>
      <c r="X66" s="29" t="str">
        <f t="shared" si="3"/>
        <v/>
      </c>
      <c r="Y66" s="32" t="str">
        <f t="shared" si="4"/>
        <v/>
      </c>
      <c r="Z66" s="29" t="str">
        <f t="shared" si="5"/>
        <v/>
      </c>
      <c r="AA66" s="29" t="str">
        <f t="shared" si="9"/>
        <v/>
      </c>
      <c r="AB66" s="29" t="str">
        <f t="shared" si="6"/>
        <v/>
      </c>
      <c r="AC66" t="str">
        <f t="shared" si="7"/>
        <v/>
      </c>
    </row>
    <row r="67" spans="15:29" x14ac:dyDescent="0.3">
      <c r="O67" s="25"/>
      <c r="P67" s="25"/>
      <c r="T67" s="29">
        <f t="shared" ref="T67:T130" si="10">+O67/1.08</f>
        <v>0</v>
      </c>
      <c r="U67" s="29">
        <f t="shared" ref="U67:U130" si="11">+T67*N67</f>
        <v>0</v>
      </c>
      <c r="V67" s="29">
        <f t="shared" ref="V67:V130" si="12">+SUMIF(B:B,B67,U:U)</f>
        <v>0</v>
      </c>
      <c r="W67" s="29" t="str">
        <f t="shared" si="8"/>
        <v/>
      </c>
      <c r="X67" s="29" t="str">
        <f t="shared" ref="X67:X130" si="13">+IF(W67&lt;&gt;0,W67,"")</f>
        <v/>
      </c>
      <c r="Y67" s="32" t="str">
        <f t="shared" ref="Y67:Y130" si="14">+IF(X67&lt;&gt;"",8,"")</f>
        <v/>
      </c>
      <c r="Z67" s="29" t="str">
        <f t="shared" ref="Z67:Z130" si="15">+IF(X67&lt;&gt;"","VND","")</f>
        <v/>
      </c>
      <c r="AA67" s="29" t="str">
        <f t="shared" si="9"/>
        <v/>
      </c>
      <c r="AB67" s="29" t="str">
        <f t="shared" ref="AB67:AB130" si="16">+IF(AA67&lt;&gt;0,AA67,"")</f>
        <v/>
      </c>
      <c r="AC67" t="str">
        <f t="shared" ref="AC67:AC130" si="17">+IF(X67&lt;&gt;"","TM/CK","")</f>
        <v/>
      </c>
    </row>
    <row r="68" spans="15:29" x14ac:dyDescent="0.3">
      <c r="O68" s="25"/>
      <c r="P68" s="25"/>
      <c r="T68" s="29">
        <f t="shared" si="10"/>
        <v>0</v>
      </c>
      <c r="U68" s="29">
        <f t="shared" si="11"/>
        <v>0</v>
      </c>
      <c r="V68" s="29">
        <f t="shared" si="12"/>
        <v>0</v>
      </c>
      <c r="W68" s="29" t="str">
        <f t="shared" ref="W68:W131" si="18">+IF(V68=V67,"",V68)</f>
        <v/>
      </c>
      <c r="X68" s="29" t="str">
        <f t="shared" si="13"/>
        <v/>
      </c>
      <c r="Y68" s="32" t="str">
        <f t="shared" si="14"/>
        <v/>
      </c>
      <c r="Z68" s="29" t="str">
        <f t="shared" si="15"/>
        <v/>
      </c>
      <c r="AA68" s="29" t="str">
        <f t="shared" ref="AA68:AA131" si="19">+IF(B68=B67,"",E68)</f>
        <v/>
      </c>
      <c r="AB68" s="29" t="str">
        <f t="shared" si="16"/>
        <v/>
      </c>
      <c r="AC68" t="str">
        <f t="shared" si="17"/>
        <v/>
      </c>
    </row>
    <row r="69" spans="15:29" x14ac:dyDescent="0.3">
      <c r="O69" s="25"/>
      <c r="P69" s="25"/>
      <c r="T69" s="29">
        <f t="shared" si="10"/>
        <v>0</v>
      </c>
      <c r="U69" s="29">
        <f t="shared" si="11"/>
        <v>0</v>
      </c>
      <c r="V69" s="29">
        <f t="shared" si="12"/>
        <v>0</v>
      </c>
      <c r="W69" s="29" t="str">
        <f t="shared" si="18"/>
        <v/>
      </c>
      <c r="X69" s="29" t="str">
        <f t="shared" si="13"/>
        <v/>
      </c>
      <c r="Y69" s="32" t="str">
        <f t="shared" si="14"/>
        <v/>
      </c>
      <c r="Z69" s="29" t="str">
        <f t="shared" si="15"/>
        <v/>
      </c>
      <c r="AA69" s="29" t="str">
        <f t="shared" si="19"/>
        <v/>
      </c>
      <c r="AB69" s="29" t="str">
        <f t="shared" si="16"/>
        <v/>
      </c>
      <c r="AC69" t="str">
        <f t="shared" si="17"/>
        <v/>
      </c>
    </row>
    <row r="70" spans="15:29" x14ac:dyDescent="0.3">
      <c r="O70" s="25"/>
      <c r="P70" s="25"/>
      <c r="T70" s="29">
        <f t="shared" si="10"/>
        <v>0</v>
      </c>
      <c r="U70" s="29">
        <f t="shared" si="11"/>
        <v>0</v>
      </c>
      <c r="V70" s="29">
        <f t="shared" si="12"/>
        <v>0</v>
      </c>
      <c r="W70" s="29" t="str">
        <f t="shared" si="18"/>
        <v/>
      </c>
      <c r="X70" s="29" t="str">
        <f t="shared" si="13"/>
        <v/>
      </c>
      <c r="Y70" s="32" t="str">
        <f t="shared" si="14"/>
        <v/>
      </c>
      <c r="Z70" s="29" t="str">
        <f t="shared" si="15"/>
        <v/>
      </c>
      <c r="AA70" s="29" t="str">
        <f t="shared" si="19"/>
        <v/>
      </c>
      <c r="AB70" s="29" t="str">
        <f t="shared" si="16"/>
        <v/>
      </c>
      <c r="AC70" t="str">
        <f t="shared" si="17"/>
        <v/>
      </c>
    </row>
    <row r="71" spans="15:29" x14ac:dyDescent="0.3">
      <c r="O71" s="25"/>
      <c r="P71" s="25"/>
      <c r="T71" s="29">
        <f t="shared" si="10"/>
        <v>0</v>
      </c>
      <c r="U71" s="29">
        <f t="shared" si="11"/>
        <v>0</v>
      </c>
      <c r="V71" s="29">
        <f t="shared" si="12"/>
        <v>0</v>
      </c>
      <c r="W71" s="29" t="str">
        <f t="shared" si="18"/>
        <v/>
      </c>
      <c r="X71" s="29" t="str">
        <f t="shared" si="13"/>
        <v/>
      </c>
      <c r="Y71" s="32" t="str">
        <f t="shared" si="14"/>
        <v/>
      </c>
      <c r="Z71" s="29" t="str">
        <f t="shared" si="15"/>
        <v/>
      </c>
      <c r="AA71" s="29" t="str">
        <f t="shared" si="19"/>
        <v/>
      </c>
      <c r="AB71" s="29" t="str">
        <f t="shared" si="16"/>
        <v/>
      </c>
      <c r="AC71" t="str">
        <f t="shared" si="17"/>
        <v/>
      </c>
    </row>
    <row r="72" spans="15:29" x14ac:dyDescent="0.3">
      <c r="O72" s="25"/>
      <c r="P72" s="25"/>
      <c r="T72" s="29">
        <f t="shared" si="10"/>
        <v>0</v>
      </c>
      <c r="U72" s="29">
        <f t="shared" si="11"/>
        <v>0</v>
      </c>
      <c r="V72" s="29">
        <f t="shared" si="12"/>
        <v>0</v>
      </c>
      <c r="W72" s="29" t="str">
        <f t="shared" si="18"/>
        <v/>
      </c>
      <c r="X72" s="29" t="str">
        <f t="shared" si="13"/>
        <v/>
      </c>
      <c r="Y72" s="32" t="str">
        <f t="shared" si="14"/>
        <v/>
      </c>
      <c r="Z72" s="29" t="str">
        <f t="shared" si="15"/>
        <v/>
      </c>
      <c r="AA72" s="29" t="str">
        <f t="shared" si="19"/>
        <v/>
      </c>
      <c r="AB72" s="29" t="str">
        <f t="shared" si="16"/>
        <v/>
      </c>
      <c r="AC72" t="str">
        <f t="shared" si="17"/>
        <v/>
      </c>
    </row>
    <row r="73" spans="15:29" x14ac:dyDescent="0.3">
      <c r="O73" s="25"/>
      <c r="P73" s="25"/>
      <c r="T73" s="29">
        <f t="shared" si="10"/>
        <v>0</v>
      </c>
      <c r="U73" s="29">
        <f t="shared" si="11"/>
        <v>0</v>
      </c>
      <c r="V73" s="29">
        <f t="shared" si="12"/>
        <v>0</v>
      </c>
      <c r="W73" s="29" t="str">
        <f t="shared" si="18"/>
        <v/>
      </c>
      <c r="X73" s="29" t="str">
        <f t="shared" si="13"/>
        <v/>
      </c>
      <c r="Y73" s="32" t="str">
        <f t="shared" si="14"/>
        <v/>
      </c>
      <c r="Z73" s="29" t="str">
        <f t="shared" si="15"/>
        <v/>
      </c>
      <c r="AA73" s="29" t="str">
        <f t="shared" si="19"/>
        <v/>
      </c>
      <c r="AB73" s="29" t="str">
        <f t="shared" si="16"/>
        <v/>
      </c>
      <c r="AC73" t="str">
        <f t="shared" si="17"/>
        <v/>
      </c>
    </row>
    <row r="74" spans="15:29" x14ac:dyDescent="0.3">
      <c r="O74" s="25"/>
      <c r="P74" s="25"/>
      <c r="T74" s="29">
        <f t="shared" si="10"/>
        <v>0</v>
      </c>
      <c r="U74" s="29">
        <f t="shared" si="11"/>
        <v>0</v>
      </c>
      <c r="V74" s="29">
        <f t="shared" si="12"/>
        <v>0</v>
      </c>
      <c r="W74" s="29" t="str">
        <f t="shared" si="18"/>
        <v/>
      </c>
      <c r="X74" s="29" t="str">
        <f t="shared" si="13"/>
        <v/>
      </c>
      <c r="Y74" s="32" t="str">
        <f t="shared" si="14"/>
        <v/>
      </c>
      <c r="Z74" s="29" t="str">
        <f t="shared" si="15"/>
        <v/>
      </c>
      <c r="AA74" s="29" t="str">
        <f t="shared" si="19"/>
        <v/>
      </c>
      <c r="AB74" s="29" t="str">
        <f t="shared" si="16"/>
        <v/>
      </c>
      <c r="AC74" t="str">
        <f t="shared" si="17"/>
        <v/>
      </c>
    </row>
    <row r="75" spans="15:29" x14ac:dyDescent="0.3">
      <c r="O75" s="25"/>
      <c r="P75" s="25"/>
      <c r="T75" s="29">
        <f t="shared" si="10"/>
        <v>0</v>
      </c>
      <c r="U75" s="29">
        <f t="shared" si="11"/>
        <v>0</v>
      </c>
      <c r="V75" s="29">
        <f t="shared" si="12"/>
        <v>0</v>
      </c>
      <c r="W75" s="29" t="str">
        <f t="shared" si="18"/>
        <v/>
      </c>
      <c r="X75" s="29" t="str">
        <f t="shared" si="13"/>
        <v/>
      </c>
      <c r="Y75" s="32" t="str">
        <f t="shared" si="14"/>
        <v/>
      </c>
      <c r="Z75" s="29" t="str">
        <f t="shared" si="15"/>
        <v/>
      </c>
      <c r="AA75" s="29" t="str">
        <f t="shared" si="19"/>
        <v/>
      </c>
      <c r="AB75" s="29" t="str">
        <f t="shared" si="16"/>
        <v/>
      </c>
      <c r="AC75" t="str">
        <f t="shared" si="17"/>
        <v/>
      </c>
    </row>
    <row r="76" spans="15:29" x14ac:dyDescent="0.3">
      <c r="O76" s="25"/>
      <c r="P76" s="25"/>
      <c r="T76" s="29">
        <f t="shared" si="10"/>
        <v>0</v>
      </c>
      <c r="U76" s="29">
        <f t="shared" si="11"/>
        <v>0</v>
      </c>
      <c r="V76" s="29">
        <f t="shared" si="12"/>
        <v>0</v>
      </c>
      <c r="W76" s="29" t="str">
        <f t="shared" si="18"/>
        <v/>
      </c>
      <c r="X76" s="29" t="str">
        <f t="shared" si="13"/>
        <v/>
      </c>
      <c r="Y76" s="32" t="str">
        <f t="shared" si="14"/>
        <v/>
      </c>
      <c r="Z76" s="29" t="str">
        <f t="shared" si="15"/>
        <v/>
      </c>
      <c r="AA76" s="29" t="str">
        <f t="shared" si="19"/>
        <v/>
      </c>
      <c r="AB76" s="29" t="str">
        <f t="shared" si="16"/>
        <v/>
      </c>
      <c r="AC76" t="str">
        <f t="shared" si="17"/>
        <v/>
      </c>
    </row>
    <row r="77" spans="15:29" x14ac:dyDescent="0.3">
      <c r="O77" s="25"/>
      <c r="P77" s="25"/>
      <c r="T77" s="29">
        <f t="shared" si="10"/>
        <v>0</v>
      </c>
      <c r="U77" s="29">
        <f t="shared" si="11"/>
        <v>0</v>
      </c>
      <c r="V77" s="29">
        <f t="shared" si="12"/>
        <v>0</v>
      </c>
      <c r="W77" s="29" t="str">
        <f t="shared" si="18"/>
        <v/>
      </c>
      <c r="X77" s="29" t="str">
        <f t="shared" si="13"/>
        <v/>
      </c>
      <c r="Y77" s="32" t="str">
        <f t="shared" si="14"/>
        <v/>
      </c>
      <c r="Z77" s="29" t="str">
        <f t="shared" si="15"/>
        <v/>
      </c>
      <c r="AA77" s="29" t="str">
        <f t="shared" si="19"/>
        <v/>
      </c>
      <c r="AB77" s="29" t="str">
        <f t="shared" si="16"/>
        <v/>
      </c>
      <c r="AC77" t="str">
        <f t="shared" si="17"/>
        <v/>
      </c>
    </row>
    <row r="78" spans="15:29" x14ac:dyDescent="0.3">
      <c r="O78" s="25"/>
      <c r="P78" s="25"/>
      <c r="T78" s="29">
        <f t="shared" si="10"/>
        <v>0</v>
      </c>
      <c r="U78" s="29">
        <f t="shared" si="11"/>
        <v>0</v>
      </c>
      <c r="V78" s="29">
        <f t="shared" si="12"/>
        <v>0</v>
      </c>
      <c r="W78" s="29" t="str">
        <f t="shared" si="18"/>
        <v/>
      </c>
      <c r="X78" s="29" t="str">
        <f t="shared" si="13"/>
        <v/>
      </c>
      <c r="Y78" s="32" t="str">
        <f t="shared" si="14"/>
        <v/>
      </c>
      <c r="Z78" s="29" t="str">
        <f t="shared" si="15"/>
        <v/>
      </c>
      <c r="AA78" s="29" t="str">
        <f t="shared" si="19"/>
        <v/>
      </c>
      <c r="AB78" s="29" t="str">
        <f t="shared" si="16"/>
        <v/>
      </c>
      <c r="AC78" t="str">
        <f t="shared" si="17"/>
        <v/>
      </c>
    </row>
    <row r="79" spans="15:29" x14ac:dyDescent="0.3">
      <c r="O79" s="25"/>
      <c r="P79" s="25"/>
      <c r="T79" s="29">
        <f t="shared" si="10"/>
        <v>0</v>
      </c>
      <c r="U79" s="29">
        <f t="shared" si="11"/>
        <v>0</v>
      </c>
      <c r="V79" s="29">
        <f t="shared" si="12"/>
        <v>0</v>
      </c>
      <c r="W79" s="29" t="str">
        <f t="shared" si="18"/>
        <v/>
      </c>
      <c r="X79" s="29" t="str">
        <f t="shared" si="13"/>
        <v/>
      </c>
      <c r="Y79" s="32" t="str">
        <f t="shared" si="14"/>
        <v/>
      </c>
      <c r="Z79" s="29" t="str">
        <f t="shared" si="15"/>
        <v/>
      </c>
      <c r="AA79" s="29" t="str">
        <f t="shared" si="19"/>
        <v/>
      </c>
      <c r="AB79" s="29" t="str">
        <f t="shared" si="16"/>
        <v/>
      </c>
      <c r="AC79" t="str">
        <f t="shared" si="17"/>
        <v/>
      </c>
    </row>
    <row r="80" spans="15:29" x14ac:dyDescent="0.3">
      <c r="O80" s="25"/>
      <c r="P80" s="25"/>
      <c r="T80" s="29">
        <f t="shared" si="10"/>
        <v>0</v>
      </c>
      <c r="U80" s="29">
        <f t="shared" si="11"/>
        <v>0</v>
      </c>
      <c r="V80" s="29">
        <f t="shared" si="12"/>
        <v>0</v>
      </c>
      <c r="W80" s="29" t="str">
        <f t="shared" si="18"/>
        <v/>
      </c>
      <c r="X80" s="29" t="str">
        <f t="shared" si="13"/>
        <v/>
      </c>
      <c r="Y80" s="32" t="str">
        <f t="shared" si="14"/>
        <v/>
      </c>
      <c r="Z80" s="29" t="str">
        <f t="shared" si="15"/>
        <v/>
      </c>
      <c r="AA80" s="29" t="str">
        <f t="shared" si="19"/>
        <v/>
      </c>
      <c r="AB80" s="29" t="str">
        <f t="shared" si="16"/>
        <v/>
      </c>
      <c r="AC80" t="str">
        <f t="shared" si="17"/>
        <v/>
      </c>
    </row>
    <row r="81" spans="15:29" x14ac:dyDescent="0.3">
      <c r="O81" s="25"/>
      <c r="P81" s="25"/>
      <c r="T81" s="29">
        <f t="shared" si="10"/>
        <v>0</v>
      </c>
      <c r="U81" s="29">
        <f t="shared" si="11"/>
        <v>0</v>
      </c>
      <c r="V81" s="29">
        <f t="shared" si="12"/>
        <v>0</v>
      </c>
      <c r="W81" s="29" t="str">
        <f t="shared" si="18"/>
        <v/>
      </c>
      <c r="X81" s="29" t="str">
        <f t="shared" si="13"/>
        <v/>
      </c>
      <c r="Y81" s="32" t="str">
        <f t="shared" si="14"/>
        <v/>
      </c>
      <c r="Z81" s="29" t="str">
        <f t="shared" si="15"/>
        <v/>
      </c>
      <c r="AA81" s="29" t="str">
        <f t="shared" si="19"/>
        <v/>
      </c>
      <c r="AB81" s="29" t="str">
        <f t="shared" si="16"/>
        <v/>
      </c>
      <c r="AC81" t="str">
        <f t="shared" si="17"/>
        <v/>
      </c>
    </row>
    <row r="82" spans="15:29" x14ac:dyDescent="0.3">
      <c r="O82" s="25"/>
      <c r="P82" s="25"/>
      <c r="T82" s="29">
        <f t="shared" si="10"/>
        <v>0</v>
      </c>
      <c r="U82" s="29">
        <f t="shared" si="11"/>
        <v>0</v>
      </c>
      <c r="V82" s="29">
        <f t="shared" si="12"/>
        <v>0</v>
      </c>
      <c r="W82" s="29" t="str">
        <f t="shared" si="18"/>
        <v/>
      </c>
      <c r="X82" s="29" t="str">
        <f t="shared" si="13"/>
        <v/>
      </c>
      <c r="Y82" s="32" t="str">
        <f t="shared" si="14"/>
        <v/>
      </c>
      <c r="Z82" s="29" t="str">
        <f t="shared" si="15"/>
        <v/>
      </c>
      <c r="AA82" s="29" t="str">
        <f t="shared" si="19"/>
        <v/>
      </c>
      <c r="AB82" s="29" t="str">
        <f t="shared" si="16"/>
        <v/>
      </c>
      <c r="AC82" t="str">
        <f t="shared" si="17"/>
        <v/>
      </c>
    </row>
    <row r="83" spans="15:29" x14ac:dyDescent="0.3">
      <c r="O83" s="25"/>
      <c r="P83" s="25"/>
      <c r="T83" s="29">
        <f t="shared" si="10"/>
        <v>0</v>
      </c>
      <c r="U83" s="29">
        <f t="shared" si="11"/>
        <v>0</v>
      </c>
      <c r="V83" s="29">
        <f t="shared" si="12"/>
        <v>0</v>
      </c>
      <c r="W83" s="29" t="str">
        <f t="shared" si="18"/>
        <v/>
      </c>
      <c r="X83" s="29" t="str">
        <f t="shared" si="13"/>
        <v/>
      </c>
      <c r="Y83" s="32" t="str">
        <f t="shared" si="14"/>
        <v/>
      </c>
      <c r="Z83" s="29" t="str">
        <f t="shared" si="15"/>
        <v/>
      </c>
      <c r="AA83" s="29" t="str">
        <f t="shared" si="19"/>
        <v/>
      </c>
      <c r="AB83" s="29" t="str">
        <f t="shared" si="16"/>
        <v/>
      </c>
      <c r="AC83" t="str">
        <f t="shared" si="17"/>
        <v/>
      </c>
    </row>
    <row r="84" spans="15:29" x14ac:dyDescent="0.3">
      <c r="O84" s="25"/>
      <c r="P84" s="25"/>
      <c r="T84" s="29">
        <f t="shared" si="10"/>
        <v>0</v>
      </c>
      <c r="U84" s="29">
        <f t="shared" si="11"/>
        <v>0</v>
      </c>
      <c r="V84" s="29">
        <f t="shared" si="12"/>
        <v>0</v>
      </c>
      <c r="W84" s="29" t="str">
        <f t="shared" si="18"/>
        <v/>
      </c>
      <c r="X84" s="29" t="str">
        <f t="shared" si="13"/>
        <v/>
      </c>
      <c r="Y84" s="32" t="str">
        <f t="shared" si="14"/>
        <v/>
      </c>
      <c r="Z84" s="29" t="str">
        <f t="shared" si="15"/>
        <v/>
      </c>
      <c r="AA84" s="29" t="str">
        <f t="shared" si="19"/>
        <v/>
      </c>
      <c r="AB84" s="29" t="str">
        <f t="shared" si="16"/>
        <v/>
      </c>
      <c r="AC84" t="str">
        <f t="shared" si="17"/>
        <v/>
      </c>
    </row>
    <row r="85" spans="15:29" x14ac:dyDescent="0.3">
      <c r="O85" s="25"/>
      <c r="P85" s="25"/>
      <c r="T85" s="29">
        <f t="shared" si="10"/>
        <v>0</v>
      </c>
      <c r="U85" s="29">
        <f t="shared" si="11"/>
        <v>0</v>
      </c>
      <c r="V85" s="29">
        <f t="shared" si="12"/>
        <v>0</v>
      </c>
      <c r="W85" s="29" t="str">
        <f t="shared" si="18"/>
        <v/>
      </c>
      <c r="X85" s="29" t="str">
        <f t="shared" si="13"/>
        <v/>
      </c>
      <c r="Y85" s="32" t="str">
        <f t="shared" si="14"/>
        <v/>
      </c>
      <c r="Z85" s="29" t="str">
        <f t="shared" si="15"/>
        <v/>
      </c>
      <c r="AA85" s="29" t="str">
        <f t="shared" si="19"/>
        <v/>
      </c>
      <c r="AB85" s="29" t="str">
        <f t="shared" si="16"/>
        <v/>
      </c>
      <c r="AC85" t="str">
        <f t="shared" si="17"/>
        <v/>
      </c>
    </row>
    <row r="86" spans="15:29" x14ac:dyDescent="0.3">
      <c r="O86" s="25"/>
      <c r="P86" s="25"/>
      <c r="T86" s="29">
        <f t="shared" si="10"/>
        <v>0</v>
      </c>
      <c r="U86" s="29">
        <f t="shared" si="11"/>
        <v>0</v>
      </c>
      <c r="V86" s="29">
        <f t="shared" si="12"/>
        <v>0</v>
      </c>
      <c r="W86" s="29" t="str">
        <f t="shared" si="18"/>
        <v/>
      </c>
      <c r="X86" s="29" t="str">
        <f t="shared" si="13"/>
        <v/>
      </c>
      <c r="Y86" s="32" t="str">
        <f t="shared" si="14"/>
        <v/>
      </c>
      <c r="Z86" s="29" t="str">
        <f t="shared" si="15"/>
        <v/>
      </c>
      <c r="AA86" s="29" t="str">
        <f t="shared" si="19"/>
        <v/>
      </c>
      <c r="AB86" s="29" t="str">
        <f t="shared" si="16"/>
        <v/>
      </c>
      <c r="AC86" t="str">
        <f t="shared" si="17"/>
        <v/>
      </c>
    </row>
    <row r="87" spans="15:29" x14ac:dyDescent="0.3">
      <c r="O87" s="25"/>
      <c r="P87" s="25"/>
      <c r="T87" s="29">
        <f t="shared" si="10"/>
        <v>0</v>
      </c>
      <c r="U87" s="29">
        <f t="shared" si="11"/>
        <v>0</v>
      </c>
      <c r="V87" s="29">
        <f t="shared" si="12"/>
        <v>0</v>
      </c>
      <c r="W87" s="29" t="str">
        <f t="shared" si="18"/>
        <v/>
      </c>
      <c r="X87" s="29" t="str">
        <f t="shared" si="13"/>
        <v/>
      </c>
      <c r="Y87" s="32" t="str">
        <f t="shared" si="14"/>
        <v/>
      </c>
      <c r="Z87" s="29" t="str">
        <f t="shared" si="15"/>
        <v/>
      </c>
      <c r="AA87" s="29" t="str">
        <f t="shared" si="19"/>
        <v/>
      </c>
      <c r="AB87" s="29" t="str">
        <f t="shared" si="16"/>
        <v/>
      </c>
      <c r="AC87" t="str">
        <f t="shared" si="17"/>
        <v/>
      </c>
    </row>
    <row r="88" spans="15:29" x14ac:dyDescent="0.3">
      <c r="O88" s="25"/>
      <c r="P88" s="25"/>
      <c r="T88" s="29">
        <f t="shared" si="10"/>
        <v>0</v>
      </c>
      <c r="U88" s="29">
        <f t="shared" si="11"/>
        <v>0</v>
      </c>
      <c r="V88" s="29">
        <f t="shared" si="12"/>
        <v>0</v>
      </c>
      <c r="W88" s="29" t="str">
        <f t="shared" si="18"/>
        <v/>
      </c>
      <c r="X88" s="29" t="str">
        <f t="shared" si="13"/>
        <v/>
      </c>
      <c r="Y88" s="32" t="str">
        <f t="shared" si="14"/>
        <v/>
      </c>
      <c r="Z88" s="29" t="str">
        <f t="shared" si="15"/>
        <v/>
      </c>
      <c r="AA88" s="29" t="str">
        <f t="shared" si="19"/>
        <v/>
      </c>
      <c r="AB88" s="29" t="str">
        <f t="shared" si="16"/>
        <v/>
      </c>
      <c r="AC88" t="str">
        <f t="shared" si="17"/>
        <v/>
      </c>
    </row>
    <row r="89" spans="15:29" x14ac:dyDescent="0.3">
      <c r="O89" s="25"/>
      <c r="P89" s="25"/>
      <c r="T89" s="29">
        <f t="shared" si="10"/>
        <v>0</v>
      </c>
      <c r="U89" s="29">
        <f t="shared" si="11"/>
        <v>0</v>
      </c>
      <c r="V89" s="29">
        <f t="shared" si="12"/>
        <v>0</v>
      </c>
      <c r="W89" s="29" t="str">
        <f t="shared" si="18"/>
        <v/>
      </c>
      <c r="X89" s="29" t="str">
        <f t="shared" si="13"/>
        <v/>
      </c>
      <c r="Y89" s="32" t="str">
        <f t="shared" si="14"/>
        <v/>
      </c>
      <c r="Z89" s="29" t="str">
        <f t="shared" si="15"/>
        <v/>
      </c>
      <c r="AA89" s="29" t="str">
        <f t="shared" si="19"/>
        <v/>
      </c>
      <c r="AB89" s="29" t="str">
        <f t="shared" si="16"/>
        <v/>
      </c>
      <c r="AC89" t="str">
        <f t="shared" si="17"/>
        <v/>
      </c>
    </row>
    <row r="90" spans="15:29" x14ac:dyDescent="0.3">
      <c r="O90" s="25"/>
      <c r="P90" s="25"/>
      <c r="T90" s="29">
        <f t="shared" si="10"/>
        <v>0</v>
      </c>
      <c r="U90" s="29">
        <f t="shared" si="11"/>
        <v>0</v>
      </c>
      <c r="V90" s="29">
        <f t="shared" si="12"/>
        <v>0</v>
      </c>
      <c r="W90" s="29" t="str">
        <f t="shared" si="18"/>
        <v/>
      </c>
      <c r="X90" s="29" t="str">
        <f t="shared" si="13"/>
        <v/>
      </c>
      <c r="Y90" s="32" t="str">
        <f t="shared" si="14"/>
        <v/>
      </c>
      <c r="Z90" s="29" t="str">
        <f t="shared" si="15"/>
        <v/>
      </c>
      <c r="AA90" s="29" t="str">
        <f t="shared" si="19"/>
        <v/>
      </c>
      <c r="AB90" s="29" t="str">
        <f t="shared" si="16"/>
        <v/>
      </c>
      <c r="AC90" t="str">
        <f t="shared" si="17"/>
        <v/>
      </c>
    </row>
    <row r="91" spans="15:29" x14ac:dyDescent="0.3">
      <c r="O91" s="25"/>
      <c r="P91" s="25"/>
      <c r="T91" s="29">
        <f t="shared" si="10"/>
        <v>0</v>
      </c>
      <c r="U91" s="29">
        <f t="shared" si="11"/>
        <v>0</v>
      </c>
      <c r="V91" s="29">
        <f t="shared" si="12"/>
        <v>0</v>
      </c>
      <c r="W91" s="29" t="str">
        <f t="shared" si="18"/>
        <v/>
      </c>
      <c r="X91" s="29" t="str">
        <f t="shared" si="13"/>
        <v/>
      </c>
      <c r="Y91" s="32" t="str">
        <f t="shared" si="14"/>
        <v/>
      </c>
      <c r="Z91" s="29" t="str">
        <f t="shared" si="15"/>
        <v/>
      </c>
      <c r="AA91" s="29" t="str">
        <f t="shared" si="19"/>
        <v/>
      </c>
      <c r="AB91" s="29" t="str">
        <f t="shared" si="16"/>
        <v/>
      </c>
      <c r="AC91" t="str">
        <f t="shared" si="17"/>
        <v/>
      </c>
    </row>
    <row r="92" spans="15:29" x14ac:dyDescent="0.3">
      <c r="O92" s="25"/>
      <c r="P92" s="25"/>
      <c r="T92" s="29">
        <f t="shared" si="10"/>
        <v>0</v>
      </c>
      <c r="U92" s="29">
        <f t="shared" si="11"/>
        <v>0</v>
      </c>
      <c r="V92" s="29">
        <f t="shared" si="12"/>
        <v>0</v>
      </c>
      <c r="W92" s="29" t="str">
        <f t="shared" si="18"/>
        <v/>
      </c>
      <c r="X92" s="29" t="str">
        <f t="shared" si="13"/>
        <v/>
      </c>
      <c r="Y92" s="32" t="str">
        <f t="shared" si="14"/>
        <v/>
      </c>
      <c r="Z92" s="29" t="str">
        <f t="shared" si="15"/>
        <v/>
      </c>
      <c r="AA92" s="29" t="str">
        <f t="shared" si="19"/>
        <v/>
      </c>
      <c r="AB92" s="29" t="str">
        <f t="shared" si="16"/>
        <v/>
      </c>
      <c r="AC92" t="str">
        <f t="shared" si="17"/>
        <v/>
      </c>
    </row>
    <row r="93" spans="15:29" x14ac:dyDescent="0.3">
      <c r="O93" s="25"/>
      <c r="P93" s="25"/>
      <c r="T93" s="29">
        <f t="shared" si="10"/>
        <v>0</v>
      </c>
      <c r="U93" s="29">
        <f t="shared" si="11"/>
        <v>0</v>
      </c>
      <c r="V93" s="29">
        <f t="shared" si="12"/>
        <v>0</v>
      </c>
      <c r="W93" s="29" t="str">
        <f t="shared" si="18"/>
        <v/>
      </c>
      <c r="X93" s="29" t="str">
        <f t="shared" si="13"/>
        <v/>
      </c>
      <c r="Y93" s="32" t="str">
        <f t="shared" si="14"/>
        <v/>
      </c>
      <c r="Z93" s="29" t="str">
        <f t="shared" si="15"/>
        <v/>
      </c>
      <c r="AA93" s="29" t="str">
        <f t="shared" si="19"/>
        <v/>
      </c>
      <c r="AB93" s="29" t="str">
        <f t="shared" si="16"/>
        <v/>
      </c>
      <c r="AC93" t="str">
        <f t="shared" si="17"/>
        <v/>
      </c>
    </row>
    <row r="94" spans="15:29" x14ac:dyDescent="0.3">
      <c r="O94" s="25"/>
      <c r="P94" s="25"/>
      <c r="T94" s="29">
        <f t="shared" si="10"/>
        <v>0</v>
      </c>
      <c r="U94" s="29">
        <f t="shared" si="11"/>
        <v>0</v>
      </c>
      <c r="V94" s="29">
        <f t="shared" si="12"/>
        <v>0</v>
      </c>
      <c r="W94" s="29" t="str">
        <f t="shared" si="18"/>
        <v/>
      </c>
      <c r="X94" s="29" t="str">
        <f t="shared" si="13"/>
        <v/>
      </c>
      <c r="Y94" s="32" t="str">
        <f t="shared" si="14"/>
        <v/>
      </c>
      <c r="Z94" s="29" t="str">
        <f t="shared" si="15"/>
        <v/>
      </c>
      <c r="AA94" s="29" t="str">
        <f t="shared" si="19"/>
        <v/>
      </c>
      <c r="AB94" s="29" t="str">
        <f t="shared" si="16"/>
        <v/>
      </c>
      <c r="AC94" t="str">
        <f t="shared" si="17"/>
        <v/>
      </c>
    </row>
    <row r="95" spans="15:29" x14ac:dyDescent="0.3">
      <c r="O95" s="25"/>
      <c r="P95" s="25"/>
      <c r="T95" s="29">
        <f t="shared" si="10"/>
        <v>0</v>
      </c>
      <c r="U95" s="29">
        <f t="shared" si="11"/>
        <v>0</v>
      </c>
      <c r="V95" s="29">
        <f t="shared" si="12"/>
        <v>0</v>
      </c>
      <c r="W95" s="29" t="str">
        <f t="shared" si="18"/>
        <v/>
      </c>
      <c r="X95" s="29" t="str">
        <f t="shared" si="13"/>
        <v/>
      </c>
      <c r="Y95" s="32" t="str">
        <f t="shared" si="14"/>
        <v/>
      </c>
      <c r="Z95" s="29" t="str">
        <f t="shared" si="15"/>
        <v/>
      </c>
      <c r="AA95" s="29" t="str">
        <f t="shared" si="19"/>
        <v/>
      </c>
      <c r="AB95" s="29" t="str">
        <f t="shared" si="16"/>
        <v/>
      </c>
      <c r="AC95" t="str">
        <f t="shared" si="17"/>
        <v/>
      </c>
    </row>
    <row r="96" spans="15:29" x14ac:dyDescent="0.3">
      <c r="O96" s="25"/>
      <c r="P96" s="25"/>
      <c r="T96" s="29">
        <f t="shared" si="10"/>
        <v>0</v>
      </c>
      <c r="U96" s="29">
        <f t="shared" si="11"/>
        <v>0</v>
      </c>
      <c r="V96" s="29">
        <f t="shared" si="12"/>
        <v>0</v>
      </c>
      <c r="W96" s="29" t="str">
        <f t="shared" si="18"/>
        <v/>
      </c>
      <c r="X96" s="29" t="str">
        <f t="shared" si="13"/>
        <v/>
      </c>
      <c r="Y96" s="32" t="str">
        <f t="shared" si="14"/>
        <v/>
      </c>
      <c r="Z96" s="29" t="str">
        <f t="shared" si="15"/>
        <v/>
      </c>
      <c r="AA96" s="29" t="str">
        <f t="shared" si="19"/>
        <v/>
      </c>
      <c r="AB96" s="29" t="str">
        <f t="shared" si="16"/>
        <v/>
      </c>
      <c r="AC96" t="str">
        <f t="shared" si="17"/>
        <v/>
      </c>
    </row>
    <row r="97" spans="15:29" x14ac:dyDescent="0.3">
      <c r="O97" s="25"/>
      <c r="P97" s="25"/>
      <c r="T97" s="29">
        <f t="shared" si="10"/>
        <v>0</v>
      </c>
      <c r="U97" s="29">
        <f t="shared" si="11"/>
        <v>0</v>
      </c>
      <c r="V97" s="29">
        <f t="shared" si="12"/>
        <v>0</v>
      </c>
      <c r="W97" s="29" t="str">
        <f t="shared" si="18"/>
        <v/>
      </c>
      <c r="X97" s="29" t="str">
        <f t="shared" si="13"/>
        <v/>
      </c>
      <c r="Y97" s="32" t="str">
        <f t="shared" si="14"/>
        <v/>
      </c>
      <c r="Z97" s="29" t="str">
        <f t="shared" si="15"/>
        <v/>
      </c>
      <c r="AA97" s="29" t="str">
        <f t="shared" si="19"/>
        <v/>
      </c>
      <c r="AB97" s="29" t="str">
        <f t="shared" si="16"/>
        <v/>
      </c>
      <c r="AC97" t="str">
        <f t="shared" si="17"/>
        <v/>
      </c>
    </row>
    <row r="98" spans="15:29" x14ac:dyDescent="0.3">
      <c r="O98" s="25"/>
      <c r="P98" s="25"/>
      <c r="T98" s="29">
        <f t="shared" si="10"/>
        <v>0</v>
      </c>
      <c r="U98" s="29">
        <f t="shared" si="11"/>
        <v>0</v>
      </c>
      <c r="V98" s="29">
        <f t="shared" si="12"/>
        <v>0</v>
      </c>
      <c r="W98" s="29" t="str">
        <f t="shared" si="18"/>
        <v/>
      </c>
      <c r="X98" s="29" t="str">
        <f t="shared" si="13"/>
        <v/>
      </c>
      <c r="Y98" s="32" t="str">
        <f t="shared" si="14"/>
        <v/>
      </c>
      <c r="Z98" s="29" t="str">
        <f t="shared" si="15"/>
        <v/>
      </c>
      <c r="AA98" s="29" t="str">
        <f t="shared" si="19"/>
        <v/>
      </c>
      <c r="AB98" s="29" t="str">
        <f t="shared" si="16"/>
        <v/>
      </c>
      <c r="AC98" t="str">
        <f t="shared" si="17"/>
        <v/>
      </c>
    </row>
    <row r="99" spans="15:29" x14ac:dyDescent="0.3">
      <c r="O99" s="25"/>
      <c r="P99" s="25"/>
      <c r="T99" s="29">
        <f t="shared" si="10"/>
        <v>0</v>
      </c>
      <c r="U99" s="29">
        <f t="shared" si="11"/>
        <v>0</v>
      </c>
      <c r="V99" s="29">
        <f t="shared" si="12"/>
        <v>0</v>
      </c>
      <c r="W99" s="29" t="str">
        <f t="shared" si="18"/>
        <v/>
      </c>
      <c r="X99" s="29" t="str">
        <f t="shared" si="13"/>
        <v/>
      </c>
      <c r="Y99" s="32" t="str">
        <f t="shared" si="14"/>
        <v/>
      </c>
      <c r="Z99" s="29" t="str">
        <f t="shared" si="15"/>
        <v/>
      </c>
      <c r="AA99" s="29" t="str">
        <f t="shared" si="19"/>
        <v/>
      </c>
      <c r="AB99" s="29" t="str">
        <f t="shared" si="16"/>
        <v/>
      </c>
      <c r="AC99" t="str">
        <f t="shared" si="17"/>
        <v/>
      </c>
    </row>
    <row r="100" spans="15:29" x14ac:dyDescent="0.3">
      <c r="O100" s="25"/>
      <c r="P100" s="25"/>
      <c r="T100" s="29">
        <f t="shared" si="10"/>
        <v>0</v>
      </c>
      <c r="U100" s="29">
        <f t="shared" si="11"/>
        <v>0</v>
      </c>
      <c r="V100" s="29">
        <f t="shared" si="12"/>
        <v>0</v>
      </c>
      <c r="W100" s="29" t="str">
        <f t="shared" si="18"/>
        <v/>
      </c>
      <c r="X100" s="29" t="str">
        <f t="shared" si="13"/>
        <v/>
      </c>
      <c r="Y100" s="32" t="str">
        <f t="shared" si="14"/>
        <v/>
      </c>
      <c r="Z100" s="29" t="str">
        <f t="shared" si="15"/>
        <v/>
      </c>
      <c r="AA100" s="29" t="str">
        <f t="shared" si="19"/>
        <v/>
      </c>
      <c r="AB100" s="29" t="str">
        <f t="shared" si="16"/>
        <v/>
      </c>
      <c r="AC100" t="str">
        <f t="shared" si="17"/>
        <v/>
      </c>
    </row>
    <row r="101" spans="15:29" x14ac:dyDescent="0.3">
      <c r="O101" s="25"/>
      <c r="P101" s="25"/>
      <c r="T101" s="29">
        <f t="shared" si="10"/>
        <v>0</v>
      </c>
      <c r="U101" s="29">
        <f t="shared" si="11"/>
        <v>0</v>
      </c>
      <c r="V101" s="29">
        <f t="shared" si="12"/>
        <v>0</v>
      </c>
      <c r="W101" s="29" t="str">
        <f t="shared" si="18"/>
        <v/>
      </c>
      <c r="X101" s="29" t="str">
        <f t="shared" si="13"/>
        <v/>
      </c>
      <c r="Y101" s="32" t="str">
        <f t="shared" si="14"/>
        <v/>
      </c>
      <c r="Z101" s="29" t="str">
        <f t="shared" si="15"/>
        <v/>
      </c>
      <c r="AA101" s="29" t="str">
        <f t="shared" si="19"/>
        <v/>
      </c>
      <c r="AB101" s="29" t="str">
        <f t="shared" si="16"/>
        <v/>
      </c>
      <c r="AC101" t="str">
        <f t="shared" si="17"/>
        <v/>
      </c>
    </row>
    <row r="102" spans="15:29" x14ac:dyDescent="0.3">
      <c r="O102" s="25"/>
      <c r="P102" s="25"/>
      <c r="T102" s="29">
        <f t="shared" si="10"/>
        <v>0</v>
      </c>
      <c r="U102" s="29">
        <f t="shared" si="11"/>
        <v>0</v>
      </c>
      <c r="V102" s="29">
        <f t="shared" si="12"/>
        <v>0</v>
      </c>
      <c r="W102" s="29" t="str">
        <f t="shared" si="18"/>
        <v/>
      </c>
      <c r="X102" s="29" t="str">
        <f t="shared" si="13"/>
        <v/>
      </c>
      <c r="Y102" s="32" t="str">
        <f t="shared" si="14"/>
        <v/>
      </c>
      <c r="Z102" s="29" t="str">
        <f t="shared" si="15"/>
        <v/>
      </c>
      <c r="AA102" s="29" t="str">
        <f t="shared" si="19"/>
        <v/>
      </c>
      <c r="AB102" s="29" t="str">
        <f t="shared" si="16"/>
        <v/>
      </c>
      <c r="AC102" t="str">
        <f t="shared" si="17"/>
        <v/>
      </c>
    </row>
    <row r="103" spans="15:29" x14ac:dyDescent="0.3">
      <c r="O103" s="25"/>
      <c r="P103" s="25"/>
      <c r="T103" s="29">
        <f t="shared" si="10"/>
        <v>0</v>
      </c>
      <c r="U103" s="29">
        <f t="shared" si="11"/>
        <v>0</v>
      </c>
      <c r="V103" s="29">
        <f t="shared" si="12"/>
        <v>0</v>
      </c>
      <c r="W103" s="29" t="str">
        <f t="shared" si="18"/>
        <v/>
      </c>
      <c r="X103" s="29" t="str">
        <f t="shared" si="13"/>
        <v/>
      </c>
      <c r="Y103" s="32" t="str">
        <f t="shared" si="14"/>
        <v/>
      </c>
      <c r="Z103" s="29" t="str">
        <f t="shared" si="15"/>
        <v/>
      </c>
      <c r="AA103" s="29" t="str">
        <f t="shared" si="19"/>
        <v/>
      </c>
      <c r="AB103" s="29" t="str">
        <f t="shared" si="16"/>
        <v/>
      </c>
      <c r="AC103" t="str">
        <f t="shared" si="17"/>
        <v/>
      </c>
    </row>
    <row r="104" spans="15:29" x14ac:dyDescent="0.3">
      <c r="O104" s="25"/>
      <c r="P104" s="25"/>
      <c r="T104" s="29">
        <f t="shared" si="10"/>
        <v>0</v>
      </c>
      <c r="U104" s="29">
        <f t="shared" si="11"/>
        <v>0</v>
      </c>
      <c r="V104" s="29">
        <f t="shared" si="12"/>
        <v>0</v>
      </c>
      <c r="W104" s="29" t="str">
        <f t="shared" si="18"/>
        <v/>
      </c>
      <c r="X104" s="29" t="str">
        <f t="shared" si="13"/>
        <v/>
      </c>
      <c r="Y104" s="32" t="str">
        <f t="shared" si="14"/>
        <v/>
      </c>
      <c r="Z104" s="29" t="str">
        <f t="shared" si="15"/>
        <v/>
      </c>
      <c r="AA104" s="29" t="str">
        <f t="shared" si="19"/>
        <v/>
      </c>
      <c r="AB104" s="29" t="str">
        <f t="shared" si="16"/>
        <v/>
      </c>
      <c r="AC104" t="str">
        <f t="shared" si="17"/>
        <v/>
      </c>
    </row>
    <row r="105" spans="15:29" x14ac:dyDescent="0.3">
      <c r="O105" s="25"/>
      <c r="P105" s="25"/>
      <c r="T105" s="29">
        <f t="shared" si="10"/>
        <v>0</v>
      </c>
      <c r="U105" s="29">
        <f t="shared" si="11"/>
        <v>0</v>
      </c>
      <c r="V105" s="29">
        <f t="shared" si="12"/>
        <v>0</v>
      </c>
      <c r="W105" s="29" t="str">
        <f t="shared" si="18"/>
        <v/>
      </c>
      <c r="X105" s="29" t="str">
        <f t="shared" si="13"/>
        <v/>
      </c>
      <c r="Y105" s="32" t="str">
        <f t="shared" si="14"/>
        <v/>
      </c>
      <c r="Z105" s="29" t="str">
        <f t="shared" si="15"/>
        <v/>
      </c>
      <c r="AA105" s="29" t="str">
        <f t="shared" si="19"/>
        <v/>
      </c>
      <c r="AB105" s="29" t="str">
        <f t="shared" si="16"/>
        <v/>
      </c>
      <c r="AC105" t="str">
        <f t="shared" si="17"/>
        <v/>
      </c>
    </row>
    <row r="106" spans="15:29" x14ac:dyDescent="0.3">
      <c r="O106" s="25"/>
      <c r="P106" s="25"/>
      <c r="T106" s="29">
        <f t="shared" si="10"/>
        <v>0</v>
      </c>
      <c r="U106" s="29">
        <f t="shared" si="11"/>
        <v>0</v>
      </c>
      <c r="V106" s="29">
        <f t="shared" si="12"/>
        <v>0</v>
      </c>
      <c r="W106" s="29" t="str">
        <f t="shared" si="18"/>
        <v/>
      </c>
      <c r="X106" s="29" t="str">
        <f t="shared" si="13"/>
        <v/>
      </c>
      <c r="Y106" s="32" t="str">
        <f t="shared" si="14"/>
        <v/>
      </c>
      <c r="Z106" s="29" t="str">
        <f t="shared" si="15"/>
        <v/>
      </c>
      <c r="AA106" s="29" t="str">
        <f t="shared" si="19"/>
        <v/>
      </c>
      <c r="AB106" s="29" t="str">
        <f t="shared" si="16"/>
        <v/>
      </c>
      <c r="AC106" t="str">
        <f t="shared" si="17"/>
        <v/>
      </c>
    </row>
    <row r="107" spans="15:29" x14ac:dyDescent="0.3">
      <c r="O107" s="25"/>
      <c r="P107" s="25"/>
      <c r="T107" s="29">
        <f t="shared" si="10"/>
        <v>0</v>
      </c>
      <c r="U107" s="29">
        <f t="shared" si="11"/>
        <v>0</v>
      </c>
      <c r="V107" s="29">
        <f t="shared" si="12"/>
        <v>0</v>
      </c>
      <c r="W107" s="29" t="str">
        <f t="shared" si="18"/>
        <v/>
      </c>
      <c r="X107" s="29" t="str">
        <f t="shared" si="13"/>
        <v/>
      </c>
      <c r="Y107" s="32" t="str">
        <f t="shared" si="14"/>
        <v/>
      </c>
      <c r="Z107" s="29" t="str">
        <f t="shared" si="15"/>
        <v/>
      </c>
      <c r="AA107" s="29" t="str">
        <f t="shared" si="19"/>
        <v/>
      </c>
      <c r="AB107" s="29" t="str">
        <f t="shared" si="16"/>
        <v/>
      </c>
      <c r="AC107" t="str">
        <f t="shared" si="17"/>
        <v/>
      </c>
    </row>
    <row r="108" spans="15:29" x14ac:dyDescent="0.3">
      <c r="O108" s="25"/>
      <c r="P108" s="25"/>
      <c r="T108" s="29">
        <f t="shared" si="10"/>
        <v>0</v>
      </c>
      <c r="U108" s="29">
        <f t="shared" si="11"/>
        <v>0</v>
      </c>
      <c r="V108" s="29">
        <f t="shared" si="12"/>
        <v>0</v>
      </c>
      <c r="W108" s="29" t="str">
        <f t="shared" si="18"/>
        <v/>
      </c>
      <c r="X108" s="29" t="str">
        <f t="shared" si="13"/>
        <v/>
      </c>
      <c r="Y108" s="32" t="str">
        <f t="shared" si="14"/>
        <v/>
      </c>
      <c r="Z108" s="29" t="str">
        <f t="shared" si="15"/>
        <v/>
      </c>
      <c r="AA108" s="29" t="str">
        <f t="shared" si="19"/>
        <v/>
      </c>
      <c r="AB108" s="29" t="str">
        <f t="shared" si="16"/>
        <v/>
      </c>
      <c r="AC108" t="str">
        <f t="shared" si="17"/>
        <v/>
      </c>
    </row>
    <row r="109" spans="15:29" x14ac:dyDescent="0.3">
      <c r="O109" s="25"/>
      <c r="P109" s="25"/>
      <c r="T109" s="29">
        <f t="shared" si="10"/>
        <v>0</v>
      </c>
      <c r="U109" s="29">
        <f t="shared" si="11"/>
        <v>0</v>
      </c>
      <c r="V109" s="29">
        <f t="shared" si="12"/>
        <v>0</v>
      </c>
      <c r="W109" s="29" t="str">
        <f t="shared" si="18"/>
        <v/>
      </c>
      <c r="X109" s="29" t="str">
        <f t="shared" si="13"/>
        <v/>
      </c>
      <c r="Y109" s="32" t="str">
        <f t="shared" si="14"/>
        <v/>
      </c>
      <c r="Z109" s="29" t="str">
        <f t="shared" si="15"/>
        <v/>
      </c>
      <c r="AA109" s="29" t="str">
        <f t="shared" si="19"/>
        <v/>
      </c>
      <c r="AB109" s="29" t="str">
        <f t="shared" si="16"/>
        <v/>
      </c>
      <c r="AC109" t="str">
        <f t="shared" si="17"/>
        <v/>
      </c>
    </row>
    <row r="110" spans="15:29" x14ac:dyDescent="0.3">
      <c r="O110" s="25"/>
      <c r="P110" s="25"/>
      <c r="T110" s="29">
        <f t="shared" si="10"/>
        <v>0</v>
      </c>
      <c r="U110" s="29">
        <f t="shared" si="11"/>
        <v>0</v>
      </c>
      <c r="V110" s="29">
        <f t="shared" si="12"/>
        <v>0</v>
      </c>
      <c r="W110" s="29" t="str">
        <f t="shared" si="18"/>
        <v/>
      </c>
      <c r="X110" s="29" t="str">
        <f t="shared" si="13"/>
        <v/>
      </c>
      <c r="Y110" s="32" t="str">
        <f t="shared" si="14"/>
        <v/>
      </c>
      <c r="Z110" s="29" t="str">
        <f t="shared" si="15"/>
        <v/>
      </c>
      <c r="AA110" s="29" t="str">
        <f t="shared" si="19"/>
        <v/>
      </c>
      <c r="AB110" s="29" t="str">
        <f t="shared" si="16"/>
        <v/>
      </c>
      <c r="AC110" t="str">
        <f t="shared" si="17"/>
        <v/>
      </c>
    </row>
    <row r="111" spans="15:29" x14ac:dyDescent="0.3">
      <c r="O111" s="25"/>
      <c r="P111" s="25"/>
      <c r="T111" s="29">
        <f t="shared" si="10"/>
        <v>0</v>
      </c>
      <c r="U111" s="29">
        <f t="shared" si="11"/>
        <v>0</v>
      </c>
      <c r="V111" s="29">
        <f t="shared" si="12"/>
        <v>0</v>
      </c>
      <c r="W111" s="29" t="str">
        <f t="shared" si="18"/>
        <v/>
      </c>
      <c r="X111" s="29" t="str">
        <f t="shared" si="13"/>
        <v/>
      </c>
      <c r="Y111" s="32" t="str">
        <f t="shared" si="14"/>
        <v/>
      </c>
      <c r="Z111" s="29" t="str">
        <f t="shared" si="15"/>
        <v/>
      </c>
      <c r="AA111" s="29" t="str">
        <f t="shared" si="19"/>
        <v/>
      </c>
      <c r="AB111" s="29" t="str">
        <f t="shared" si="16"/>
        <v/>
      </c>
      <c r="AC111" t="str">
        <f t="shared" si="17"/>
        <v/>
      </c>
    </row>
    <row r="112" spans="15:29" x14ac:dyDescent="0.3">
      <c r="O112" s="25"/>
      <c r="P112" s="25"/>
      <c r="T112" s="29">
        <f t="shared" si="10"/>
        <v>0</v>
      </c>
      <c r="U112" s="29">
        <f t="shared" si="11"/>
        <v>0</v>
      </c>
      <c r="V112" s="29">
        <f t="shared" si="12"/>
        <v>0</v>
      </c>
      <c r="W112" s="29" t="str">
        <f t="shared" si="18"/>
        <v/>
      </c>
      <c r="X112" s="29" t="str">
        <f t="shared" si="13"/>
        <v/>
      </c>
      <c r="Y112" s="32" t="str">
        <f t="shared" si="14"/>
        <v/>
      </c>
      <c r="Z112" s="29" t="str">
        <f t="shared" si="15"/>
        <v/>
      </c>
      <c r="AA112" s="29" t="str">
        <f t="shared" si="19"/>
        <v/>
      </c>
      <c r="AB112" s="29" t="str">
        <f t="shared" si="16"/>
        <v/>
      </c>
      <c r="AC112" t="str">
        <f t="shared" si="17"/>
        <v/>
      </c>
    </row>
    <row r="113" spans="15:29" x14ac:dyDescent="0.3">
      <c r="O113" s="25"/>
      <c r="P113" s="25"/>
      <c r="T113" s="29">
        <f t="shared" si="10"/>
        <v>0</v>
      </c>
      <c r="U113" s="29">
        <f t="shared" si="11"/>
        <v>0</v>
      </c>
      <c r="V113" s="29">
        <f t="shared" si="12"/>
        <v>0</v>
      </c>
      <c r="W113" s="29" t="str">
        <f t="shared" si="18"/>
        <v/>
      </c>
      <c r="X113" s="29" t="str">
        <f t="shared" si="13"/>
        <v/>
      </c>
      <c r="Y113" s="32" t="str">
        <f t="shared" si="14"/>
        <v/>
      </c>
      <c r="Z113" s="29" t="str">
        <f t="shared" si="15"/>
        <v/>
      </c>
      <c r="AA113" s="29" t="str">
        <f t="shared" si="19"/>
        <v/>
      </c>
      <c r="AB113" s="29" t="str">
        <f t="shared" si="16"/>
        <v/>
      </c>
      <c r="AC113" t="str">
        <f t="shared" si="17"/>
        <v/>
      </c>
    </row>
    <row r="114" spans="15:29" x14ac:dyDescent="0.3">
      <c r="O114" s="25"/>
      <c r="P114" s="25"/>
      <c r="T114" s="29">
        <f t="shared" si="10"/>
        <v>0</v>
      </c>
      <c r="U114" s="29">
        <f t="shared" si="11"/>
        <v>0</v>
      </c>
      <c r="V114" s="29">
        <f t="shared" si="12"/>
        <v>0</v>
      </c>
      <c r="W114" s="29" t="str">
        <f t="shared" si="18"/>
        <v/>
      </c>
      <c r="X114" s="29" t="str">
        <f t="shared" si="13"/>
        <v/>
      </c>
      <c r="Y114" s="32" t="str">
        <f t="shared" si="14"/>
        <v/>
      </c>
      <c r="Z114" s="29" t="str">
        <f t="shared" si="15"/>
        <v/>
      </c>
      <c r="AA114" s="29" t="str">
        <f t="shared" si="19"/>
        <v/>
      </c>
      <c r="AB114" s="29" t="str">
        <f t="shared" si="16"/>
        <v/>
      </c>
      <c r="AC114" t="str">
        <f t="shared" si="17"/>
        <v/>
      </c>
    </row>
    <row r="115" spans="15:29" x14ac:dyDescent="0.3">
      <c r="O115" s="25"/>
      <c r="P115" s="25"/>
      <c r="T115" s="29">
        <f t="shared" si="10"/>
        <v>0</v>
      </c>
      <c r="U115" s="29">
        <f t="shared" si="11"/>
        <v>0</v>
      </c>
      <c r="V115" s="29">
        <f t="shared" si="12"/>
        <v>0</v>
      </c>
      <c r="W115" s="29" t="str">
        <f t="shared" si="18"/>
        <v/>
      </c>
      <c r="X115" s="29" t="str">
        <f t="shared" si="13"/>
        <v/>
      </c>
      <c r="Y115" s="32" t="str">
        <f t="shared" si="14"/>
        <v/>
      </c>
      <c r="Z115" s="29" t="str">
        <f t="shared" si="15"/>
        <v/>
      </c>
      <c r="AA115" s="29" t="str">
        <f t="shared" si="19"/>
        <v/>
      </c>
      <c r="AB115" s="29" t="str">
        <f t="shared" si="16"/>
        <v/>
      </c>
      <c r="AC115" t="str">
        <f t="shared" si="17"/>
        <v/>
      </c>
    </row>
    <row r="116" spans="15:29" x14ac:dyDescent="0.3">
      <c r="T116" s="29">
        <f t="shared" si="10"/>
        <v>0</v>
      </c>
      <c r="U116" s="29">
        <f t="shared" si="11"/>
        <v>0</v>
      </c>
      <c r="V116" s="29">
        <f t="shared" si="12"/>
        <v>0</v>
      </c>
      <c r="W116" s="29" t="str">
        <f t="shared" si="18"/>
        <v/>
      </c>
      <c r="X116" s="29" t="str">
        <f t="shared" si="13"/>
        <v/>
      </c>
      <c r="Y116" s="32" t="str">
        <f t="shared" si="14"/>
        <v/>
      </c>
      <c r="Z116" s="29" t="str">
        <f t="shared" si="15"/>
        <v/>
      </c>
      <c r="AA116" s="29" t="str">
        <f t="shared" si="19"/>
        <v/>
      </c>
      <c r="AB116" s="29" t="str">
        <f t="shared" si="16"/>
        <v/>
      </c>
      <c r="AC116" t="str">
        <f t="shared" si="17"/>
        <v/>
      </c>
    </row>
    <row r="117" spans="15:29" x14ac:dyDescent="0.3">
      <c r="T117" s="29">
        <f t="shared" si="10"/>
        <v>0</v>
      </c>
      <c r="U117" s="29">
        <f t="shared" si="11"/>
        <v>0</v>
      </c>
      <c r="V117" s="29">
        <f t="shared" si="12"/>
        <v>0</v>
      </c>
      <c r="W117" s="29" t="str">
        <f t="shared" si="18"/>
        <v/>
      </c>
      <c r="X117" s="29" t="str">
        <f t="shared" si="13"/>
        <v/>
      </c>
      <c r="Y117" s="32" t="str">
        <f t="shared" si="14"/>
        <v/>
      </c>
      <c r="Z117" s="29" t="str">
        <f t="shared" si="15"/>
        <v/>
      </c>
      <c r="AA117" s="29" t="str">
        <f t="shared" si="19"/>
        <v/>
      </c>
      <c r="AB117" s="29" t="str">
        <f t="shared" si="16"/>
        <v/>
      </c>
      <c r="AC117" t="str">
        <f t="shared" si="17"/>
        <v/>
      </c>
    </row>
    <row r="118" spans="15:29" x14ac:dyDescent="0.3">
      <c r="T118" s="29">
        <f t="shared" si="10"/>
        <v>0</v>
      </c>
      <c r="U118" s="29">
        <f t="shared" si="11"/>
        <v>0</v>
      </c>
      <c r="V118" s="29">
        <f t="shared" si="12"/>
        <v>0</v>
      </c>
      <c r="W118" s="29" t="str">
        <f t="shared" si="18"/>
        <v/>
      </c>
      <c r="X118" s="29" t="str">
        <f t="shared" si="13"/>
        <v/>
      </c>
      <c r="Y118" s="32" t="str">
        <f t="shared" si="14"/>
        <v/>
      </c>
      <c r="Z118" s="29" t="str">
        <f t="shared" si="15"/>
        <v/>
      </c>
      <c r="AA118" s="29" t="str">
        <f t="shared" si="19"/>
        <v/>
      </c>
      <c r="AB118" s="29" t="str">
        <f t="shared" si="16"/>
        <v/>
      </c>
      <c r="AC118" t="str">
        <f t="shared" si="17"/>
        <v/>
      </c>
    </row>
    <row r="119" spans="15:29" x14ac:dyDescent="0.3">
      <c r="T119" s="29">
        <f t="shared" si="10"/>
        <v>0</v>
      </c>
      <c r="U119" s="29">
        <f t="shared" si="11"/>
        <v>0</v>
      </c>
      <c r="V119" s="29">
        <f t="shared" si="12"/>
        <v>0</v>
      </c>
      <c r="W119" s="29" t="str">
        <f t="shared" si="18"/>
        <v/>
      </c>
      <c r="X119" s="29" t="str">
        <f t="shared" si="13"/>
        <v/>
      </c>
      <c r="Y119" s="32" t="str">
        <f t="shared" si="14"/>
        <v/>
      </c>
      <c r="Z119" s="29" t="str">
        <f t="shared" si="15"/>
        <v/>
      </c>
      <c r="AA119" s="29" t="str">
        <f t="shared" si="19"/>
        <v/>
      </c>
      <c r="AB119" s="29" t="str">
        <f t="shared" si="16"/>
        <v/>
      </c>
      <c r="AC119" t="str">
        <f t="shared" si="17"/>
        <v/>
      </c>
    </row>
    <row r="120" spans="15:29" x14ac:dyDescent="0.3">
      <c r="T120" s="29">
        <f t="shared" si="10"/>
        <v>0</v>
      </c>
      <c r="U120" s="29">
        <f t="shared" si="11"/>
        <v>0</v>
      </c>
      <c r="V120" s="29">
        <f t="shared" si="12"/>
        <v>0</v>
      </c>
      <c r="W120" s="29" t="str">
        <f t="shared" si="18"/>
        <v/>
      </c>
      <c r="X120" s="29" t="str">
        <f t="shared" si="13"/>
        <v/>
      </c>
      <c r="Y120" s="32" t="str">
        <f t="shared" si="14"/>
        <v/>
      </c>
      <c r="Z120" s="29" t="str">
        <f t="shared" si="15"/>
        <v/>
      </c>
      <c r="AA120" s="29" t="str">
        <f t="shared" si="19"/>
        <v/>
      </c>
      <c r="AB120" s="29" t="str">
        <f t="shared" si="16"/>
        <v/>
      </c>
      <c r="AC120" t="str">
        <f t="shared" si="17"/>
        <v/>
      </c>
    </row>
    <row r="121" spans="15:29" x14ac:dyDescent="0.3">
      <c r="T121" s="29">
        <f t="shared" si="10"/>
        <v>0</v>
      </c>
      <c r="U121" s="29">
        <f t="shared" si="11"/>
        <v>0</v>
      </c>
      <c r="V121" s="29">
        <f t="shared" si="12"/>
        <v>0</v>
      </c>
      <c r="W121" s="29" t="str">
        <f t="shared" si="18"/>
        <v/>
      </c>
      <c r="X121" s="29" t="str">
        <f t="shared" si="13"/>
        <v/>
      </c>
      <c r="Y121" s="32" t="str">
        <f t="shared" si="14"/>
        <v/>
      </c>
      <c r="Z121" s="29" t="str">
        <f t="shared" si="15"/>
        <v/>
      </c>
      <c r="AA121" s="29" t="str">
        <f t="shared" si="19"/>
        <v/>
      </c>
      <c r="AB121" s="29" t="str">
        <f t="shared" si="16"/>
        <v/>
      </c>
      <c r="AC121" t="str">
        <f t="shared" si="17"/>
        <v/>
      </c>
    </row>
    <row r="122" spans="15:29" x14ac:dyDescent="0.3">
      <c r="T122" s="29">
        <f t="shared" si="10"/>
        <v>0</v>
      </c>
      <c r="U122" s="29">
        <f t="shared" si="11"/>
        <v>0</v>
      </c>
      <c r="V122" s="29">
        <f t="shared" si="12"/>
        <v>0</v>
      </c>
      <c r="W122" s="29" t="str">
        <f t="shared" si="18"/>
        <v/>
      </c>
      <c r="X122" s="29" t="str">
        <f t="shared" si="13"/>
        <v/>
      </c>
      <c r="Y122" s="32" t="str">
        <f t="shared" si="14"/>
        <v/>
      </c>
      <c r="Z122" s="29" t="str">
        <f t="shared" si="15"/>
        <v/>
      </c>
      <c r="AA122" s="29" t="str">
        <f t="shared" si="19"/>
        <v/>
      </c>
      <c r="AB122" s="29" t="str">
        <f t="shared" si="16"/>
        <v/>
      </c>
      <c r="AC122" t="str">
        <f t="shared" si="17"/>
        <v/>
      </c>
    </row>
    <row r="123" spans="15:29" x14ac:dyDescent="0.3">
      <c r="T123" s="29">
        <f t="shared" si="10"/>
        <v>0</v>
      </c>
      <c r="U123" s="29">
        <f t="shared" si="11"/>
        <v>0</v>
      </c>
      <c r="V123" s="29">
        <f t="shared" si="12"/>
        <v>0</v>
      </c>
      <c r="W123" s="29" t="str">
        <f t="shared" si="18"/>
        <v/>
      </c>
      <c r="X123" s="29" t="str">
        <f t="shared" si="13"/>
        <v/>
      </c>
      <c r="Y123" s="32" t="str">
        <f t="shared" si="14"/>
        <v/>
      </c>
      <c r="Z123" s="29" t="str">
        <f t="shared" si="15"/>
        <v/>
      </c>
      <c r="AA123" s="29" t="str">
        <f t="shared" si="19"/>
        <v/>
      </c>
      <c r="AB123" s="29" t="str">
        <f t="shared" si="16"/>
        <v/>
      </c>
      <c r="AC123" t="str">
        <f t="shared" si="17"/>
        <v/>
      </c>
    </row>
    <row r="124" spans="15:29" x14ac:dyDescent="0.3">
      <c r="T124" s="29">
        <f t="shared" si="10"/>
        <v>0</v>
      </c>
      <c r="U124" s="29">
        <f t="shared" si="11"/>
        <v>0</v>
      </c>
      <c r="V124" s="29">
        <f t="shared" si="12"/>
        <v>0</v>
      </c>
      <c r="W124" s="29" t="str">
        <f t="shared" si="18"/>
        <v/>
      </c>
      <c r="X124" s="29" t="str">
        <f t="shared" si="13"/>
        <v/>
      </c>
      <c r="Y124" s="32" t="str">
        <f t="shared" si="14"/>
        <v/>
      </c>
      <c r="Z124" s="29" t="str">
        <f t="shared" si="15"/>
        <v/>
      </c>
      <c r="AA124" s="29" t="str">
        <f t="shared" si="19"/>
        <v/>
      </c>
      <c r="AB124" s="29" t="str">
        <f t="shared" si="16"/>
        <v/>
      </c>
      <c r="AC124" t="str">
        <f t="shared" si="17"/>
        <v/>
      </c>
    </row>
    <row r="125" spans="15:29" x14ac:dyDescent="0.3">
      <c r="T125" s="29">
        <f t="shared" si="10"/>
        <v>0</v>
      </c>
      <c r="U125" s="29">
        <f t="shared" si="11"/>
        <v>0</v>
      </c>
      <c r="V125" s="29">
        <f t="shared" si="12"/>
        <v>0</v>
      </c>
      <c r="W125" s="29" t="str">
        <f t="shared" si="18"/>
        <v/>
      </c>
      <c r="X125" s="29" t="str">
        <f t="shared" si="13"/>
        <v/>
      </c>
      <c r="Y125" s="32" t="str">
        <f t="shared" si="14"/>
        <v/>
      </c>
      <c r="Z125" s="29" t="str">
        <f t="shared" si="15"/>
        <v/>
      </c>
      <c r="AA125" s="29" t="str">
        <f t="shared" si="19"/>
        <v/>
      </c>
      <c r="AB125" s="29" t="str">
        <f t="shared" si="16"/>
        <v/>
      </c>
      <c r="AC125" t="str">
        <f t="shared" si="17"/>
        <v/>
      </c>
    </row>
    <row r="126" spans="15:29" x14ac:dyDescent="0.3">
      <c r="T126" s="29">
        <f t="shared" si="10"/>
        <v>0</v>
      </c>
      <c r="U126" s="29">
        <f t="shared" si="11"/>
        <v>0</v>
      </c>
      <c r="V126" s="29">
        <f t="shared" si="12"/>
        <v>0</v>
      </c>
      <c r="W126" s="29" t="str">
        <f t="shared" si="18"/>
        <v/>
      </c>
      <c r="X126" s="29" t="str">
        <f t="shared" si="13"/>
        <v/>
      </c>
      <c r="Y126" s="32" t="str">
        <f t="shared" si="14"/>
        <v/>
      </c>
      <c r="Z126" s="29" t="str">
        <f t="shared" si="15"/>
        <v/>
      </c>
      <c r="AA126" s="29" t="str">
        <f t="shared" si="19"/>
        <v/>
      </c>
      <c r="AB126" s="29" t="str">
        <f t="shared" si="16"/>
        <v/>
      </c>
      <c r="AC126" t="str">
        <f t="shared" si="17"/>
        <v/>
      </c>
    </row>
    <row r="127" spans="15:29" x14ac:dyDescent="0.3">
      <c r="T127" s="29">
        <f t="shared" si="10"/>
        <v>0</v>
      </c>
      <c r="U127" s="29">
        <f t="shared" si="11"/>
        <v>0</v>
      </c>
      <c r="V127" s="29">
        <f t="shared" si="12"/>
        <v>0</v>
      </c>
      <c r="W127" s="29" t="str">
        <f t="shared" si="18"/>
        <v/>
      </c>
      <c r="X127" s="29" t="str">
        <f t="shared" si="13"/>
        <v/>
      </c>
      <c r="Y127" s="32" t="str">
        <f t="shared" si="14"/>
        <v/>
      </c>
      <c r="Z127" s="29" t="str">
        <f t="shared" si="15"/>
        <v/>
      </c>
      <c r="AA127" s="29" t="str">
        <f t="shared" si="19"/>
        <v/>
      </c>
      <c r="AB127" s="29" t="str">
        <f t="shared" si="16"/>
        <v/>
      </c>
      <c r="AC127" t="str">
        <f t="shared" si="17"/>
        <v/>
      </c>
    </row>
    <row r="128" spans="15:29" x14ac:dyDescent="0.3">
      <c r="T128" s="29">
        <f t="shared" si="10"/>
        <v>0</v>
      </c>
      <c r="U128" s="29">
        <f t="shared" si="11"/>
        <v>0</v>
      </c>
      <c r="V128" s="29">
        <f t="shared" si="12"/>
        <v>0</v>
      </c>
      <c r="W128" s="29" t="str">
        <f t="shared" si="18"/>
        <v/>
      </c>
      <c r="X128" s="29" t="str">
        <f t="shared" si="13"/>
        <v/>
      </c>
      <c r="Y128" s="32" t="str">
        <f t="shared" si="14"/>
        <v/>
      </c>
      <c r="Z128" s="29" t="str">
        <f t="shared" si="15"/>
        <v/>
      </c>
      <c r="AA128" s="29" t="str">
        <f t="shared" si="19"/>
        <v/>
      </c>
      <c r="AB128" s="29" t="str">
        <f t="shared" si="16"/>
        <v/>
      </c>
      <c r="AC128" t="str">
        <f t="shared" si="17"/>
        <v/>
      </c>
    </row>
    <row r="129" spans="20:29" x14ac:dyDescent="0.3">
      <c r="T129" s="29">
        <f t="shared" si="10"/>
        <v>0</v>
      </c>
      <c r="U129" s="29">
        <f t="shared" si="11"/>
        <v>0</v>
      </c>
      <c r="V129" s="29">
        <f t="shared" si="12"/>
        <v>0</v>
      </c>
      <c r="W129" s="29" t="str">
        <f t="shared" si="18"/>
        <v/>
      </c>
      <c r="X129" s="29" t="str">
        <f t="shared" si="13"/>
        <v/>
      </c>
      <c r="Y129" s="32" t="str">
        <f t="shared" si="14"/>
        <v/>
      </c>
      <c r="Z129" s="29" t="str">
        <f t="shared" si="15"/>
        <v/>
      </c>
      <c r="AA129" s="29" t="str">
        <f t="shared" si="19"/>
        <v/>
      </c>
      <c r="AB129" s="29" t="str">
        <f t="shared" si="16"/>
        <v/>
      </c>
      <c r="AC129" t="str">
        <f t="shared" si="17"/>
        <v/>
      </c>
    </row>
    <row r="130" spans="20:29" x14ac:dyDescent="0.3">
      <c r="T130" s="29">
        <f t="shared" si="10"/>
        <v>0</v>
      </c>
      <c r="U130" s="29">
        <f t="shared" si="11"/>
        <v>0</v>
      </c>
      <c r="V130" s="29">
        <f t="shared" si="12"/>
        <v>0</v>
      </c>
      <c r="W130" s="29" t="str">
        <f t="shared" si="18"/>
        <v/>
      </c>
      <c r="X130" s="29" t="str">
        <f t="shared" si="13"/>
        <v/>
      </c>
      <c r="Y130" s="32" t="str">
        <f t="shared" si="14"/>
        <v/>
      </c>
      <c r="Z130" s="29" t="str">
        <f t="shared" si="15"/>
        <v/>
      </c>
      <c r="AA130" s="29" t="str">
        <f t="shared" si="19"/>
        <v/>
      </c>
      <c r="AB130" s="29" t="str">
        <f t="shared" si="16"/>
        <v/>
      </c>
      <c r="AC130" t="str">
        <f t="shared" si="17"/>
        <v/>
      </c>
    </row>
    <row r="131" spans="20:29" x14ac:dyDescent="0.3">
      <c r="T131" s="29">
        <f t="shared" ref="T131:T194" si="20">+O131/1.08</f>
        <v>0</v>
      </c>
      <c r="U131" s="29">
        <f t="shared" ref="U131:U194" si="21">+T131*N131</f>
        <v>0</v>
      </c>
      <c r="V131" s="29">
        <f t="shared" ref="V131:V194" si="22">+SUMIF(B:B,B131,U:U)</f>
        <v>0</v>
      </c>
      <c r="W131" s="29" t="str">
        <f t="shared" si="18"/>
        <v/>
      </c>
      <c r="X131" s="29" t="str">
        <f t="shared" ref="X131:X194" si="23">+IF(W131&lt;&gt;0,W131,"")</f>
        <v/>
      </c>
      <c r="Y131" s="32" t="str">
        <f t="shared" ref="Y131:Y194" si="24">+IF(X131&lt;&gt;"",8,"")</f>
        <v/>
      </c>
      <c r="Z131" s="29" t="str">
        <f t="shared" ref="Z131:Z194" si="25">+IF(X131&lt;&gt;"","VND","")</f>
        <v/>
      </c>
      <c r="AA131" s="29" t="str">
        <f t="shared" si="19"/>
        <v/>
      </c>
      <c r="AB131" s="29" t="str">
        <f t="shared" ref="AB131:AB194" si="26">+IF(AA131&lt;&gt;0,AA131,"")</f>
        <v/>
      </c>
      <c r="AC131" t="str">
        <f t="shared" ref="AC131:AC194" si="27">+IF(X131&lt;&gt;"","TM/CK","")</f>
        <v/>
      </c>
    </row>
    <row r="132" spans="20:29" x14ac:dyDescent="0.3">
      <c r="T132" s="29">
        <f t="shared" si="20"/>
        <v>0</v>
      </c>
      <c r="U132" s="29">
        <f t="shared" si="21"/>
        <v>0</v>
      </c>
      <c r="V132" s="29">
        <f t="shared" si="22"/>
        <v>0</v>
      </c>
      <c r="W132" s="29" t="str">
        <f t="shared" ref="W132:W195" si="28">+IF(V132=V131,"",V132)</f>
        <v/>
      </c>
      <c r="X132" s="29" t="str">
        <f t="shared" si="23"/>
        <v/>
      </c>
      <c r="Y132" s="32" t="str">
        <f t="shared" si="24"/>
        <v/>
      </c>
      <c r="Z132" s="29" t="str">
        <f t="shared" si="25"/>
        <v/>
      </c>
      <c r="AA132" s="29" t="str">
        <f t="shared" ref="AA132:AA195" si="29">+IF(B132=B131,"",E132)</f>
        <v/>
      </c>
      <c r="AB132" s="29" t="str">
        <f t="shared" si="26"/>
        <v/>
      </c>
      <c r="AC132" t="str">
        <f t="shared" si="27"/>
        <v/>
      </c>
    </row>
    <row r="133" spans="20:29" x14ac:dyDescent="0.3">
      <c r="T133" s="29">
        <f t="shared" si="20"/>
        <v>0</v>
      </c>
      <c r="U133" s="29">
        <f t="shared" si="21"/>
        <v>0</v>
      </c>
      <c r="V133" s="29">
        <f t="shared" si="22"/>
        <v>0</v>
      </c>
      <c r="W133" s="29" t="str">
        <f t="shared" si="28"/>
        <v/>
      </c>
      <c r="X133" s="29" t="str">
        <f t="shared" si="23"/>
        <v/>
      </c>
      <c r="Y133" s="32" t="str">
        <f t="shared" si="24"/>
        <v/>
      </c>
      <c r="Z133" s="29" t="str">
        <f t="shared" si="25"/>
        <v/>
      </c>
      <c r="AA133" s="29" t="str">
        <f t="shared" si="29"/>
        <v/>
      </c>
      <c r="AB133" s="29" t="str">
        <f t="shared" si="26"/>
        <v/>
      </c>
      <c r="AC133" t="str">
        <f t="shared" si="27"/>
        <v/>
      </c>
    </row>
    <row r="134" spans="20:29" x14ac:dyDescent="0.3">
      <c r="T134" s="29">
        <f t="shared" si="20"/>
        <v>0</v>
      </c>
      <c r="U134" s="29">
        <f t="shared" si="21"/>
        <v>0</v>
      </c>
      <c r="V134" s="29">
        <f t="shared" si="22"/>
        <v>0</v>
      </c>
      <c r="W134" s="29" t="str">
        <f t="shared" si="28"/>
        <v/>
      </c>
      <c r="X134" s="29" t="str">
        <f t="shared" si="23"/>
        <v/>
      </c>
      <c r="Y134" s="32" t="str">
        <f t="shared" si="24"/>
        <v/>
      </c>
      <c r="Z134" s="29" t="str">
        <f t="shared" si="25"/>
        <v/>
      </c>
      <c r="AA134" s="29" t="str">
        <f t="shared" si="29"/>
        <v/>
      </c>
      <c r="AB134" s="29" t="str">
        <f t="shared" si="26"/>
        <v/>
      </c>
      <c r="AC134" t="str">
        <f t="shared" si="27"/>
        <v/>
      </c>
    </row>
    <row r="135" spans="20:29" x14ac:dyDescent="0.3">
      <c r="T135" s="29">
        <f t="shared" si="20"/>
        <v>0</v>
      </c>
      <c r="U135" s="29">
        <f t="shared" si="21"/>
        <v>0</v>
      </c>
      <c r="V135" s="29">
        <f t="shared" si="22"/>
        <v>0</v>
      </c>
      <c r="W135" s="29" t="str">
        <f t="shared" si="28"/>
        <v/>
      </c>
      <c r="X135" s="29" t="str">
        <f t="shared" si="23"/>
        <v/>
      </c>
      <c r="Y135" s="32" t="str">
        <f t="shared" si="24"/>
        <v/>
      </c>
      <c r="Z135" s="29" t="str">
        <f t="shared" si="25"/>
        <v/>
      </c>
      <c r="AA135" s="29" t="str">
        <f t="shared" si="29"/>
        <v/>
      </c>
      <c r="AB135" s="29" t="str">
        <f t="shared" si="26"/>
        <v/>
      </c>
      <c r="AC135" t="str">
        <f t="shared" si="27"/>
        <v/>
      </c>
    </row>
    <row r="136" spans="20:29" x14ac:dyDescent="0.3">
      <c r="T136" s="29">
        <f t="shared" si="20"/>
        <v>0</v>
      </c>
      <c r="U136" s="29">
        <f t="shared" si="21"/>
        <v>0</v>
      </c>
      <c r="V136" s="29">
        <f t="shared" si="22"/>
        <v>0</v>
      </c>
      <c r="W136" s="29" t="str">
        <f t="shared" si="28"/>
        <v/>
      </c>
      <c r="X136" s="29" t="str">
        <f t="shared" si="23"/>
        <v/>
      </c>
      <c r="Y136" s="32" t="str">
        <f t="shared" si="24"/>
        <v/>
      </c>
      <c r="Z136" s="29" t="str">
        <f t="shared" si="25"/>
        <v/>
      </c>
      <c r="AA136" s="29" t="str">
        <f t="shared" si="29"/>
        <v/>
      </c>
      <c r="AB136" s="29" t="str">
        <f t="shared" si="26"/>
        <v/>
      </c>
      <c r="AC136" t="str">
        <f t="shared" si="27"/>
        <v/>
      </c>
    </row>
    <row r="137" spans="20:29" x14ac:dyDescent="0.3">
      <c r="T137" s="29">
        <f t="shared" si="20"/>
        <v>0</v>
      </c>
      <c r="U137" s="29">
        <f t="shared" si="21"/>
        <v>0</v>
      </c>
      <c r="V137" s="29">
        <f t="shared" si="22"/>
        <v>0</v>
      </c>
      <c r="W137" s="29" t="str">
        <f t="shared" si="28"/>
        <v/>
      </c>
      <c r="X137" s="29" t="str">
        <f t="shared" si="23"/>
        <v/>
      </c>
      <c r="Y137" s="32" t="str">
        <f t="shared" si="24"/>
        <v/>
      </c>
      <c r="Z137" s="29" t="str">
        <f t="shared" si="25"/>
        <v/>
      </c>
      <c r="AA137" s="29" t="str">
        <f t="shared" si="29"/>
        <v/>
      </c>
      <c r="AB137" s="29" t="str">
        <f t="shared" si="26"/>
        <v/>
      </c>
      <c r="AC137" t="str">
        <f t="shared" si="27"/>
        <v/>
      </c>
    </row>
    <row r="138" spans="20:29" x14ac:dyDescent="0.3">
      <c r="T138" s="29">
        <f t="shared" si="20"/>
        <v>0</v>
      </c>
      <c r="U138" s="29">
        <f t="shared" si="21"/>
        <v>0</v>
      </c>
      <c r="V138" s="29">
        <f t="shared" si="22"/>
        <v>0</v>
      </c>
      <c r="W138" s="29" t="str">
        <f t="shared" si="28"/>
        <v/>
      </c>
      <c r="X138" s="29" t="str">
        <f t="shared" si="23"/>
        <v/>
      </c>
      <c r="Y138" s="32" t="str">
        <f t="shared" si="24"/>
        <v/>
      </c>
      <c r="Z138" s="29" t="str">
        <f t="shared" si="25"/>
        <v/>
      </c>
      <c r="AA138" s="29" t="str">
        <f t="shared" si="29"/>
        <v/>
      </c>
      <c r="AB138" s="29" t="str">
        <f t="shared" si="26"/>
        <v/>
      </c>
      <c r="AC138" t="str">
        <f t="shared" si="27"/>
        <v/>
      </c>
    </row>
    <row r="139" spans="20:29" x14ac:dyDescent="0.3">
      <c r="T139" s="29">
        <f t="shared" si="20"/>
        <v>0</v>
      </c>
      <c r="U139" s="29">
        <f t="shared" si="21"/>
        <v>0</v>
      </c>
      <c r="V139" s="29">
        <f t="shared" si="22"/>
        <v>0</v>
      </c>
      <c r="W139" s="29" t="str">
        <f t="shared" si="28"/>
        <v/>
      </c>
      <c r="X139" s="29" t="str">
        <f t="shared" si="23"/>
        <v/>
      </c>
      <c r="Y139" s="32" t="str">
        <f t="shared" si="24"/>
        <v/>
      </c>
      <c r="Z139" s="29" t="str">
        <f t="shared" si="25"/>
        <v/>
      </c>
      <c r="AA139" s="29" t="str">
        <f t="shared" si="29"/>
        <v/>
      </c>
      <c r="AB139" s="29" t="str">
        <f t="shared" si="26"/>
        <v/>
      </c>
      <c r="AC139" t="str">
        <f t="shared" si="27"/>
        <v/>
      </c>
    </row>
    <row r="140" spans="20:29" x14ac:dyDescent="0.3">
      <c r="T140" s="29">
        <f t="shared" si="20"/>
        <v>0</v>
      </c>
      <c r="U140" s="29">
        <f t="shared" si="21"/>
        <v>0</v>
      </c>
      <c r="V140" s="29">
        <f t="shared" si="22"/>
        <v>0</v>
      </c>
      <c r="W140" s="29" t="str">
        <f t="shared" si="28"/>
        <v/>
      </c>
      <c r="X140" s="29" t="str">
        <f t="shared" si="23"/>
        <v/>
      </c>
      <c r="Y140" s="32" t="str">
        <f t="shared" si="24"/>
        <v/>
      </c>
      <c r="Z140" s="29" t="str">
        <f t="shared" si="25"/>
        <v/>
      </c>
      <c r="AA140" s="29" t="str">
        <f t="shared" si="29"/>
        <v/>
      </c>
      <c r="AB140" s="29" t="str">
        <f t="shared" si="26"/>
        <v/>
      </c>
      <c r="AC140" t="str">
        <f t="shared" si="27"/>
        <v/>
      </c>
    </row>
    <row r="141" spans="20:29" x14ac:dyDescent="0.3">
      <c r="T141" s="29">
        <f t="shared" si="20"/>
        <v>0</v>
      </c>
      <c r="U141" s="29">
        <f t="shared" si="21"/>
        <v>0</v>
      </c>
      <c r="V141" s="29">
        <f t="shared" si="22"/>
        <v>0</v>
      </c>
      <c r="W141" s="29" t="str">
        <f t="shared" si="28"/>
        <v/>
      </c>
      <c r="X141" s="29" t="str">
        <f t="shared" si="23"/>
        <v/>
      </c>
      <c r="Y141" s="32" t="str">
        <f t="shared" si="24"/>
        <v/>
      </c>
      <c r="Z141" s="29" t="str">
        <f t="shared" si="25"/>
        <v/>
      </c>
      <c r="AA141" s="29" t="str">
        <f t="shared" si="29"/>
        <v/>
      </c>
      <c r="AB141" s="29" t="str">
        <f t="shared" si="26"/>
        <v/>
      </c>
      <c r="AC141" t="str">
        <f t="shared" si="27"/>
        <v/>
      </c>
    </row>
    <row r="142" spans="20:29" x14ac:dyDescent="0.3">
      <c r="T142" s="29">
        <f t="shared" si="20"/>
        <v>0</v>
      </c>
      <c r="U142" s="29">
        <f t="shared" si="21"/>
        <v>0</v>
      </c>
      <c r="V142" s="29">
        <f t="shared" si="22"/>
        <v>0</v>
      </c>
      <c r="W142" s="29" t="str">
        <f t="shared" si="28"/>
        <v/>
      </c>
      <c r="X142" s="29" t="str">
        <f t="shared" si="23"/>
        <v/>
      </c>
      <c r="Y142" s="32" t="str">
        <f t="shared" si="24"/>
        <v/>
      </c>
      <c r="Z142" s="29" t="str">
        <f t="shared" si="25"/>
        <v/>
      </c>
      <c r="AA142" s="29" t="str">
        <f t="shared" si="29"/>
        <v/>
      </c>
      <c r="AB142" s="29" t="str">
        <f t="shared" si="26"/>
        <v/>
      </c>
      <c r="AC142" t="str">
        <f t="shared" si="27"/>
        <v/>
      </c>
    </row>
    <row r="143" spans="20:29" x14ac:dyDescent="0.3">
      <c r="T143" s="29">
        <f t="shared" si="20"/>
        <v>0</v>
      </c>
      <c r="U143" s="29">
        <f t="shared" si="21"/>
        <v>0</v>
      </c>
      <c r="V143" s="29">
        <f t="shared" si="22"/>
        <v>0</v>
      </c>
      <c r="W143" s="29" t="str">
        <f t="shared" si="28"/>
        <v/>
      </c>
      <c r="X143" s="29" t="str">
        <f t="shared" si="23"/>
        <v/>
      </c>
      <c r="Y143" s="32" t="str">
        <f t="shared" si="24"/>
        <v/>
      </c>
      <c r="Z143" s="29" t="str">
        <f t="shared" si="25"/>
        <v/>
      </c>
      <c r="AA143" s="29" t="str">
        <f t="shared" si="29"/>
        <v/>
      </c>
      <c r="AB143" s="29" t="str">
        <f t="shared" si="26"/>
        <v/>
      </c>
      <c r="AC143" t="str">
        <f t="shared" si="27"/>
        <v/>
      </c>
    </row>
    <row r="144" spans="20:29" x14ac:dyDescent="0.3">
      <c r="T144" s="29">
        <f t="shared" si="20"/>
        <v>0</v>
      </c>
      <c r="U144" s="29">
        <f t="shared" si="21"/>
        <v>0</v>
      </c>
      <c r="V144" s="29">
        <f t="shared" si="22"/>
        <v>0</v>
      </c>
      <c r="W144" s="29" t="str">
        <f t="shared" si="28"/>
        <v/>
      </c>
      <c r="X144" s="29" t="str">
        <f t="shared" si="23"/>
        <v/>
      </c>
      <c r="Y144" s="32" t="str">
        <f t="shared" si="24"/>
        <v/>
      </c>
      <c r="Z144" s="29" t="str">
        <f t="shared" si="25"/>
        <v/>
      </c>
      <c r="AA144" s="29" t="str">
        <f t="shared" si="29"/>
        <v/>
      </c>
      <c r="AB144" s="29" t="str">
        <f t="shared" si="26"/>
        <v/>
      </c>
      <c r="AC144" t="str">
        <f t="shared" si="27"/>
        <v/>
      </c>
    </row>
    <row r="145" spans="20:29" x14ac:dyDescent="0.3">
      <c r="T145" s="29">
        <f t="shared" si="20"/>
        <v>0</v>
      </c>
      <c r="U145" s="29">
        <f t="shared" si="21"/>
        <v>0</v>
      </c>
      <c r="V145" s="29">
        <f t="shared" si="22"/>
        <v>0</v>
      </c>
      <c r="W145" s="29" t="str">
        <f t="shared" si="28"/>
        <v/>
      </c>
      <c r="X145" s="29" t="str">
        <f t="shared" si="23"/>
        <v/>
      </c>
      <c r="Y145" s="32" t="str">
        <f t="shared" si="24"/>
        <v/>
      </c>
      <c r="Z145" s="29" t="str">
        <f t="shared" si="25"/>
        <v/>
      </c>
      <c r="AA145" s="29" t="str">
        <f t="shared" si="29"/>
        <v/>
      </c>
      <c r="AB145" s="29" t="str">
        <f t="shared" si="26"/>
        <v/>
      </c>
      <c r="AC145" t="str">
        <f t="shared" si="27"/>
        <v/>
      </c>
    </row>
    <row r="146" spans="20:29" x14ac:dyDescent="0.3">
      <c r="T146" s="29">
        <f t="shared" si="20"/>
        <v>0</v>
      </c>
      <c r="U146" s="29">
        <f t="shared" si="21"/>
        <v>0</v>
      </c>
      <c r="V146" s="29">
        <f t="shared" si="22"/>
        <v>0</v>
      </c>
      <c r="W146" s="29" t="str">
        <f t="shared" si="28"/>
        <v/>
      </c>
      <c r="X146" s="29" t="str">
        <f t="shared" si="23"/>
        <v/>
      </c>
      <c r="Y146" s="32" t="str">
        <f t="shared" si="24"/>
        <v/>
      </c>
      <c r="Z146" s="29" t="str">
        <f t="shared" si="25"/>
        <v/>
      </c>
      <c r="AA146" s="29" t="str">
        <f t="shared" si="29"/>
        <v/>
      </c>
      <c r="AB146" s="29" t="str">
        <f t="shared" si="26"/>
        <v/>
      </c>
      <c r="AC146" t="str">
        <f t="shared" si="27"/>
        <v/>
      </c>
    </row>
    <row r="147" spans="20:29" x14ac:dyDescent="0.3">
      <c r="T147" s="29">
        <f t="shared" si="20"/>
        <v>0</v>
      </c>
      <c r="U147" s="29">
        <f t="shared" si="21"/>
        <v>0</v>
      </c>
      <c r="V147" s="29">
        <f t="shared" si="22"/>
        <v>0</v>
      </c>
      <c r="W147" s="29" t="str">
        <f t="shared" si="28"/>
        <v/>
      </c>
      <c r="X147" s="29" t="str">
        <f t="shared" si="23"/>
        <v/>
      </c>
      <c r="Y147" s="32" t="str">
        <f t="shared" si="24"/>
        <v/>
      </c>
      <c r="Z147" s="29" t="str">
        <f t="shared" si="25"/>
        <v/>
      </c>
      <c r="AA147" s="29" t="str">
        <f t="shared" si="29"/>
        <v/>
      </c>
      <c r="AB147" s="29" t="str">
        <f t="shared" si="26"/>
        <v/>
      </c>
      <c r="AC147" t="str">
        <f t="shared" si="27"/>
        <v/>
      </c>
    </row>
    <row r="148" spans="20:29" x14ac:dyDescent="0.3">
      <c r="T148" s="29">
        <f t="shared" si="20"/>
        <v>0</v>
      </c>
      <c r="U148" s="29">
        <f t="shared" si="21"/>
        <v>0</v>
      </c>
      <c r="V148" s="29">
        <f t="shared" si="22"/>
        <v>0</v>
      </c>
      <c r="W148" s="29" t="str">
        <f t="shared" si="28"/>
        <v/>
      </c>
      <c r="X148" s="29" t="str">
        <f t="shared" si="23"/>
        <v/>
      </c>
      <c r="Y148" s="32" t="str">
        <f t="shared" si="24"/>
        <v/>
      </c>
      <c r="Z148" s="29" t="str">
        <f t="shared" si="25"/>
        <v/>
      </c>
      <c r="AA148" s="29" t="str">
        <f t="shared" si="29"/>
        <v/>
      </c>
      <c r="AB148" s="29" t="str">
        <f t="shared" si="26"/>
        <v/>
      </c>
      <c r="AC148" t="str">
        <f t="shared" si="27"/>
        <v/>
      </c>
    </row>
    <row r="149" spans="20:29" x14ac:dyDescent="0.3">
      <c r="T149" s="29">
        <f t="shared" si="20"/>
        <v>0</v>
      </c>
      <c r="U149" s="29">
        <f t="shared" si="21"/>
        <v>0</v>
      </c>
      <c r="V149" s="29">
        <f t="shared" si="22"/>
        <v>0</v>
      </c>
      <c r="W149" s="29" t="str">
        <f t="shared" si="28"/>
        <v/>
      </c>
      <c r="X149" s="29" t="str">
        <f t="shared" si="23"/>
        <v/>
      </c>
      <c r="Y149" s="32" t="str">
        <f t="shared" si="24"/>
        <v/>
      </c>
      <c r="Z149" s="29" t="str">
        <f t="shared" si="25"/>
        <v/>
      </c>
      <c r="AA149" s="29" t="str">
        <f t="shared" si="29"/>
        <v/>
      </c>
      <c r="AB149" s="29" t="str">
        <f t="shared" si="26"/>
        <v/>
      </c>
      <c r="AC149" t="str">
        <f t="shared" si="27"/>
        <v/>
      </c>
    </row>
    <row r="150" spans="20:29" x14ac:dyDescent="0.3">
      <c r="T150" s="29">
        <f t="shared" si="20"/>
        <v>0</v>
      </c>
      <c r="U150" s="29">
        <f t="shared" si="21"/>
        <v>0</v>
      </c>
      <c r="V150" s="29">
        <f t="shared" si="22"/>
        <v>0</v>
      </c>
      <c r="W150" s="29" t="str">
        <f t="shared" si="28"/>
        <v/>
      </c>
      <c r="X150" s="29" t="str">
        <f t="shared" si="23"/>
        <v/>
      </c>
      <c r="Y150" s="32" t="str">
        <f t="shared" si="24"/>
        <v/>
      </c>
      <c r="Z150" s="29" t="str">
        <f t="shared" si="25"/>
        <v/>
      </c>
      <c r="AA150" s="29" t="str">
        <f t="shared" si="29"/>
        <v/>
      </c>
      <c r="AB150" s="29" t="str">
        <f t="shared" si="26"/>
        <v/>
      </c>
      <c r="AC150" t="str">
        <f t="shared" si="27"/>
        <v/>
      </c>
    </row>
    <row r="151" spans="20:29" x14ac:dyDescent="0.3">
      <c r="T151" s="29">
        <f t="shared" si="20"/>
        <v>0</v>
      </c>
      <c r="U151" s="29">
        <f t="shared" si="21"/>
        <v>0</v>
      </c>
      <c r="V151" s="29">
        <f t="shared" si="22"/>
        <v>0</v>
      </c>
      <c r="W151" s="29" t="str">
        <f t="shared" si="28"/>
        <v/>
      </c>
      <c r="X151" s="29" t="str">
        <f t="shared" si="23"/>
        <v/>
      </c>
      <c r="Y151" s="32" t="str">
        <f t="shared" si="24"/>
        <v/>
      </c>
      <c r="Z151" s="29" t="str">
        <f t="shared" si="25"/>
        <v/>
      </c>
      <c r="AA151" s="29" t="str">
        <f t="shared" si="29"/>
        <v/>
      </c>
      <c r="AB151" s="29" t="str">
        <f t="shared" si="26"/>
        <v/>
      </c>
      <c r="AC151" t="str">
        <f t="shared" si="27"/>
        <v/>
      </c>
    </row>
    <row r="152" spans="20:29" x14ac:dyDescent="0.3">
      <c r="T152" s="29">
        <f t="shared" si="20"/>
        <v>0</v>
      </c>
      <c r="U152" s="29">
        <f t="shared" si="21"/>
        <v>0</v>
      </c>
      <c r="V152" s="29">
        <f t="shared" si="22"/>
        <v>0</v>
      </c>
      <c r="W152" s="29" t="str">
        <f t="shared" si="28"/>
        <v/>
      </c>
      <c r="X152" s="29" t="str">
        <f t="shared" si="23"/>
        <v/>
      </c>
      <c r="Y152" s="32" t="str">
        <f t="shared" si="24"/>
        <v/>
      </c>
      <c r="Z152" s="29" t="str">
        <f t="shared" si="25"/>
        <v/>
      </c>
      <c r="AA152" s="29" t="str">
        <f t="shared" si="29"/>
        <v/>
      </c>
      <c r="AB152" s="29" t="str">
        <f t="shared" si="26"/>
        <v/>
      </c>
      <c r="AC152" t="str">
        <f t="shared" si="27"/>
        <v/>
      </c>
    </row>
    <row r="153" spans="20:29" x14ac:dyDescent="0.3">
      <c r="T153" s="29">
        <f t="shared" si="20"/>
        <v>0</v>
      </c>
      <c r="U153" s="29">
        <f t="shared" si="21"/>
        <v>0</v>
      </c>
      <c r="V153" s="29">
        <f t="shared" si="22"/>
        <v>0</v>
      </c>
      <c r="W153" s="29" t="str">
        <f t="shared" si="28"/>
        <v/>
      </c>
      <c r="X153" s="29" t="str">
        <f t="shared" si="23"/>
        <v/>
      </c>
      <c r="Y153" s="32" t="str">
        <f t="shared" si="24"/>
        <v/>
      </c>
      <c r="Z153" s="29" t="str">
        <f t="shared" si="25"/>
        <v/>
      </c>
      <c r="AA153" s="29" t="str">
        <f t="shared" si="29"/>
        <v/>
      </c>
      <c r="AB153" s="29" t="str">
        <f t="shared" si="26"/>
        <v/>
      </c>
      <c r="AC153" t="str">
        <f t="shared" si="27"/>
        <v/>
      </c>
    </row>
    <row r="154" spans="20:29" x14ac:dyDescent="0.3">
      <c r="T154" s="29">
        <f t="shared" si="20"/>
        <v>0</v>
      </c>
      <c r="U154" s="29">
        <f t="shared" si="21"/>
        <v>0</v>
      </c>
      <c r="V154" s="29">
        <f t="shared" si="22"/>
        <v>0</v>
      </c>
      <c r="W154" s="29" t="str">
        <f t="shared" si="28"/>
        <v/>
      </c>
      <c r="X154" s="29" t="str">
        <f t="shared" si="23"/>
        <v/>
      </c>
      <c r="Y154" s="32" t="str">
        <f t="shared" si="24"/>
        <v/>
      </c>
      <c r="Z154" s="29" t="str">
        <f t="shared" si="25"/>
        <v/>
      </c>
      <c r="AA154" s="29" t="str">
        <f t="shared" si="29"/>
        <v/>
      </c>
      <c r="AB154" s="29" t="str">
        <f t="shared" si="26"/>
        <v/>
      </c>
      <c r="AC154" t="str">
        <f t="shared" si="27"/>
        <v/>
      </c>
    </row>
    <row r="155" spans="20:29" x14ac:dyDescent="0.3">
      <c r="T155" s="29">
        <f t="shared" si="20"/>
        <v>0</v>
      </c>
      <c r="U155" s="29">
        <f t="shared" si="21"/>
        <v>0</v>
      </c>
      <c r="V155" s="29">
        <f t="shared" si="22"/>
        <v>0</v>
      </c>
      <c r="W155" s="29" t="str">
        <f t="shared" si="28"/>
        <v/>
      </c>
      <c r="X155" s="29" t="str">
        <f t="shared" si="23"/>
        <v/>
      </c>
      <c r="Y155" s="32" t="str">
        <f t="shared" si="24"/>
        <v/>
      </c>
      <c r="Z155" s="29" t="str">
        <f t="shared" si="25"/>
        <v/>
      </c>
      <c r="AA155" s="29" t="str">
        <f t="shared" si="29"/>
        <v/>
      </c>
      <c r="AB155" s="29" t="str">
        <f t="shared" si="26"/>
        <v/>
      </c>
      <c r="AC155" t="str">
        <f t="shared" si="27"/>
        <v/>
      </c>
    </row>
    <row r="156" spans="20:29" x14ac:dyDescent="0.3">
      <c r="T156" s="29">
        <f t="shared" si="20"/>
        <v>0</v>
      </c>
      <c r="U156" s="29">
        <f t="shared" si="21"/>
        <v>0</v>
      </c>
      <c r="V156" s="29">
        <f t="shared" si="22"/>
        <v>0</v>
      </c>
      <c r="W156" s="29" t="str">
        <f t="shared" si="28"/>
        <v/>
      </c>
      <c r="X156" s="29" t="str">
        <f t="shared" si="23"/>
        <v/>
      </c>
      <c r="Y156" s="32" t="str">
        <f t="shared" si="24"/>
        <v/>
      </c>
      <c r="Z156" s="29" t="str">
        <f t="shared" si="25"/>
        <v/>
      </c>
      <c r="AA156" s="29" t="str">
        <f t="shared" si="29"/>
        <v/>
      </c>
      <c r="AB156" s="29" t="str">
        <f t="shared" si="26"/>
        <v/>
      </c>
      <c r="AC156" t="str">
        <f t="shared" si="27"/>
        <v/>
      </c>
    </row>
    <row r="157" spans="20:29" x14ac:dyDescent="0.3">
      <c r="T157" s="29">
        <f t="shared" si="20"/>
        <v>0</v>
      </c>
      <c r="U157" s="29">
        <f t="shared" si="21"/>
        <v>0</v>
      </c>
      <c r="V157" s="29">
        <f t="shared" si="22"/>
        <v>0</v>
      </c>
      <c r="W157" s="29" t="str">
        <f t="shared" si="28"/>
        <v/>
      </c>
      <c r="X157" s="29" t="str">
        <f t="shared" si="23"/>
        <v/>
      </c>
      <c r="Y157" s="32" t="str">
        <f t="shared" si="24"/>
        <v/>
      </c>
      <c r="Z157" s="29" t="str">
        <f t="shared" si="25"/>
        <v/>
      </c>
      <c r="AA157" s="29" t="str">
        <f t="shared" si="29"/>
        <v/>
      </c>
      <c r="AB157" s="29" t="str">
        <f t="shared" si="26"/>
        <v/>
      </c>
      <c r="AC157" t="str">
        <f t="shared" si="27"/>
        <v/>
      </c>
    </row>
    <row r="158" spans="20:29" x14ac:dyDescent="0.3">
      <c r="T158" s="29">
        <f t="shared" si="20"/>
        <v>0</v>
      </c>
      <c r="U158" s="29">
        <f t="shared" si="21"/>
        <v>0</v>
      </c>
      <c r="V158" s="29">
        <f t="shared" si="22"/>
        <v>0</v>
      </c>
      <c r="W158" s="29" t="str">
        <f t="shared" si="28"/>
        <v/>
      </c>
      <c r="X158" s="29" t="str">
        <f t="shared" si="23"/>
        <v/>
      </c>
      <c r="Y158" s="32" t="str">
        <f t="shared" si="24"/>
        <v/>
      </c>
      <c r="Z158" s="29" t="str">
        <f t="shared" si="25"/>
        <v/>
      </c>
      <c r="AA158" s="29" t="str">
        <f t="shared" si="29"/>
        <v/>
      </c>
      <c r="AB158" s="29" t="str">
        <f t="shared" si="26"/>
        <v/>
      </c>
      <c r="AC158" t="str">
        <f t="shared" si="27"/>
        <v/>
      </c>
    </row>
    <row r="159" spans="20:29" x14ac:dyDescent="0.3">
      <c r="T159" s="29">
        <f t="shared" si="20"/>
        <v>0</v>
      </c>
      <c r="U159" s="29">
        <f t="shared" si="21"/>
        <v>0</v>
      </c>
      <c r="V159" s="29">
        <f t="shared" si="22"/>
        <v>0</v>
      </c>
      <c r="W159" s="29" t="str">
        <f t="shared" si="28"/>
        <v/>
      </c>
      <c r="X159" s="29" t="str">
        <f t="shared" si="23"/>
        <v/>
      </c>
      <c r="Y159" s="32" t="str">
        <f t="shared" si="24"/>
        <v/>
      </c>
      <c r="Z159" s="29" t="str">
        <f t="shared" si="25"/>
        <v/>
      </c>
      <c r="AA159" s="29" t="str">
        <f t="shared" si="29"/>
        <v/>
      </c>
      <c r="AB159" s="29" t="str">
        <f t="shared" si="26"/>
        <v/>
      </c>
      <c r="AC159" t="str">
        <f t="shared" si="27"/>
        <v/>
      </c>
    </row>
    <row r="160" spans="20:29" x14ac:dyDescent="0.3">
      <c r="T160" s="29">
        <f t="shared" si="20"/>
        <v>0</v>
      </c>
      <c r="U160" s="29">
        <f t="shared" si="21"/>
        <v>0</v>
      </c>
      <c r="V160" s="29">
        <f t="shared" si="22"/>
        <v>0</v>
      </c>
      <c r="W160" s="29" t="str">
        <f t="shared" si="28"/>
        <v/>
      </c>
      <c r="X160" s="29" t="str">
        <f t="shared" si="23"/>
        <v/>
      </c>
      <c r="Y160" s="32" t="str">
        <f t="shared" si="24"/>
        <v/>
      </c>
      <c r="Z160" s="29" t="str">
        <f t="shared" si="25"/>
        <v/>
      </c>
      <c r="AA160" s="29" t="str">
        <f t="shared" si="29"/>
        <v/>
      </c>
      <c r="AB160" s="29" t="str">
        <f t="shared" si="26"/>
        <v/>
      </c>
      <c r="AC160" t="str">
        <f t="shared" si="27"/>
        <v/>
      </c>
    </row>
    <row r="161" spans="20:29" x14ac:dyDescent="0.3">
      <c r="T161" s="29">
        <f t="shared" si="20"/>
        <v>0</v>
      </c>
      <c r="U161" s="29">
        <f t="shared" si="21"/>
        <v>0</v>
      </c>
      <c r="V161" s="29">
        <f t="shared" si="22"/>
        <v>0</v>
      </c>
      <c r="W161" s="29" t="str">
        <f t="shared" si="28"/>
        <v/>
      </c>
      <c r="X161" s="29" t="str">
        <f t="shared" si="23"/>
        <v/>
      </c>
      <c r="Y161" s="32" t="str">
        <f t="shared" si="24"/>
        <v/>
      </c>
      <c r="Z161" s="29" t="str">
        <f t="shared" si="25"/>
        <v/>
      </c>
      <c r="AA161" s="29" t="str">
        <f t="shared" si="29"/>
        <v/>
      </c>
      <c r="AB161" s="29" t="str">
        <f t="shared" si="26"/>
        <v/>
      </c>
      <c r="AC161" t="str">
        <f t="shared" si="27"/>
        <v/>
      </c>
    </row>
    <row r="162" spans="20:29" x14ac:dyDescent="0.3">
      <c r="T162" s="29">
        <f t="shared" si="20"/>
        <v>0</v>
      </c>
      <c r="U162" s="29">
        <f t="shared" si="21"/>
        <v>0</v>
      </c>
      <c r="V162" s="29">
        <f t="shared" si="22"/>
        <v>0</v>
      </c>
      <c r="W162" s="29" t="str">
        <f t="shared" si="28"/>
        <v/>
      </c>
      <c r="X162" s="29" t="str">
        <f t="shared" si="23"/>
        <v/>
      </c>
      <c r="Y162" s="32" t="str">
        <f t="shared" si="24"/>
        <v/>
      </c>
      <c r="Z162" s="29" t="str">
        <f t="shared" si="25"/>
        <v/>
      </c>
      <c r="AA162" s="29" t="str">
        <f t="shared" si="29"/>
        <v/>
      </c>
      <c r="AB162" s="29" t="str">
        <f t="shared" si="26"/>
        <v/>
      </c>
      <c r="AC162" t="str">
        <f t="shared" si="27"/>
        <v/>
      </c>
    </row>
    <row r="163" spans="20:29" x14ac:dyDescent="0.3">
      <c r="T163" s="29">
        <f t="shared" si="20"/>
        <v>0</v>
      </c>
      <c r="U163" s="29">
        <f t="shared" si="21"/>
        <v>0</v>
      </c>
      <c r="V163" s="29">
        <f t="shared" si="22"/>
        <v>0</v>
      </c>
      <c r="W163" s="29" t="str">
        <f t="shared" si="28"/>
        <v/>
      </c>
      <c r="X163" s="29" t="str">
        <f t="shared" si="23"/>
        <v/>
      </c>
      <c r="Y163" s="32" t="str">
        <f t="shared" si="24"/>
        <v/>
      </c>
      <c r="Z163" s="29" t="str">
        <f t="shared" si="25"/>
        <v/>
      </c>
      <c r="AA163" s="29" t="str">
        <f t="shared" si="29"/>
        <v/>
      </c>
      <c r="AB163" s="29" t="str">
        <f t="shared" si="26"/>
        <v/>
      </c>
      <c r="AC163" t="str">
        <f t="shared" si="27"/>
        <v/>
      </c>
    </row>
    <row r="164" spans="20:29" x14ac:dyDescent="0.3">
      <c r="T164" s="29">
        <f t="shared" si="20"/>
        <v>0</v>
      </c>
      <c r="U164" s="29">
        <f t="shared" si="21"/>
        <v>0</v>
      </c>
      <c r="V164" s="29">
        <f t="shared" si="22"/>
        <v>0</v>
      </c>
      <c r="W164" s="29" t="str">
        <f t="shared" si="28"/>
        <v/>
      </c>
      <c r="X164" s="29" t="str">
        <f t="shared" si="23"/>
        <v/>
      </c>
      <c r="Y164" s="32" t="str">
        <f t="shared" si="24"/>
        <v/>
      </c>
      <c r="Z164" s="29" t="str">
        <f t="shared" si="25"/>
        <v/>
      </c>
      <c r="AA164" s="29" t="str">
        <f t="shared" si="29"/>
        <v/>
      </c>
      <c r="AB164" s="29" t="str">
        <f t="shared" si="26"/>
        <v/>
      </c>
      <c r="AC164" t="str">
        <f t="shared" si="27"/>
        <v/>
      </c>
    </row>
    <row r="165" spans="20:29" x14ac:dyDescent="0.3">
      <c r="T165" s="29">
        <f t="shared" si="20"/>
        <v>0</v>
      </c>
      <c r="U165" s="29">
        <f t="shared" si="21"/>
        <v>0</v>
      </c>
      <c r="V165" s="29">
        <f t="shared" si="22"/>
        <v>0</v>
      </c>
      <c r="W165" s="29" t="str">
        <f t="shared" si="28"/>
        <v/>
      </c>
      <c r="X165" s="29" t="str">
        <f t="shared" si="23"/>
        <v/>
      </c>
      <c r="Y165" s="32" t="str">
        <f t="shared" si="24"/>
        <v/>
      </c>
      <c r="Z165" s="29" t="str">
        <f t="shared" si="25"/>
        <v/>
      </c>
      <c r="AA165" s="29" t="str">
        <f t="shared" si="29"/>
        <v/>
      </c>
      <c r="AB165" s="29" t="str">
        <f t="shared" si="26"/>
        <v/>
      </c>
      <c r="AC165" t="str">
        <f t="shared" si="27"/>
        <v/>
      </c>
    </row>
    <row r="166" spans="20:29" x14ac:dyDescent="0.3">
      <c r="T166" s="29">
        <f t="shared" si="20"/>
        <v>0</v>
      </c>
      <c r="U166" s="29">
        <f t="shared" si="21"/>
        <v>0</v>
      </c>
      <c r="V166" s="29">
        <f t="shared" si="22"/>
        <v>0</v>
      </c>
      <c r="W166" s="29" t="str">
        <f t="shared" si="28"/>
        <v/>
      </c>
      <c r="X166" s="29" t="str">
        <f t="shared" si="23"/>
        <v/>
      </c>
      <c r="Y166" s="32" t="str">
        <f t="shared" si="24"/>
        <v/>
      </c>
      <c r="Z166" s="29" t="str">
        <f t="shared" si="25"/>
        <v/>
      </c>
      <c r="AA166" s="29" t="str">
        <f t="shared" si="29"/>
        <v/>
      </c>
      <c r="AB166" s="29" t="str">
        <f t="shared" si="26"/>
        <v/>
      </c>
      <c r="AC166" t="str">
        <f t="shared" si="27"/>
        <v/>
      </c>
    </row>
    <row r="167" spans="20:29" x14ac:dyDescent="0.3">
      <c r="T167" s="29">
        <f t="shared" si="20"/>
        <v>0</v>
      </c>
      <c r="U167" s="29">
        <f t="shared" si="21"/>
        <v>0</v>
      </c>
      <c r="V167" s="29">
        <f t="shared" si="22"/>
        <v>0</v>
      </c>
      <c r="W167" s="29" t="str">
        <f t="shared" si="28"/>
        <v/>
      </c>
      <c r="X167" s="29" t="str">
        <f t="shared" si="23"/>
        <v/>
      </c>
      <c r="Y167" s="32" t="str">
        <f t="shared" si="24"/>
        <v/>
      </c>
      <c r="Z167" s="29" t="str">
        <f t="shared" si="25"/>
        <v/>
      </c>
      <c r="AA167" s="29" t="str">
        <f t="shared" si="29"/>
        <v/>
      </c>
      <c r="AB167" s="29" t="str">
        <f t="shared" si="26"/>
        <v/>
      </c>
      <c r="AC167" t="str">
        <f t="shared" si="27"/>
        <v/>
      </c>
    </row>
    <row r="168" spans="20:29" x14ac:dyDescent="0.3">
      <c r="T168" s="29">
        <f t="shared" si="20"/>
        <v>0</v>
      </c>
      <c r="U168" s="29">
        <f t="shared" si="21"/>
        <v>0</v>
      </c>
      <c r="V168" s="29">
        <f t="shared" si="22"/>
        <v>0</v>
      </c>
      <c r="W168" s="29" t="str">
        <f t="shared" si="28"/>
        <v/>
      </c>
      <c r="X168" s="29" t="str">
        <f t="shared" si="23"/>
        <v/>
      </c>
      <c r="Y168" s="32" t="str">
        <f t="shared" si="24"/>
        <v/>
      </c>
      <c r="Z168" s="29" t="str">
        <f t="shared" si="25"/>
        <v/>
      </c>
      <c r="AA168" s="29" t="str">
        <f t="shared" si="29"/>
        <v/>
      </c>
      <c r="AB168" s="29" t="str">
        <f t="shared" si="26"/>
        <v/>
      </c>
      <c r="AC168" t="str">
        <f t="shared" si="27"/>
        <v/>
      </c>
    </row>
    <row r="169" spans="20:29" x14ac:dyDescent="0.3">
      <c r="T169" s="29">
        <f t="shared" si="20"/>
        <v>0</v>
      </c>
      <c r="U169" s="29">
        <f t="shared" si="21"/>
        <v>0</v>
      </c>
      <c r="V169" s="29">
        <f t="shared" si="22"/>
        <v>0</v>
      </c>
      <c r="W169" s="29" t="str">
        <f t="shared" si="28"/>
        <v/>
      </c>
      <c r="X169" s="29" t="str">
        <f t="shared" si="23"/>
        <v/>
      </c>
      <c r="Y169" s="32" t="str">
        <f t="shared" si="24"/>
        <v/>
      </c>
      <c r="Z169" s="29" t="str">
        <f t="shared" si="25"/>
        <v/>
      </c>
      <c r="AA169" s="29" t="str">
        <f t="shared" si="29"/>
        <v/>
      </c>
      <c r="AB169" s="29" t="str">
        <f t="shared" si="26"/>
        <v/>
      </c>
      <c r="AC169" t="str">
        <f t="shared" si="27"/>
        <v/>
      </c>
    </row>
    <row r="170" spans="20:29" x14ac:dyDescent="0.3">
      <c r="T170" s="29">
        <f t="shared" si="20"/>
        <v>0</v>
      </c>
      <c r="U170" s="29">
        <f t="shared" si="21"/>
        <v>0</v>
      </c>
      <c r="V170" s="29">
        <f t="shared" si="22"/>
        <v>0</v>
      </c>
      <c r="W170" s="29" t="str">
        <f t="shared" si="28"/>
        <v/>
      </c>
      <c r="X170" s="29" t="str">
        <f t="shared" si="23"/>
        <v/>
      </c>
      <c r="Y170" s="32" t="str">
        <f t="shared" si="24"/>
        <v/>
      </c>
      <c r="Z170" s="29" t="str">
        <f t="shared" si="25"/>
        <v/>
      </c>
      <c r="AA170" s="29" t="str">
        <f t="shared" si="29"/>
        <v/>
      </c>
      <c r="AB170" s="29" t="str">
        <f t="shared" si="26"/>
        <v/>
      </c>
      <c r="AC170" t="str">
        <f t="shared" si="27"/>
        <v/>
      </c>
    </row>
    <row r="171" spans="20:29" x14ac:dyDescent="0.3">
      <c r="T171" s="29">
        <f t="shared" si="20"/>
        <v>0</v>
      </c>
      <c r="U171" s="29">
        <f t="shared" si="21"/>
        <v>0</v>
      </c>
      <c r="V171" s="29">
        <f t="shared" si="22"/>
        <v>0</v>
      </c>
      <c r="W171" s="29" t="str">
        <f t="shared" si="28"/>
        <v/>
      </c>
      <c r="X171" s="29" t="str">
        <f t="shared" si="23"/>
        <v/>
      </c>
      <c r="Y171" s="32" t="str">
        <f t="shared" si="24"/>
        <v/>
      </c>
      <c r="Z171" s="29" t="str">
        <f t="shared" si="25"/>
        <v/>
      </c>
      <c r="AA171" s="29" t="str">
        <f t="shared" si="29"/>
        <v/>
      </c>
      <c r="AB171" s="29" t="str">
        <f t="shared" si="26"/>
        <v/>
      </c>
      <c r="AC171" t="str">
        <f t="shared" si="27"/>
        <v/>
      </c>
    </row>
    <row r="172" spans="20:29" x14ac:dyDescent="0.3">
      <c r="T172" s="29">
        <f t="shared" si="20"/>
        <v>0</v>
      </c>
      <c r="U172" s="29">
        <f t="shared" si="21"/>
        <v>0</v>
      </c>
      <c r="V172" s="29">
        <f t="shared" si="22"/>
        <v>0</v>
      </c>
      <c r="W172" s="29" t="str">
        <f t="shared" si="28"/>
        <v/>
      </c>
      <c r="X172" s="29" t="str">
        <f t="shared" si="23"/>
        <v/>
      </c>
      <c r="Y172" s="32" t="str">
        <f t="shared" si="24"/>
        <v/>
      </c>
      <c r="Z172" s="29" t="str">
        <f t="shared" si="25"/>
        <v/>
      </c>
      <c r="AA172" s="29" t="str">
        <f t="shared" si="29"/>
        <v/>
      </c>
      <c r="AB172" s="29" t="str">
        <f t="shared" si="26"/>
        <v/>
      </c>
      <c r="AC172" t="str">
        <f t="shared" si="27"/>
        <v/>
      </c>
    </row>
    <row r="173" spans="20:29" x14ac:dyDescent="0.3">
      <c r="T173" s="29">
        <f t="shared" si="20"/>
        <v>0</v>
      </c>
      <c r="U173" s="29">
        <f t="shared" si="21"/>
        <v>0</v>
      </c>
      <c r="V173" s="29">
        <f t="shared" si="22"/>
        <v>0</v>
      </c>
      <c r="W173" s="29" t="str">
        <f t="shared" si="28"/>
        <v/>
      </c>
      <c r="X173" s="29" t="str">
        <f t="shared" si="23"/>
        <v/>
      </c>
      <c r="Y173" s="32" t="str">
        <f t="shared" si="24"/>
        <v/>
      </c>
      <c r="Z173" s="29" t="str">
        <f t="shared" si="25"/>
        <v/>
      </c>
      <c r="AA173" s="29" t="str">
        <f t="shared" si="29"/>
        <v/>
      </c>
      <c r="AB173" s="29" t="str">
        <f t="shared" si="26"/>
        <v/>
      </c>
      <c r="AC173" t="str">
        <f t="shared" si="27"/>
        <v/>
      </c>
    </row>
    <row r="174" spans="20:29" x14ac:dyDescent="0.3">
      <c r="T174" s="29">
        <f t="shared" si="20"/>
        <v>0</v>
      </c>
      <c r="U174" s="29">
        <f t="shared" si="21"/>
        <v>0</v>
      </c>
      <c r="V174" s="29">
        <f t="shared" si="22"/>
        <v>0</v>
      </c>
      <c r="W174" s="29" t="str">
        <f t="shared" si="28"/>
        <v/>
      </c>
      <c r="X174" s="29" t="str">
        <f t="shared" si="23"/>
        <v/>
      </c>
      <c r="Y174" s="32" t="str">
        <f t="shared" si="24"/>
        <v/>
      </c>
      <c r="Z174" s="29" t="str">
        <f t="shared" si="25"/>
        <v/>
      </c>
      <c r="AA174" s="29" t="str">
        <f t="shared" si="29"/>
        <v/>
      </c>
      <c r="AB174" s="29" t="str">
        <f t="shared" si="26"/>
        <v/>
      </c>
      <c r="AC174" t="str">
        <f t="shared" si="27"/>
        <v/>
      </c>
    </row>
    <row r="175" spans="20:29" x14ac:dyDescent="0.3">
      <c r="T175" s="29">
        <f t="shared" si="20"/>
        <v>0</v>
      </c>
      <c r="U175" s="29">
        <f t="shared" si="21"/>
        <v>0</v>
      </c>
      <c r="V175" s="29">
        <f t="shared" si="22"/>
        <v>0</v>
      </c>
      <c r="W175" s="29" t="str">
        <f t="shared" si="28"/>
        <v/>
      </c>
      <c r="X175" s="29" t="str">
        <f t="shared" si="23"/>
        <v/>
      </c>
      <c r="Y175" s="32" t="str">
        <f t="shared" si="24"/>
        <v/>
      </c>
      <c r="Z175" s="29" t="str">
        <f t="shared" si="25"/>
        <v/>
      </c>
      <c r="AA175" s="29" t="str">
        <f t="shared" si="29"/>
        <v/>
      </c>
      <c r="AB175" s="29" t="str">
        <f t="shared" si="26"/>
        <v/>
      </c>
      <c r="AC175" t="str">
        <f t="shared" si="27"/>
        <v/>
      </c>
    </row>
    <row r="176" spans="20:29" x14ac:dyDescent="0.3">
      <c r="T176" s="29">
        <f t="shared" si="20"/>
        <v>0</v>
      </c>
      <c r="U176" s="29">
        <f t="shared" si="21"/>
        <v>0</v>
      </c>
      <c r="V176" s="29">
        <f t="shared" si="22"/>
        <v>0</v>
      </c>
      <c r="W176" s="29" t="str">
        <f t="shared" si="28"/>
        <v/>
      </c>
      <c r="X176" s="29" t="str">
        <f t="shared" si="23"/>
        <v/>
      </c>
      <c r="Y176" s="32" t="str">
        <f t="shared" si="24"/>
        <v/>
      </c>
      <c r="Z176" s="29" t="str">
        <f t="shared" si="25"/>
        <v/>
      </c>
      <c r="AA176" s="29" t="str">
        <f t="shared" si="29"/>
        <v/>
      </c>
      <c r="AB176" s="29" t="str">
        <f t="shared" si="26"/>
        <v/>
      </c>
      <c r="AC176" t="str">
        <f t="shared" si="27"/>
        <v/>
      </c>
    </row>
    <row r="177" spans="20:29" x14ac:dyDescent="0.3">
      <c r="T177" s="29">
        <f t="shared" si="20"/>
        <v>0</v>
      </c>
      <c r="U177" s="29">
        <f t="shared" si="21"/>
        <v>0</v>
      </c>
      <c r="V177" s="29">
        <f t="shared" si="22"/>
        <v>0</v>
      </c>
      <c r="W177" s="29" t="str">
        <f t="shared" si="28"/>
        <v/>
      </c>
      <c r="X177" s="29" t="str">
        <f t="shared" si="23"/>
        <v/>
      </c>
      <c r="Y177" s="32" t="str">
        <f t="shared" si="24"/>
        <v/>
      </c>
      <c r="Z177" s="29" t="str">
        <f t="shared" si="25"/>
        <v/>
      </c>
      <c r="AA177" s="29" t="str">
        <f t="shared" si="29"/>
        <v/>
      </c>
      <c r="AB177" s="29" t="str">
        <f t="shared" si="26"/>
        <v/>
      </c>
      <c r="AC177" t="str">
        <f t="shared" si="27"/>
        <v/>
      </c>
    </row>
    <row r="178" spans="20:29" x14ac:dyDescent="0.3">
      <c r="T178" s="29">
        <f t="shared" si="20"/>
        <v>0</v>
      </c>
      <c r="U178" s="29">
        <f t="shared" si="21"/>
        <v>0</v>
      </c>
      <c r="V178" s="29">
        <f t="shared" si="22"/>
        <v>0</v>
      </c>
      <c r="W178" s="29" t="str">
        <f t="shared" si="28"/>
        <v/>
      </c>
      <c r="X178" s="29" t="str">
        <f t="shared" si="23"/>
        <v/>
      </c>
      <c r="Y178" s="32" t="str">
        <f t="shared" si="24"/>
        <v/>
      </c>
      <c r="Z178" s="29" t="str">
        <f t="shared" si="25"/>
        <v/>
      </c>
      <c r="AA178" s="29" t="str">
        <f t="shared" si="29"/>
        <v/>
      </c>
      <c r="AB178" s="29" t="str">
        <f t="shared" si="26"/>
        <v/>
      </c>
      <c r="AC178" t="str">
        <f t="shared" si="27"/>
        <v/>
      </c>
    </row>
    <row r="179" spans="20:29" x14ac:dyDescent="0.3">
      <c r="T179" s="29">
        <f t="shared" si="20"/>
        <v>0</v>
      </c>
      <c r="U179" s="29">
        <f t="shared" si="21"/>
        <v>0</v>
      </c>
      <c r="V179" s="29">
        <f t="shared" si="22"/>
        <v>0</v>
      </c>
      <c r="W179" s="29" t="str">
        <f t="shared" si="28"/>
        <v/>
      </c>
      <c r="X179" s="29" t="str">
        <f t="shared" si="23"/>
        <v/>
      </c>
      <c r="Y179" s="32" t="str">
        <f t="shared" si="24"/>
        <v/>
      </c>
      <c r="Z179" s="29" t="str">
        <f t="shared" si="25"/>
        <v/>
      </c>
      <c r="AA179" s="29" t="str">
        <f t="shared" si="29"/>
        <v/>
      </c>
      <c r="AB179" s="29" t="str">
        <f t="shared" si="26"/>
        <v/>
      </c>
      <c r="AC179" t="str">
        <f t="shared" si="27"/>
        <v/>
      </c>
    </row>
    <row r="180" spans="20:29" x14ac:dyDescent="0.3">
      <c r="T180" s="29">
        <f t="shared" si="20"/>
        <v>0</v>
      </c>
      <c r="U180" s="29">
        <f t="shared" si="21"/>
        <v>0</v>
      </c>
      <c r="V180" s="29">
        <f t="shared" si="22"/>
        <v>0</v>
      </c>
      <c r="W180" s="29" t="str">
        <f t="shared" si="28"/>
        <v/>
      </c>
      <c r="X180" s="29" t="str">
        <f t="shared" si="23"/>
        <v/>
      </c>
      <c r="Y180" s="32" t="str">
        <f t="shared" si="24"/>
        <v/>
      </c>
      <c r="Z180" s="29" t="str">
        <f t="shared" si="25"/>
        <v/>
      </c>
      <c r="AA180" s="29" t="str">
        <f t="shared" si="29"/>
        <v/>
      </c>
      <c r="AB180" s="29" t="str">
        <f t="shared" si="26"/>
        <v/>
      </c>
      <c r="AC180" t="str">
        <f t="shared" si="27"/>
        <v/>
      </c>
    </row>
    <row r="181" spans="20:29" x14ac:dyDescent="0.3">
      <c r="T181" s="29">
        <f t="shared" si="20"/>
        <v>0</v>
      </c>
      <c r="U181" s="29">
        <f t="shared" si="21"/>
        <v>0</v>
      </c>
      <c r="V181" s="29">
        <f t="shared" si="22"/>
        <v>0</v>
      </c>
      <c r="W181" s="29" t="str">
        <f t="shared" si="28"/>
        <v/>
      </c>
      <c r="X181" s="29" t="str">
        <f t="shared" si="23"/>
        <v/>
      </c>
      <c r="Y181" s="32" t="str">
        <f t="shared" si="24"/>
        <v/>
      </c>
      <c r="Z181" s="29" t="str">
        <f t="shared" si="25"/>
        <v/>
      </c>
      <c r="AA181" s="29" t="str">
        <f t="shared" si="29"/>
        <v/>
      </c>
      <c r="AB181" s="29" t="str">
        <f t="shared" si="26"/>
        <v/>
      </c>
      <c r="AC181" t="str">
        <f t="shared" si="27"/>
        <v/>
      </c>
    </row>
    <row r="182" spans="20:29" x14ac:dyDescent="0.3">
      <c r="T182" s="29">
        <f t="shared" si="20"/>
        <v>0</v>
      </c>
      <c r="U182" s="29">
        <f t="shared" si="21"/>
        <v>0</v>
      </c>
      <c r="V182" s="29">
        <f t="shared" si="22"/>
        <v>0</v>
      </c>
      <c r="W182" s="29" t="str">
        <f t="shared" si="28"/>
        <v/>
      </c>
      <c r="X182" s="29" t="str">
        <f t="shared" si="23"/>
        <v/>
      </c>
      <c r="Y182" s="32" t="str">
        <f t="shared" si="24"/>
        <v/>
      </c>
      <c r="Z182" s="29" t="str">
        <f t="shared" si="25"/>
        <v/>
      </c>
      <c r="AA182" s="29" t="str">
        <f t="shared" si="29"/>
        <v/>
      </c>
      <c r="AB182" s="29" t="str">
        <f t="shared" si="26"/>
        <v/>
      </c>
      <c r="AC182" t="str">
        <f t="shared" si="27"/>
        <v/>
      </c>
    </row>
    <row r="183" spans="20:29" x14ac:dyDescent="0.3">
      <c r="T183" s="29">
        <f t="shared" si="20"/>
        <v>0</v>
      </c>
      <c r="U183" s="29">
        <f t="shared" si="21"/>
        <v>0</v>
      </c>
      <c r="V183" s="29">
        <f t="shared" si="22"/>
        <v>0</v>
      </c>
      <c r="W183" s="29" t="str">
        <f t="shared" si="28"/>
        <v/>
      </c>
      <c r="X183" s="29" t="str">
        <f t="shared" si="23"/>
        <v/>
      </c>
      <c r="Y183" s="32" t="str">
        <f t="shared" si="24"/>
        <v/>
      </c>
      <c r="Z183" s="29" t="str">
        <f t="shared" si="25"/>
        <v/>
      </c>
      <c r="AA183" s="29" t="str">
        <f t="shared" si="29"/>
        <v/>
      </c>
      <c r="AB183" s="29" t="str">
        <f t="shared" si="26"/>
        <v/>
      </c>
      <c r="AC183" t="str">
        <f t="shared" si="27"/>
        <v/>
      </c>
    </row>
    <row r="184" spans="20:29" x14ac:dyDescent="0.3">
      <c r="T184" s="29">
        <f t="shared" si="20"/>
        <v>0</v>
      </c>
      <c r="U184" s="29">
        <f t="shared" si="21"/>
        <v>0</v>
      </c>
      <c r="V184" s="29">
        <f t="shared" si="22"/>
        <v>0</v>
      </c>
      <c r="W184" s="29" t="str">
        <f t="shared" si="28"/>
        <v/>
      </c>
      <c r="X184" s="29" t="str">
        <f t="shared" si="23"/>
        <v/>
      </c>
      <c r="Y184" s="32" t="str">
        <f t="shared" si="24"/>
        <v/>
      </c>
      <c r="Z184" s="29" t="str">
        <f t="shared" si="25"/>
        <v/>
      </c>
      <c r="AA184" s="29" t="str">
        <f t="shared" si="29"/>
        <v/>
      </c>
      <c r="AB184" s="29" t="str">
        <f t="shared" si="26"/>
        <v/>
      </c>
      <c r="AC184" t="str">
        <f t="shared" si="27"/>
        <v/>
      </c>
    </row>
    <row r="185" spans="20:29" x14ac:dyDescent="0.3">
      <c r="T185" s="29">
        <f t="shared" si="20"/>
        <v>0</v>
      </c>
      <c r="U185" s="29">
        <f t="shared" si="21"/>
        <v>0</v>
      </c>
      <c r="V185" s="29">
        <f t="shared" si="22"/>
        <v>0</v>
      </c>
      <c r="W185" s="29" t="str">
        <f t="shared" si="28"/>
        <v/>
      </c>
      <c r="X185" s="29" t="str">
        <f t="shared" si="23"/>
        <v/>
      </c>
      <c r="Y185" s="32" t="str">
        <f t="shared" si="24"/>
        <v/>
      </c>
      <c r="Z185" s="29" t="str">
        <f t="shared" si="25"/>
        <v/>
      </c>
      <c r="AA185" s="29" t="str">
        <f t="shared" si="29"/>
        <v/>
      </c>
      <c r="AB185" s="29" t="str">
        <f t="shared" si="26"/>
        <v/>
      </c>
      <c r="AC185" t="str">
        <f t="shared" si="27"/>
        <v/>
      </c>
    </row>
    <row r="186" spans="20:29" x14ac:dyDescent="0.3">
      <c r="T186" s="29">
        <f t="shared" si="20"/>
        <v>0</v>
      </c>
      <c r="U186" s="29">
        <f t="shared" si="21"/>
        <v>0</v>
      </c>
      <c r="V186" s="29">
        <f t="shared" si="22"/>
        <v>0</v>
      </c>
      <c r="W186" s="29" t="str">
        <f t="shared" si="28"/>
        <v/>
      </c>
      <c r="X186" s="29" t="str">
        <f t="shared" si="23"/>
        <v/>
      </c>
      <c r="Y186" s="32" t="str">
        <f t="shared" si="24"/>
        <v/>
      </c>
      <c r="Z186" s="29" t="str">
        <f t="shared" si="25"/>
        <v/>
      </c>
      <c r="AA186" s="29" t="str">
        <f t="shared" si="29"/>
        <v/>
      </c>
      <c r="AB186" s="29" t="str">
        <f t="shared" si="26"/>
        <v/>
      </c>
      <c r="AC186" t="str">
        <f t="shared" si="27"/>
        <v/>
      </c>
    </row>
    <row r="187" spans="20:29" x14ac:dyDescent="0.3">
      <c r="T187" s="29">
        <f t="shared" si="20"/>
        <v>0</v>
      </c>
      <c r="U187" s="29">
        <f t="shared" si="21"/>
        <v>0</v>
      </c>
      <c r="V187" s="29">
        <f t="shared" si="22"/>
        <v>0</v>
      </c>
      <c r="W187" s="29" t="str">
        <f t="shared" si="28"/>
        <v/>
      </c>
      <c r="X187" s="29" t="str">
        <f t="shared" si="23"/>
        <v/>
      </c>
      <c r="Y187" s="32" t="str">
        <f t="shared" si="24"/>
        <v/>
      </c>
      <c r="Z187" s="29" t="str">
        <f t="shared" si="25"/>
        <v/>
      </c>
      <c r="AA187" s="29" t="str">
        <f t="shared" si="29"/>
        <v/>
      </c>
      <c r="AB187" s="29" t="str">
        <f t="shared" si="26"/>
        <v/>
      </c>
      <c r="AC187" t="str">
        <f t="shared" si="27"/>
        <v/>
      </c>
    </row>
    <row r="188" spans="20:29" x14ac:dyDescent="0.3">
      <c r="T188" s="29">
        <f t="shared" si="20"/>
        <v>0</v>
      </c>
      <c r="U188" s="29">
        <f t="shared" si="21"/>
        <v>0</v>
      </c>
      <c r="V188" s="29">
        <f t="shared" si="22"/>
        <v>0</v>
      </c>
      <c r="W188" s="29" t="str">
        <f t="shared" si="28"/>
        <v/>
      </c>
      <c r="X188" s="29" t="str">
        <f t="shared" si="23"/>
        <v/>
      </c>
      <c r="Y188" s="32" t="str">
        <f t="shared" si="24"/>
        <v/>
      </c>
      <c r="Z188" s="29" t="str">
        <f t="shared" si="25"/>
        <v/>
      </c>
      <c r="AA188" s="29" t="str">
        <f t="shared" si="29"/>
        <v/>
      </c>
      <c r="AB188" s="29" t="str">
        <f t="shared" si="26"/>
        <v/>
      </c>
      <c r="AC188" t="str">
        <f t="shared" si="27"/>
        <v/>
      </c>
    </row>
    <row r="189" spans="20:29" x14ac:dyDescent="0.3">
      <c r="T189" s="29">
        <f t="shared" si="20"/>
        <v>0</v>
      </c>
      <c r="U189" s="29">
        <f t="shared" si="21"/>
        <v>0</v>
      </c>
      <c r="V189" s="29">
        <f t="shared" si="22"/>
        <v>0</v>
      </c>
      <c r="W189" s="29" t="str">
        <f t="shared" si="28"/>
        <v/>
      </c>
      <c r="X189" s="29" t="str">
        <f t="shared" si="23"/>
        <v/>
      </c>
      <c r="Y189" s="32" t="str">
        <f t="shared" si="24"/>
        <v/>
      </c>
      <c r="Z189" s="29" t="str">
        <f t="shared" si="25"/>
        <v/>
      </c>
      <c r="AA189" s="29" t="str">
        <f t="shared" si="29"/>
        <v/>
      </c>
      <c r="AB189" s="29" t="str">
        <f t="shared" si="26"/>
        <v/>
      </c>
      <c r="AC189" t="str">
        <f t="shared" si="27"/>
        <v/>
      </c>
    </row>
    <row r="190" spans="20:29" x14ac:dyDescent="0.3">
      <c r="T190" s="29">
        <f t="shared" si="20"/>
        <v>0</v>
      </c>
      <c r="U190" s="29">
        <f t="shared" si="21"/>
        <v>0</v>
      </c>
      <c r="V190" s="29">
        <f t="shared" si="22"/>
        <v>0</v>
      </c>
      <c r="W190" s="29" t="str">
        <f t="shared" si="28"/>
        <v/>
      </c>
      <c r="X190" s="29" t="str">
        <f t="shared" si="23"/>
        <v/>
      </c>
      <c r="Y190" s="32" t="str">
        <f t="shared" si="24"/>
        <v/>
      </c>
      <c r="Z190" s="29" t="str">
        <f t="shared" si="25"/>
        <v/>
      </c>
      <c r="AA190" s="29" t="str">
        <f t="shared" si="29"/>
        <v/>
      </c>
      <c r="AB190" s="29" t="str">
        <f t="shared" si="26"/>
        <v/>
      </c>
      <c r="AC190" t="str">
        <f t="shared" si="27"/>
        <v/>
      </c>
    </row>
    <row r="191" spans="20:29" x14ac:dyDescent="0.3">
      <c r="T191" s="29">
        <f t="shared" si="20"/>
        <v>0</v>
      </c>
      <c r="U191" s="29">
        <f t="shared" si="21"/>
        <v>0</v>
      </c>
      <c r="V191" s="29">
        <f t="shared" si="22"/>
        <v>0</v>
      </c>
      <c r="W191" s="29" t="str">
        <f t="shared" si="28"/>
        <v/>
      </c>
      <c r="X191" s="29" t="str">
        <f t="shared" si="23"/>
        <v/>
      </c>
      <c r="Y191" s="32" t="str">
        <f t="shared" si="24"/>
        <v/>
      </c>
      <c r="Z191" s="29" t="str">
        <f t="shared" si="25"/>
        <v/>
      </c>
      <c r="AA191" s="29" t="str">
        <f t="shared" si="29"/>
        <v/>
      </c>
      <c r="AB191" s="29" t="str">
        <f t="shared" si="26"/>
        <v/>
      </c>
      <c r="AC191" t="str">
        <f t="shared" si="27"/>
        <v/>
      </c>
    </row>
    <row r="192" spans="20:29" x14ac:dyDescent="0.3">
      <c r="T192" s="29">
        <f t="shared" si="20"/>
        <v>0</v>
      </c>
      <c r="U192" s="29">
        <f t="shared" si="21"/>
        <v>0</v>
      </c>
      <c r="V192" s="29">
        <f t="shared" si="22"/>
        <v>0</v>
      </c>
      <c r="W192" s="29" t="str">
        <f t="shared" si="28"/>
        <v/>
      </c>
      <c r="X192" s="29" t="str">
        <f t="shared" si="23"/>
        <v/>
      </c>
      <c r="Y192" s="32" t="str">
        <f t="shared" si="24"/>
        <v/>
      </c>
      <c r="Z192" s="29" t="str">
        <f t="shared" si="25"/>
        <v/>
      </c>
      <c r="AA192" s="29" t="str">
        <f t="shared" si="29"/>
        <v/>
      </c>
      <c r="AB192" s="29" t="str">
        <f t="shared" si="26"/>
        <v/>
      </c>
      <c r="AC192" t="str">
        <f t="shared" si="27"/>
        <v/>
      </c>
    </row>
    <row r="193" spans="20:29" x14ac:dyDescent="0.3">
      <c r="T193" s="29">
        <f t="shared" si="20"/>
        <v>0</v>
      </c>
      <c r="U193" s="29">
        <f t="shared" si="21"/>
        <v>0</v>
      </c>
      <c r="V193" s="29">
        <f t="shared" si="22"/>
        <v>0</v>
      </c>
      <c r="W193" s="29" t="str">
        <f t="shared" si="28"/>
        <v/>
      </c>
      <c r="X193" s="29" t="str">
        <f t="shared" si="23"/>
        <v/>
      </c>
      <c r="Y193" s="32" t="str">
        <f t="shared" si="24"/>
        <v/>
      </c>
      <c r="Z193" s="29" t="str">
        <f t="shared" si="25"/>
        <v/>
      </c>
      <c r="AA193" s="29" t="str">
        <f t="shared" si="29"/>
        <v/>
      </c>
      <c r="AB193" s="29" t="str">
        <f t="shared" si="26"/>
        <v/>
      </c>
      <c r="AC193" t="str">
        <f t="shared" si="27"/>
        <v/>
      </c>
    </row>
    <row r="194" spans="20:29" x14ac:dyDescent="0.3">
      <c r="T194" s="29">
        <f t="shared" si="20"/>
        <v>0</v>
      </c>
      <c r="U194" s="29">
        <f t="shared" si="21"/>
        <v>0</v>
      </c>
      <c r="V194" s="29">
        <f t="shared" si="22"/>
        <v>0</v>
      </c>
      <c r="W194" s="29" t="str">
        <f t="shared" si="28"/>
        <v/>
      </c>
      <c r="X194" s="29" t="str">
        <f t="shared" si="23"/>
        <v/>
      </c>
      <c r="Y194" s="32" t="str">
        <f t="shared" si="24"/>
        <v/>
      </c>
      <c r="Z194" s="29" t="str">
        <f t="shared" si="25"/>
        <v/>
      </c>
      <c r="AA194" s="29" t="str">
        <f t="shared" si="29"/>
        <v/>
      </c>
      <c r="AB194" s="29" t="str">
        <f t="shared" si="26"/>
        <v/>
      </c>
      <c r="AC194" t="str">
        <f t="shared" si="27"/>
        <v/>
      </c>
    </row>
    <row r="195" spans="20:29" x14ac:dyDescent="0.3">
      <c r="T195" s="29">
        <f t="shared" ref="T195:T258" si="30">+O195/1.08</f>
        <v>0</v>
      </c>
      <c r="U195" s="29">
        <f t="shared" ref="U195:U258" si="31">+T195*N195</f>
        <v>0</v>
      </c>
      <c r="V195" s="29">
        <f t="shared" ref="V195:V258" si="32">+SUMIF(B:B,B195,U:U)</f>
        <v>0</v>
      </c>
      <c r="W195" s="29" t="str">
        <f t="shared" si="28"/>
        <v/>
      </c>
      <c r="X195" s="29" t="str">
        <f t="shared" ref="X195:X258" si="33">+IF(W195&lt;&gt;0,W195,"")</f>
        <v/>
      </c>
      <c r="Y195" s="32" t="str">
        <f t="shared" ref="Y195:Y258" si="34">+IF(X195&lt;&gt;"",8,"")</f>
        <v/>
      </c>
      <c r="Z195" s="29" t="str">
        <f t="shared" ref="Z195:Z258" si="35">+IF(X195&lt;&gt;"","VND","")</f>
        <v/>
      </c>
      <c r="AA195" s="29" t="str">
        <f t="shared" si="29"/>
        <v/>
      </c>
      <c r="AB195" s="29" t="str">
        <f t="shared" ref="AB195:AB258" si="36">+IF(AA195&lt;&gt;0,AA195,"")</f>
        <v/>
      </c>
      <c r="AC195" t="str">
        <f t="shared" ref="AC195:AC258" si="37">+IF(X195&lt;&gt;"","TM/CK","")</f>
        <v/>
      </c>
    </row>
    <row r="196" spans="20:29" x14ac:dyDescent="0.3">
      <c r="T196" s="29">
        <f t="shared" si="30"/>
        <v>0</v>
      </c>
      <c r="U196" s="29">
        <f t="shared" si="31"/>
        <v>0</v>
      </c>
      <c r="V196" s="29">
        <f t="shared" si="32"/>
        <v>0</v>
      </c>
      <c r="W196" s="29" t="str">
        <f t="shared" ref="W196:W259" si="38">+IF(V196=V195,"",V196)</f>
        <v/>
      </c>
      <c r="X196" s="29" t="str">
        <f t="shared" si="33"/>
        <v/>
      </c>
      <c r="Y196" s="32" t="str">
        <f t="shared" si="34"/>
        <v/>
      </c>
      <c r="Z196" s="29" t="str">
        <f t="shared" si="35"/>
        <v/>
      </c>
      <c r="AA196" s="29" t="str">
        <f t="shared" ref="AA196:AA259" si="39">+IF(B196=B195,"",E196)</f>
        <v/>
      </c>
      <c r="AB196" s="29" t="str">
        <f t="shared" si="36"/>
        <v/>
      </c>
      <c r="AC196" t="str">
        <f t="shared" si="37"/>
        <v/>
      </c>
    </row>
    <row r="197" spans="20:29" x14ac:dyDescent="0.3">
      <c r="T197" s="29">
        <f t="shared" si="30"/>
        <v>0</v>
      </c>
      <c r="U197" s="29">
        <f t="shared" si="31"/>
        <v>0</v>
      </c>
      <c r="V197" s="29">
        <f t="shared" si="32"/>
        <v>0</v>
      </c>
      <c r="W197" s="29" t="str">
        <f t="shared" si="38"/>
        <v/>
      </c>
      <c r="X197" s="29" t="str">
        <f t="shared" si="33"/>
        <v/>
      </c>
      <c r="Y197" s="32" t="str">
        <f t="shared" si="34"/>
        <v/>
      </c>
      <c r="Z197" s="29" t="str">
        <f t="shared" si="35"/>
        <v/>
      </c>
      <c r="AA197" s="29" t="str">
        <f t="shared" si="39"/>
        <v/>
      </c>
      <c r="AB197" s="29" t="str">
        <f t="shared" si="36"/>
        <v/>
      </c>
      <c r="AC197" t="str">
        <f t="shared" si="37"/>
        <v/>
      </c>
    </row>
    <row r="198" spans="20:29" x14ac:dyDescent="0.3">
      <c r="T198" s="29">
        <f t="shared" si="30"/>
        <v>0</v>
      </c>
      <c r="U198" s="29">
        <f t="shared" si="31"/>
        <v>0</v>
      </c>
      <c r="V198" s="29">
        <f t="shared" si="32"/>
        <v>0</v>
      </c>
      <c r="W198" s="29" t="str">
        <f t="shared" si="38"/>
        <v/>
      </c>
      <c r="X198" s="29" t="str">
        <f t="shared" si="33"/>
        <v/>
      </c>
      <c r="Y198" s="32" t="str">
        <f t="shared" si="34"/>
        <v/>
      </c>
      <c r="Z198" s="29" t="str">
        <f t="shared" si="35"/>
        <v/>
      </c>
      <c r="AA198" s="29" t="str">
        <f t="shared" si="39"/>
        <v/>
      </c>
      <c r="AB198" s="29" t="str">
        <f t="shared" si="36"/>
        <v/>
      </c>
      <c r="AC198" t="str">
        <f t="shared" si="37"/>
        <v/>
      </c>
    </row>
    <row r="199" spans="20:29" x14ac:dyDescent="0.3">
      <c r="T199" s="29">
        <f t="shared" si="30"/>
        <v>0</v>
      </c>
      <c r="U199" s="29">
        <f t="shared" si="31"/>
        <v>0</v>
      </c>
      <c r="V199" s="29">
        <f t="shared" si="32"/>
        <v>0</v>
      </c>
      <c r="W199" s="29" t="str">
        <f t="shared" si="38"/>
        <v/>
      </c>
      <c r="X199" s="29" t="str">
        <f t="shared" si="33"/>
        <v/>
      </c>
      <c r="Y199" s="32" t="str">
        <f t="shared" si="34"/>
        <v/>
      </c>
      <c r="Z199" s="29" t="str">
        <f t="shared" si="35"/>
        <v/>
      </c>
      <c r="AA199" s="29" t="str">
        <f t="shared" si="39"/>
        <v/>
      </c>
      <c r="AB199" s="29" t="str">
        <f t="shared" si="36"/>
        <v/>
      </c>
      <c r="AC199" t="str">
        <f t="shared" si="37"/>
        <v/>
      </c>
    </row>
    <row r="200" spans="20:29" x14ac:dyDescent="0.3">
      <c r="T200" s="29">
        <f t="shared" si="30"/>
        <v>0</v>
      </c>
      <c r="U200" s="29">
        <f t="shared" si="31"/>
        <v>0</v>
      </c>
      <c r="V200" s="29">
        <f t="shared" si="32"/>
        <v>0</v>
      </c>
      <c r="W200" s="29" t="str">
        <f t="shared" si="38"/>
        <v/>
      </c>
      <c r="X200" s="29" t="str">
        <f t="shared" si="33"/>
        <v/>
      </c>
      <c r="Y200" s="32" t="str">
        <f t="shared" si="34"/>
        <v/>
      </c>
      <c r="Z200" s="29" t="str">
        <f t="shared" si="35"/>
        <v/>
      </c>
      <c r="AA200" s="29" t="str">
        <f t="shared" si="39"/>
        <v/>
      </c>
      <c r="AB200" s="29" t="str">
        <f t="shared" si="36"/>
        <v/>
      </c>
      <c r="AC200" t="str">
        <f t="shared" si="37"/>
        <v/>
      </c>
    </row>
    <row r="201" spans="20:29" x14ac:dyDescent="0.3">
      <c r="T201" s="29">
        <f t="shared" si="30"/>
        <v>0</v>
      </c>
      <c r="U201" s="29">
        <f t="shared" si="31"/>
        <v>0</v>
      </c>
      <c r="V201" s="29">
        <f t="shared" si="32"/>
        <v>0</v>
      </c>
      <c r="W201" s="29" t="str">
        <f t="shared" si="38"/>
        <v/>
      </c>
      <c r="X201" s="29" t="str">
        <f t="shared" si="33"/>
        <v/>
      </c>
      <c r="Y201" s="32" t="str">
        <f t="shared" si="34"/>
        <v/>
      </c>
      <c r="Z201" s="29" t="str">
        <f t="shared" si="35"/>
        <v/>
      </c>
      <c r="AA201" s="29" t="str">
        <f t="shared" si="39"/>
        <v/>
      </c>
      <c r="AB201" s="29" t="str">
        <f t="shared" si="36"/>
        <v/>
      </c>
      <c r="AC201" t="str">
        <f t="shared" si="37"/>
        <v/>
      </c>
    </row>
    <row r="202" spans="20:29" x14ac:dyDescent="0.3">
      <c r="T202" s="29">
        <f t="shared" si="30"/>
        <v>0</v>
      </c>
      <c r="U202" s="29">
        <f t="shared" si="31"/>
        <v>0</v>
      </c>
      <c r="V202" s="29">
        <f t="shared" si="32"/>
        <v>0</v>
      </c>
      <c r="W202" s="29" t="str">
        <f t="shared" si="38"/>
        <v/>
      </c>
      <c r="X202" s="29" t="str">
        <f t="shared" si="33"/>
        <v/>
      </c>
      <c r="Y202" s="32" t="str">
        <f t="shared" si="34"/>
        <v/>
      </c>
      <c r="Z202" s="29" t="str">
        <f t="shared" si="35"/>
        <v/>
      </c>
      <c r="AA202" s="29" t="str">
        <f t="shared" si="39"/>
        <v/>
      </c>
      <c r="AB202" s="29" t="str">
        <f t="shared" si="36"/>
        <v/>
      </c>
      <c r="AC202" t="str">
        <f t="shared" si="37"/>
        <v/>
      </c>
    </row>
    <row r="203" spans="20:29" x14ac:dyDescent="0.3">
      <c r="T203" s="29">
        <f t="shared" si="30"/>
        <v>0</v>
      </c>
      <c r="U203" s="29">
        <f t="shared" si="31"/>
        <v>0</v>
      </c>
      <c r="V203" s="29">
        <f t="shared" si="32"/>
        <v>0</v>
      </c>
      <c r="W203" s="29" t="str">
        <f t="shared" si="38"/>
        <v/>
      </c>
      <c r="X203" s="29" t="str">
        <f t="shared" si="33"/>
        <v/>
      </c>
      <c r="Y203" s="32" t="str">
        <f t="shared" si="34"/>
        <v/>
      </c>
      <c r="Z203" s="29" t="str">
        <f t="shared" si="35"/>
        <v/>
      </c>
      <c r="AA203" s="29" t="str">
        <f t="shared" si="39"/>
        <v/>
      </c>
      <c r="AB203" s="29" t="str">
        <f t="shared" si="36"/>
        <v/>
      </c>
      <c r="AC203" t="str">
        <f t="shared" si="37"/>
        <v/>
      </c>
    </row>
    <row r="204" spans="20:29" x14ac:dyDescent="0.3">
      <c r="T204" s="29">
        <f t="shared" si="30"/>
        <v>0</v>
      </c>
      <c r="U204" s="29">
        <f t="shared" si="31"/>
        <v>0</v>
      </c>
      <c r="V204" s="29">
        <f t="shared" si="32"/>
        <v>0</v>
      </c>
      <c r="W204" s="29" t="str">
        <f t="shared" si="38"/>
        <v/>
      </c>
      <c r="X204" s="29" t="str">
        <f t="shared" si="33"/>
        <v/>
      </c>
      <c r="Y204" s="32" t="str">
        <f t="shared" si="34"/>
        <v/>
      </c>
      <c r="Z204" s="29" t="str">
        <f t="shared" si="35"/>
        <v/>
      </c>
      <c r="AA204" s="29" t="str">
        <f t="shared" si="39"/>
        <v/>
      </c>
      <c r="AB204" s="29" t="str">
        <f t="shared" si="36"/>
        <v/>
      </c>
      <c r="AC204" t="str">
        <f t="shared" si="37"/>
        <v/>
      </c>
    </row>
    <row r="205" spans="20:29" x14ac:dyDescent="0.3">
      <c r="T205" s="29">
        <f t="shared" si="30"/>
        <v>0</v>
      </c>
      <c r="U205" s="29">
        <f t="shared" si="31"/>
        <v>0</v>
      </c>
      <c r="V205" s="29">
        <f t="shared" si="32"/>
        <v>0</v>
      </c>
      <c r="W205" s="29" t="str">
        <f t="shared" si="38"/>
        <v/>
      </c>
      <c r="X205" s="29" t="str">
        <f t="shared" si="33"/>
        <v/>
      </c>
      <c r="Y205" s="32" t="str">
        <f t="shared" si="34"/>
        <v/>
      </c>
      <c r="Z205" s="29" t="str">
        <f t="shared" si="35"/>
        <v/>
      </c>
      <c r="AA205" s="29" t="str">
        <f t="shared" si="39"/>
        <v/>
      </c>
      <c r="AB205" s="29" t="str">
        <f t="shared" si="36"/>
        <v/>
      </c>
      <c r="AC205" t="str">
        <f t="shared" si="37"/>
        <v/>
      </c>
    </row>
    <row r="206" spans="20:29" x14ac:dyDescent="0.3">
      <c r="T206" s="29">
        <f t="shared" si="30"/>
        <v>0</v>
      </c>
      <c r="U206" s="29">
        <f t="shared" si="31"/>
        <v>0</v>
      </c>
      <c r="V206" s="29">
        <f t="shared" si="32"/>
        <v>0</v>
      </c>
      <c r="W206" s="29" t="str">
        <f t="shared" si="38"/>
        <v/>
      </c>
      <c r="X206" s="29" t="str">
        <f t="shared" si="33"/>
        <v/>
      </c>
      <c r="Y206" s="32" t="str">
        <f t="shared" si="34"/>
        <v/>
      </c>
      <c r="Z206" s="29" t="str">
        <f t="shared" si="35"/>
        <v/>
      </c>
      <c r="AA206" s="29" t="str">
        <f t="shared" si="39"/>
        <v/>
      </c>
      <c r="AB206" s="29" t="str">
        <f t="shared" si="36"/>
        <v/>
      </c>
      <c r="AC206" t="str">
        <f t="shared" si="37"/>
        <v/>
      </c>
    </row>
    <row r="207" spans="20:29" x14ac:dyDescent="0.3">
      <c r="T207" s="29">
        <f t="shared" si="30"/>
        <v>0</v>
      </c>
      <c r="U207" s="29">
        <f t="shared" si="31"/>
        <v>0</v>
      </c>
      <c r="V207" s="29">
        <f t="shared" si="32"/>
        <v>0</v>
      </c>
      <c r="W207" s="29" t="str">
        <f t="shared" si="38"/>
        <v/>
      </c>
      <c r="X207" s="29" t="str">
        <f t="shared" si="33"/>
        <v/>
      </c>
      <c r="Y207" s="32" t="str">
        <f t="shared" si="34"/>
        <v/>
      </c>
      <c r="Z207" s="29" t="str">
        <f t="shared" si="35"/>
        <v/>
      </c>
      <c r="AA207" s="29" t="str">
        <f t="shared" si="39"/>
        <v/>
      </c>
      <c r="AB207" s="29" t="str">
        <f t="shared" si="36"/>
        <v/>
      </c>
      <c r="AC207" t="str">
        <f t="shared" si="37"/>
        <v/>
      </c>
    </row>
    <row r="208" spans="20:29" x14ac:dyDescent="0.3">
      <c r="T208" s="29">
        <f t="shared" si="30"/>
        <v>0</v>
      </c>
      <c r="U208" s="29">
        <f t="shared" si="31"/>
        <v>0</v>
      </c>
      <c r="V208" s="29">
        <f t="shared" si="32"/>
        <v>0</v>
      </c>
      <c r="W208" s="29" t="str">
        <f t="shared" si="38"/>
        <v/>
      </c>
      <c r="X208" s="29" t="str">
        <f t="shared" si="33"/>
        <v/>
      </c>
      <c r="Y208" s="32" t="str">
        <f t="shared" si="34"/>
        <v/>
      </c>
      <c r="Z208" s="29" t="str">
        <f t="shared" si="35"/>
        <v/>
      </c>
      <c r="AA208" s="29" t="str">
        <f t="shared" si="39"/>
        <v/>
      </c>
      <c r="AB208" s="29" t="str">
        <f t="shared" si="36"/>
        <v/>
      </c>
      <c r="AC208" t="str">
        <f t="shared" si="37"/>
        <v/>
      </c>
    </row>
    <row r="209" spans="20:29" x14ac:dyDescent="0.3">
      <c r="T209" s="29">
        <f t="shared" si="30"/>
        <v>0</v>
      </c>
      <c r="U209" s="29">
        <f t="shared" si="31"/>
        <v>0</v>
      </c>
      <c r="V209" s="29">
        <f t="shared" si="32"/>
        <v>0</v>
      </c>
      <c r="W209" s="29" t="str">
        <f t="shared" si="38"/>
        <v/>
      </c>
      <c r="X209" s="29" t="str">
        <f t="shared" si="33"/>
        <v/>
      </c>
      <c r="Y209" s="32" t="str">
        <f t="shared" si="34"/>
        <v/>
      </c>
      <c r="Z209" s="29" t="str">
        <f t="shared" si="35"/>
        <v/>
      </c>
      <c r="AA209" s="29" t="str">
        <f t="shared" si="39"/>
        <v/>
      </c>
      <c r="AB209" s="29" t="str">
        <f t="shared" si="36"/>
        <v/>
      </c>
      <c r="AC209" t="str">
        <f t="shared" si="37"/>
        <v/>
      </c>
    </row>
    <row r="210" spans="20:29" x14ac:dyDescent="0.3">
      <c r="T210" s="29">
        <f t="shared" si="30"/>
        <v>0</v>
      </c>
      <c r="U210" s="29">
        <f t="shared" si="31"/>
        <v>0</v>
      </c>
      <c r="V210" s="29">
        <f t="shared" si="32"/>
        <v>0</v>
      </c>
      <c r="W210" s="29" t="str">
        <f t="shared" si="38"/>
        <v/>
      </c>
      <c r="X210" s="29" t="str">
        <f t="shared" si="33"/>
        <v/>
      </c>
      <c r="Y210" s="32" t="str">
        <f t="shared" si="34"/>
        <v/>
      </c>
      <c r="Z210" s="29" t="str">
        <f t="shared" si="35"/>
        <v/>
      </c>
      <c r="AA210" s="29" t="str">
        <f t="shared" si="39"/>
        <v/>
      </c>
      <c r="AB210" s="29" t="str">
        <f t="shared" si="36"/>
        <v/>
      </c>
      <c r="AC210" t="str">
        <f t="shared" si="37"/>
        <v/>
      </c>
    </row>
    <row r="211" spans="20:29" x14ac:dyDescent="0.3">
      <c r="T211" s="29">
        <f t="shared" si="30"/>
        <v>0</v>
      </c>
      <c r="U211" s="29">
        <f t="shared" si="31"/>
        <v>0</v>
      </c>
      <c r="V211" s="29">
        <f t="shared" si="32"/>
        <v>0</v>
      </c>
      <c r="W211" s="29" t="str">
        <f t="shared" si="38"/>
        <v/>
      </c>
      <c r="X211" s="29" t="str">
        <f t="shared" si="33"/>
        <v/>
      </c>
      <c r="Y211" s="32" t="str">
        <f t="shared" si="34"/>
        <v/>
      </c>
      <c r="Z211" s="29" t="str">
        <f t="shared" si="35"/>
        <v/>
      </c>
      <c r="AA211" s="29" t="str">
        <f t="shared" si="39"/>
        <v/>
      </c>
      <c r="AB211" s="29" t="str">
        <f t="shared" si="36"/>
        <v/>
      </c>
      <c r="AC211" t="str">
        <f t="shared" si="37"/>
        <v/>
      </c>
    </row>
    <row r="212" spans="20:29" x14ac:dyDescent="0.3">
      <c r="T212" s="29">
        <f t="shared" si="30"/>
        <v>0</v>
      </c>
      <c r="U212" s="29">
        <f t="shared" si="31"/>
        <v>0</v>
      </c>
      <c r="V212" s="29">
        <f t="shared" si="32"/>
        <v>0</v>
      </c>
      <c r="W212" s="29" t="str">
        <f t="shared" si="38"/>
        <v/>
      </c>
      <c r="X212" s="29" t="str">
        <f t="shared" si="33"/>
        <v/>
      </c>
      <c r="Y212" s="32" t="str">
        <f t="shared" si="34"/>
        <v/>
      </c>
      <c r="Z212" s="29" t="str">
        <f t="shared" si="35"/>
        <v/>
      </c>
      <c r="AA212" s="29" t="str">
        <f t="shared" si="39"/>
        <v/>
      </c>
      <c r="AB212" s="29" t="str">
        <f t="shared" si="36"/>
        <v/>
      </c>
      <c r="AC212" t="str">
        <f t="shared" si="37"/>
        <v/>
      </c>
    </row>
    <row r="213" spans="20:29" x14ac:dyDescent="0.3">
      <c r="T213" s="29">
        <f t="shared" si="30"/>
        <v>0</v>
      </c>
      <c r="U213" s="29">
        <f t="shared" si="31"/>
        <v>0</v>
      </c>
      <c r="V213" s="29">
        <f t="shared" si="32"/>
        <v>0</v>
      </c>
      <c r="W213" s="29" t="str">
        <f t="shared" si="38"/>
        <v/>
      </c>
      <c r="X213" s="29" t="str">
        <f t="shared" si="33"/>
        <v/>
      </c>
      <c r="Y213" s="32" t="str">
        <f t="shared" si="34"/>
        <v/>
      </c>
      <c r="Z213" s="29" t="str">
        <f t="shared" si="35"/>
        <v/>
      </c>
      <c r="AA213" s="29" t="str">
        <f t="shared" si="39"/>
        <v/>
      </c>
      <c r="AB213" s="29" t="str">
        <f t="shared" si="36"/>
        <v/>
      </c>
      <c r="AC213" t="str">
        <f t="shared" si="37"/>
        <v/>
      </c>
    </row>
    <row r="214" spans="20:29" x14ac:dyDescent="0.3">
      <c r="T214" s="29">
        <f t="shared" si="30"/>
        <v>0</v>
      </c>
      <c r="U214" s="29">
        <f t="shared" si="31"/>
        <v>0</v>
      </c>
      <c r="V214" s="29">
        <f t="shared" si="32"/>
        <v>0</v>
      </c>
      <c r="W214" s="29" t="str">
        <f t="shared" si="38"/>
        <v/>
      </c>
      <c r="X214" s="29" t="str">
        <f t="shared" si="33"/>
        <v/>
      </c>
      <c r="Y214" s="32" t="str">
        <f t="shared" si="34"/>
        <v/>
      </c>
      <c r="Z214" s="29" t="str">
        <f t="shared" si="35"/>
        <v/>
      </c>
      <c r="AA214" s="29" t="str">
        <f t="shared" si="39"/>
        <v/>
      </c>
      <c r="AB214" s="29" t="str">
        <f t="shared" si="36"/>
        <v/>
      </c>
      <c r="AC214" t="str">
        <f t="shared" si="37"/>
        <v/>
      </c>
    </row>
    <row r="215" spans="20:29" x14ac:dyDescent="0.3">
      <c r="T215" s="29">
        <f t="shared" si="30"/>
        <v>0</v>
      </c>
      <c r="U215" s="29">
        <f t="shared" si="31"/>
        <v>0</v>
      </c>
      <c r="V215" s="29">
        <f t="shared" si="32"/>
        <v>0</v>
      </c>
      <c r="W215" s="29" t="str">
        <f t="shared" si="38"/>
        <v/>
      </c>
      <c r="X215" s="29" t="str">
        <f t="shared" si="33"/>
        <v/>
      </c>
      <c r="Y215" s="32" t="str">
        <f t="shared" si="34"/>
        <v/>
      </c>
      <c r="Z215" s="29" t="str">
        <f t="shared" si="35"/>
        <v/>
      </c>
      <c r="AA215" s="29" t="str">
        <f t="shared" si="39"/>
        <v/>
      </c>
      <c r="AB215" s="29" t="str">
        <f t="shared" si="36"/>
        <v/>
      </c>
      <c r="AC215" t="str">
        <f t="shared" si="37"/>
        <v/>
      </c>
    </row>
    <row r="216" spans="20:29" x14ac:dyDescent="0.3">
      <c r="T216" s="29">
        <f t="shared" si="30"/>
        <v>0</v>
      </c>
      <c r="U216" s="29">
        <f t="shared" si="31"/>
        <v>0</v>
      </c>
      <c r="V216" s="29">
        <f t="shared" si="32"/>
        <v>0</v>
      </c>
      <c r="W216" s="29" t="str">
        <f t="shared" si="38"/>
        <v/>
      </c>
      <c r="X216" s="29" t="str">
        <f t="shared" si="33"/>
        <v/>
      </c>
      <c r="Y216" s="32" t="str">
        <f t="shared" si="34"/>
        <v/>
      </c>
      <c r="Z216" s="29" t="str">
        <f t="shared" si="35"/>
        <v/>
      </c>
      <c r="AA216" s="29" t="str">
        <f t="shared" si="39"/>
        <v/>
      </c>
      <c r="AB216" s="29" t="str">
        <f t="shared" si="36"/>
        <v/>
      </c>
      <c r="AC216" t="str">
        <f t="shared" si="37"/>
        <v/>
      </c>
    </row>
    <row r="217" spans="20:29" x14ac:dyDescent="0.3">
      <c r="T217" s="29">
        <f t="shared" si="30"/>
        <v>0</v>
      </c>
      <c r="U217" s="29">
        <f t="shared" si="31"/>
        <v>0</v>
      </c>
      <c r="V217" s="29">
        <f t="shared" si="32"/>
        <v>0</v>
      </c>
      <c r="W217" s="29" t="str">
        <f t="shared" si="38"/>
        <v/>
      </c>
      <c r="X217" s="29" t="str">
        <f t="shared" si="33"/>
        <v/>
      </c>
      <c r="Y217" s="32" t="str">
        <f t="shared" si="34"/>
        <v/>
      </c>
      <c r="Z217" s="29" t="str">
        <f t="shared" si="35"/>
        <v/>
      </c>
      <c r="AA217" s="29" t="str">
        <f t="shared" si="39"/>
        <v/>
      </c>
      <c r="AB217" s="29" t="str">
        <f t="shared" si="36"/>
        <v/>
      </c>
      <c r="AC217" t="str">
        <f t="shared" si="37"/>
        <v/>
      </c>
    </row>
    <row r="218" spans="20:29" x14ac:dyDescent="0.3">
      <c r="T218" s="29">
        <f t="shared" si="30"/>
        <v>0</v>
      </c>
      <c r="U218" s="29">
        <f t="shared" si="31"/>
        <v>0</v>
      </c>
      <c r="V218" s="29">
        <f t="shared" si="32"/>
        <v>0</v>
      </c>
      <c r="W218" s="29" t="str">
        <f t="shared" si="38"/>
        <v/>
      </c>
      <c r="X218" s="29" t="str">
        <f t="shared" si="33"/>
        <v/>
      </c>
      <c r="Y218" s="32" t="str">
        <f t="shared" si="34"/>
        <v/>
      </c>
      <c r="Z218" s="29" t="str">
        <f t="shared" si="35"/>
        <v/>
      </c>
      <c r="AA218" s="29" t="str">
        <f t="shared" si="39"/>
        <v/>
      </c>
      <c r="AB218" s="29" t="str">
        <f t="shared" si="36"/>
        <v/>
      </c>
      <c r="AC218" t="str">
        <f t="shared" si="37"/>
        <v/>
      </c>
    </row>
    <row r="219" spans="20:29" x14ac:dyDescent="0.3">
      <c r="T219" s="29">
        <f t="shared" si="30"/>
        <v>0</v>
      </c>
      <c r="U219" s="29">
        <f t="shared" si="31"/>
        <v>0</v>
      </c>
      <c r="V219" s="29">
        <f t="shared" si="32"/>
        <v>0</v>
      </c>
      <c r="W219" s="29" t="str">
        <f t="shared" si="38"/>
        <v/>
      </c>
      <c r="X219" s="29" t="str">
        <f t="shared" si="33"/>
        <v/>
      </c>
      <c r="Y219" s="32" t="str">
        <f t="shared" si="34"/>
        <v/>
      </c>
      <c r="Z219" s="29" t="str">
        <f t="shared" si="35"/>
        <v/>
      </c>
      <c r="AA219" s="29" t="str">
        <f t="shared" si="39"/>
        <v/>
      </c>
      <c r="AB219" s="29" t="str">
        <f t="shared" si="36"/>
        <v/>
      </c>
      <c r="AC219" t="str">
        <f t="shared" si="37"/>
        <v/>
      </c>
    </row>
    <row r="220" spans="20:29" x14ac:dyDescent="0.3">
      <c r="T220" s="29">
        <f t="shared" si="30"/>
        <v>0</v>
      </c>
      <c r="U220" s="29">
        <f t="shared" si="31"/>
        <v>0</v>
      </c>
      <c r="V220" s="29">
        <f t="shared" si="32"/>
        <v>0</v>
      </c>
      <c r="W220" s="29" t="str">
        <f t="shared" si="38"/>
        <v/>
      </c>
      <c r="X220" s="29" t="str">
        <f t="shared" si="33"/>
        <v/>
      </c>
      <c r="Y220" s="32" t="str">
        <f t="shared" si="34"/>
        <v/>
      </c>
      <c r="Z220" s="29" t="str">
        <f t="shared" si="35"/>
        <v/>
      </c>
      <c r="AA220" s="29" t="str">
        <f t="shared" si="39"/>
        <v/>
      </c>
      <c r="AB220" s="29" t="str">
        <f t="shared" si="36"/>
        <v/>
      </c>
      <c r="AC220" t="str">
        <f t="shared" si="37"/>
        <v/>
      </c>
    </row>
    <row r="221" spans="20:29" x14ac:dyDescent="0.3">
      <c r="T221" s="29">
        <f t="shared" si="30"/>
        <v>0</v>
      </c>
      <c r="U221" s="29">
        <f t="shared" si="31"/>
        <v>0</v>
      </c>
      <c r="V221" s="29">
        <f t="shared" si="32"/>
        <v>0</v>
      </c>
      <c r="W221" s="29" t="str">
        <f t="shared" si="38"/>
        <v/>
      </c>
      <c r="X221" s="29" t="str">
        <f t="shared" si="33"/>
        <v/>
      </c>
      <c r="Y221" s="32" t="str">
        <f t="shared" si="34"/>
        <v/>
      </c>
      <c r="Z221" s="29" t="str">
        <f t="shared" si="35"/>
        <v/>
      </c>
      <c r="AA221" s="29" t="str">
        <f t="shared" si="39"/>
        <v/>
      </c>
      <c r="AB221" s="29" t="str">
        <f t="shared" si="36"/>
        <v/>
      </c>
      <c r="AC221" t="str">
        <f t="shared" si="37"/>
        <v/>
      </c>
    </row>
    <row r="222" spans="20:29" x14ac:dyDescent="0.3">
      <c r="T222" s="29">
        <f t="shared" si="30"/>
        <v>0</v>
      </c>
      <c r="U222" s="29">
        <f t="shared" si="31"/>
        <v>0</v>
      </c>
      <c r="V222" s="29">
        <f t="shared" si="32"/>
        <v>0</v>
      </c>
      <c r="W222" s="29" t="str">
        <f t="shared" si="38"/>
        <v/>
      </c>
      <c r="X222" s="29" t="str">
        <f t="shared" si="33"/>
        <v/>
      </c>
      <c r="Y222" s="32" t="str">
        <f t="shared" si="34"/>
        <v/>
      </c>
      <c r="Z222" s="29" t="str">
        <f t="shared" si="35"/>
        <v/>
      </c>
      <c r="AA222" s="29" t="str">
        <f t="shared" si="39"/>
        <v/>
      </c>
      <c r="AB222" s="29" t="str">
        <f t="shared" si="36"/>
        <v/>
      </c>
      <c r="AC222" t="str">
        <f t="shared" si="37"/>
        <v/>
      </c>
    </row>
    <row r="223" spans="20:29" x14ac:dyDescent="0.3">
      <c r="T223" s="29">
        <f t="shared" si="30"/>
        <v>0</v>
      </c>
      <c r="U223" s="29">
        <f t="shared" si="31"/>
        <v>0</v>
      </c>
      <c r="V223" s="29">
        <f t="shared" si="32"/>
        <v>0</v>
      </c>
      <c r="W223" s="29" t="str">
        <f t="shared" si="38"/>
        <v/>
      </c>
      <c r="X223" s="29" t="str">
        <f t="shared" si="33"/>
        <v/>
      </c>
      <c r="Y223" s="32" t="str">
        <f t="shared" si="34"/>
        <v/>
      </c>
      <c r="Z223" s="29" t="str">
        <f t="shared" si="35"/>
        <v/>
      </c>
      <c r="AA223" s="29" t="str">
        <f t="shared" si="39"/>
        <v/>
      </c>
      <c r="AB223" s="29" t="str">
        <f t="shared" si="36"/>
        <v/>
      </c>
      <c r="AC223" t="str">
        <f t="shared" si="37"/>
        <v/>
      </c>
    </row>
    <row r="224" spans="20:29" x14ac:dyDescent="0.3">
      <c r="T224" s="29">
        <f t="shared" si="30"/>
        <v>0</v>
      </c>
      <c r="U224" s="29">
        <f t="shared" si="31"/>
        <v>0</v>
      </c>
      <c r="V224" s="29">
        <f t="shared" si="32"/>
        <v>0</v>
      </c>
      <c r="W224" s="29" t="str">
        <f t="shared" si="38"/>
        <v/>
      </c>
      <c r="X224" s="29" t="str">
        <f t="shared" si="33"/>
        <v/>
      </c>
      <c r="Y224" s="32" t="str">
        <f t="shared" si="34"/>
        <v/>
      </c>
      <c r="Z224" s="29" t="str">
        <f t="shared" si="35"/>
        <v/>
      </c>
      <c r="AA224" s="29" t="str">
        <f t="shared" si="39"/>
        <v/>
      </c>
      <c r="AB224" s="29" t="str">
        <f t="shared" si="36"/>
        <v/>
      </c>
      <c r="AC224" t="str">
        <f t="shared" si="37"/>
        <v/>
      </c>
    </row>
    <row r="225" spans="20:29" x14ac:dyDescent="0.3">
      <c r="T225" s="29">
        <f t="shared" si="30"/>
        <v>0</v>
      </c>
      <c r="U225" s="29">
        <f t="shared" si="31"/>
        <v>0</v>
      </c>
      <c r="V225" s="29">
        <f t="shared" si="32"/>
        <v>0</v>
      </c>
      <c r="W225" s="29" t="str">
        <f t="shared" si="38"/>
        <v/>
      </c>
      <c r="X225" s="29" t="str">
        <f t="shared" si="33"/>
        <v/>
      </c>
      <c r="Y225" s="32" t="str">
        <f t="shared" si="34"/>
        <v/>
      </c>
      <c r="Z225" s="29" t="str">
        <f t="shared" si="35"/>
        <v/>
      </c>
      <c r="AA225" s="29" t="str">
        <f t="shared" si="39"/>
        <v/>
      </c>
      <c r="AB225" s="29" t="str">
        <f t="shared" si="36"/>
        <v/>
      </c>
      <c r="AC225" t="str">
        <f t="shared" si="37"/>
        <v/>
      </c>
    </row>
    <row r="226" spans="20:29" x14ac:dyDescent="0.3">
      <c r="T226" s="29">
        <f t="shared" si="30"/>
        <v>0</v>
      </c>
      <c r="U226" s="29">
        <f t="shared" si="31"/>
        <v>0</v>
      </c>
      <c r="V226" s="29">
        <f t="shared" si="32"/>
        <v>0</v>
      </c>
      <c r="W226" s="29" t="str">
        <f t="shared" si="38"/>
        <v/>
      </c>
      <c r="X226" s="29" t="str">
        <f t="shared" si="33"/>
        <v/>
      </c>
      <c r="Y226" s="32" t="str">
        <f t="shared" si="34"/>
        <v/>
      </c>
      <c r="Z226" s="29" t="str">
        <f t="shared" si="35"/>
        <v/>
      </c>
      <c r="AA226" s="29" t="str">
        <f t="shared" si="39"/>
        <v/>
      </c>
      <c r="AB226" s="29" t="str">
        <f t="shared" si="36"/>
        <v/>
      </c>
      <c r="AC226" t="str">
        <f t="shared" si="37"/>
        <v/>
      </c>
    </row>
    <row r="227" spans="20:29" x14ac:dyDescent="0.3">
      <c r="T227" s="29">
        <f t="shared" si="30"/>
        <v>0</v>
      </c>
      <c r="U227" s="29">
        <f t="shared" si="31"/>
        <v>0</v>
      </c>
      <c r="V227" s="29">
        <f t="shared" si="32"/>
        <v>0</v>
      </c>
      <c r="W227" s="29" t="str">
        <f t="shared" si="38"/>
        <v/>
      </c>
      <c r="X227" s="29" t="str">
        <f t="shared" si="33"/>
        <v/>
      </c>
      <c r="Y227" s="32" t="str">
        <f t="shared" si="34"/>
        <v/>
      </c>
      <c r="Z227" s="29" t="str">
        <f t="shared" si="35"/>
        <v/>
      </c>
      <c r="AA227" s="29" t="str">
        <f t="shared" si="39"/>
        <v/>
      </c>
      <c r="AB227" s="29" t="str">
        <f t="shared" si="36"/>
        <v/>
      </c>
      <c r="AC227" t="str">
        <f t="shared" si="37"/>
        <v/>
      </c>
    </row>
    <row r="228" spans="20:29" x14ac:dyDescent="0.3">
      <c r="T228" s="29">
        <f t="shared" si="30"/>
        <v>0</v>
      </c>
      <c r="U228" s="29">
        <f t="shared" si="31"/>
        <v>0</v>
      </c>
      <c r="V228" s="29">
        <f t="shared" si="32"/>
        <v>0</v>
      </c>
      <c r="W228" s="29" t="str">
        <f t="shared" si="38"/>
        <v/>
      </c>
      <c r="X228" s="29" t="str">
        <f t="shared" si="33"/>
        <v/>
      </c>
      <c r="Y228" s="32" t="str">
        <f t="shared" si="34"/>
        <v/>
      </c>
      <c r="Z228" s="29" t="str">
        <f t="shared" si="35"/>
        <v/>
      </c>
      <c r="AA228" s="29" t="str">
        <f t="shared" si="39"/>
        <v/>
      </c>
      <c r="AB228" s="29" t="str">
        <f t="shared" si="36"/>
        <v/>
      </c>
      <c r="AC228" t="str">
        <f t="shared" si="37"/>
        <v/>
      </c>
    </row>
    <row r="229" spans="20:29" x14ac:dyDescent="0.3">
      <c r="T229" s="29">
        <f t="shared" si="30"/>
        <v>0</v>
      </c>
      <c r="U229" s="29">
        <f t="shared" si="31"/>
        <v>0</v>
      </c>
      <c r="V229" s="29">
        <f t="shared" si="32"/>
        <v>0</v>
      </c>
      <c r="W229" s="29" t="str">
        <f t="shared" si="38"/>
        <v/>
      </c>
      <c r="X229" s="29" t="str">
        <f t="shared" si="33"/>
        <v/>
      </c>
      <c r="Y229" s="32" t="str">
        <f t="shared" si="34"/>
        <v/>
      </c>
      <c r="Z229" s="29" t="str">
        <f t="shared" si="35"/>
        <v/>
      </c>
      <c r="AA229" s="29" t="str">
        <f t="shared" si="39"/>
        <v/>
      </c>
      <c r="AB229" s="29" t="str">
        <f t="shared" si="36"/>
        <v/>
      </c>
      <c r="AC229" t="str">
        <f t="shared" si="37"/>
        <v/>
      </c>
    </row>
    <row r="230" spans="20:29" x14ac:dyDescent="0.3">
      <c r="T230" s="29">
        <f t="shared" si="30"/>
        <v>0</v>
      </c>
      <c r="U230" s="29">
        <f t="shared" si="31"/>
        <v>0</v>
      </c>
      <c r="V230" s="29">
        <f t="shared" si="32"/>
        <v>0</v>
      </c>
      <c r="W230" s="29" t="str">
        <f t="shared" si="38"/>
        <v/>
      </c>
      <c r="X230" s="29" t="str">
        <f t="shared" si="33"/>
        <v/>
      </c>
      <c r="Y230" s="32" t="str">
        <f t="shared" si="34"/>
        <v/>
      </c>
      <c r="Z230" s="29" t="str">
        <f t="shared" si="35"/>
        <v/>
      </c>
      <c r="AA230" s="29" t="str">
        <f t="shared" si="39"/>
        <v/>
      </c>
      <c r="AB230" s="29" t="str">
        <f t="shared" si="36"/>
        <v/>
      </c>
      <c r="AC230" t="str">
        <f t="shared" si="37"/>
        <v/>
      </c>
    </row>
    <row r="231" spans="20:29" x14ac:dyDescent="0.3">
      <c r="T231" s="29">
        <f t="shared" si="30"/>
        <v>0</v>
      </c>
      <c r="U231" s="29">
        <f t="shared" si="31"/>
        <v>0</v>
      </c>
      <c r="V231" s="29">
        <f t="shared" si="32"/>
        <v>0</v>
      </c>
      <c r="W231" s="29" t="str">
        <f t="shared" si="38"/>
        <v/>
      </c>
      <c r="X231" s="29" t="str">
        <f t="shared" si="33"/>
        <v/>
      </c>
      <c r="Y231" s="32" t="str">
        <f t="shared" si="34"/>
        <v/>
      </c>
      <c r="Z231" s="29" t="str">
        <f t="shared" si="35"/>
        <v/>
      </c>
      <c r="AA231" s="29" t="str">
        <f t="shared" si="39"/>
        <v/>
      </c>
      <c r="AB231" s="29" t="str">
        <f t="shared" si="36"/>
        <v/>
      </c>
      <c r="AC231" t="str">
        <f t="shared" si="37"/>
        <v/>
      </c>
    </row>
    <row r="232" spans="20:29" x14ac:dyDescent="0.3">
      <c r="T232" s="29">
        <f t="shared" si="30"/>
        <v>0</v>
      </c>
      <c r="U232" s="29">
        <f t="shared" si="31"/>
        <v>0</v>
      </c>
      <c r="V232" s="29">
        <f t="shared" si="32"/>
        <v>0</v>
      </c>
      <c r="W232" s="29" t="str">
        <f t="shared" si="38"/>
        <v/>
      </c>
      <c r="X232" s="29" t="str">
        <f t="shared" si="33"/>
        <v/>
      </c>
      <c r="Y232" s="32" t="str">
        <f t="shared" si="34"/>
        <v/>
      </c>
      <c r="Z232" s="29" t="str">
        <f t="shared" si="35"/>
        <v/>
      </c>
      <c r="AA232" s="29" t="str">
        <f t="shared" si="39"/>
        <v/>
      </c>
      <c r="AB232" s="29" t="str">
        <f t="shared" si="36"/>
        <v/>
      </c>
      <c r="AC232" t="str">
        <f t="shared" si="37"/>
        <v/>
      </c>
    </row>
    <row r="233" spans="20:29" x14ac:dyDescent="0.3">
      <c r="T233" s="29">
        <f t="shared" si="30"/>
        <v>0</v>
      </c>
      <c r="U233" s="29">
        <f t="shared" si="31"/>
        <v>0</v>
      </c>
      <c r="V233" s="29">
        <f t="shared" si="32"/>
        <v>0</v>
      </c>
      <c r="W233" s="29" t="str">
        <f t="shared" si="38"/>
        <v/>
      </c>
      <c r="X233" s="29" t="str">
        <f t="shared" si="33"/>
        <v/>
      </c>
      <c r="Y233" s="32" t="str">
        <f t="shared" si="34"/>
        <v/>
      </c>
      <c r="Z233" s="29" t="str">
        <f t="shared" si="35"/>
        <v/>
      </c>
      <c r="AA233" s="29" t="str">
        <f t="shared" si="39"/>
        <v/>
      </c>
      <c r="AB233" s="29" t="str">
        <f t="shared" si="36"/>
        <v/>
      </c>
      <c r="AC233" t="str">
        <f t="shared" si="37"/>
        <v/>
      </c>
    </row>
    <row r="234" spans="20:29" x14ac:dyDescent="0.3">
      <c r="T234" s="29">
        <f t="shared" si="30"/>
        <v>0</v>
      </c>
      <c r="U234" s="29">
        <f t="shared" si="31"/>
        <v>0</v>
      </c>
      <c r="V234" s="29">
        <f t="shared" si="32"/>
        <v>0</v>
      </c>
      <c r="W234" s="29" t="str">
        <f t="shared" si="38"/>
        <v/>
      </c>
      <c r="X234" s="29" t="str">
        <f t="shared" si="33"/>
        <v/>
      </c>
      <c r="Y234" s="32" t="str">
        <f t="shared" si="34"/>
        <v/>
      </c>
      <c r="Z234" s="29" t="str">
        <f t="shared" si="35"/>
        <v/>
      </c>
      <c r="AA234" s="29" t="str">
        <f t="shared" si="39"/>
        <v/>
      </c>
      <c r="AB234" s="29" t="str">
        <f t="shared" si="36"/>
        <v/>
      </c>
      <c r="AC234" t="str">
        <f t="shared" si="37"/>
        <v/>
      </c>
    </row>
    <row r="235" spans="20:29" x14ac:dyDescent="0.3">
      <c r="T235" s="29">
        <f t="shared" si="30"/>
        <v>0</v>
      </c>
      <c r="U235" s="29">
        <f t="shared" si="31"/>
        <v>0</v>
      </c>
      <c r="V235" s="29">
        <f t="shared" si="32"/>
        <v>0</v>
      </c>
      <c r="W235" s="29" t="str">
        <f t="shared" si="38"/>
        <v/>
      </c>
      <c r="X235" s="29" t="str">
        <f t="shared" si="33"/>
        <v/>
      </c>
      <c r="Y235" s="32" t="str">
        <f t="shared" si="34"/>
        <v/>
      </c>
      <c r="Z235" s="29" t="str">
        <f t="shared" si="35"/>
        <v/>
      </c>
      <c r="AA235" s="29" t="str">
        <f t="shared" si="39"/>
        <v/>
      </c>
      <c r="AB235" s="29" t="str">
        <f t="shared" si="36"/>
        <v/>
      </c>
      <c r="AC235" t="str">
        <f t="shared" si="37"/>
        <v/>
      </c>
    </row>
    <row r="236" spans="20:29" x14ac:dyDescent="0.3">
      <c r="T236" s="29">
        <f t="shared" si="30"/>
        <v>0</v>
      </c>
      <c r="U236" s="29">
        <f t="shared" si="31"/>
        <v>0</v>
      </c>
      <c r="V236" s="29">
        <f t="shared" si="32"/>
        <v>0</v>
      </c>
      <c r="W236" s="29" t="str">
        <f t="shared" si="38"/>
        <v/>
      </c>
      <c r="X236" s="29" t="str">
        <f t="shared" si="33"/>
        <v/>
      </c>
      <c r="Y236" s="32" t="str">
        <f t="shared" si="34"/>
        <v/>
      </c>
      <c r="Z236" s="29" t="str">
        <f t="shared" si="35"/>
        <v/>
      </c>
      <c r="AA236" s="29" t="str">
        <f t="shared" si="39"/>
        <v/>
      </c>
      <c r="AB236" s="29" t="str">
        <f t="shared" si="36"/>
        <v/>
      </c>
      <c r="AC236" t="str">
        <f t="shared" si="37"/>
        <v/>
      </c>
    </row>
    <row r="237" spans="20:29" x14ac:dyDescent="0.3">
      <c r="T237" s="29">
        <f t="shared" si="30"/>
        <v>0</v>
      </c>
      <c r="U237" s="29">
        <f t="shared" si="31"/>
        <v>0</v>
      </c>
      <c r="V237" s="29">
        <f t="shared" si="32"/>
        <v>0</v>
      </c>
      <c r="W237" s="29" t="str">
        <f t="shared" si="38"/>
        <v/>
      </c>
      <c r="X237" s="29" t="str">
        <f t="shared" si="33"/>
        <v/>
      </c>
      <c r="Y237" s="32" t="str">
        <f t="shared" si="34"/>
        <v/>
      </c>
      <c r="Z237" s="29" t="str">
        <f t="shared" si="35"/>
        <v/>
      </c>
      <c r="AA237" s="29" t="str">
        <f t="shared" si="39"/>
        <v/>
      </c>
      <c r="AB237" s="29" t="str">
        <f t="shared" si="36"/>
        <v/>
      </c>
      <c r="AC237" t="str">
        <f t="shared" si="37"/>
        <v/>
      </c>
    </row>
    <row r="238" spans="20:29" x14ac:dyDescent="0.3">
      <c r="T238" s="29">
        <f t="shared" si="30"/>
        <v>0</v>
      </c>
      <c r="U238" s="29">
        <f t="shared" si="31"/>
        <v>0</v>
      </c>
      <c r="V238" s="29">
        <f t="shared" si="32"/>
        <v>0</v>
      </c>
      <c r="W238" s="29" t="str">
        <f t="shared" si="38"/>
        <v/>
      </c>
      <c r="X238" s="29" t="str">
        <f t="shared" si="33"/>
        <v/>
      </c>
      <c r="Y238" s="32" t="str">
        <f t="shared" si="34"/>
        <v/>
      </c>
      <c r="Z238" s="29" t="str">
        <f t="shared" si="35"/>
        <v/>
      </c>
      <c r="AA238" s="29" t="str">
        <f t="shared" si="39"/>
        <v/>
      </c>
      <c r="AB238" s="29" t="str">
        <f t="shared" si="36"/>
        <v/>
      </c>
      <c r="AC238" t="str">
        <f t="shared" si="37"/>
        <v/>
      </c>
    </row>
    <row r="239" spans="20:29" x14ac:dyDescent="0.3">
      <c r="T239" s="29">
        <f t="shared" si="30"/>
        <v>0</v>
      </c>
      <c r="U239" s="29">
        <f t="shared" si="31"/>
        <v>0</v>
      </c>
      <c r="V239" s="29">
        <f t="shared" si="32"/>
        <v>0</v>
      </c>
      <c r="W239" s="29" t="str">
        <f t="shared" si="38"/>
        <v/>
      </c>
      <c r="X239" s="29" t="str">
        <f t="shared" si="33"/>
        <v/>
      </c>
      <c r="Y239" s="32" t="str">
        <f t="shared" si="34"/>
        <v/>
      </c>
      <c r="Z239" s="29" t="str">
        <f t="shared" si="35"/>
        <v/>
      </c>
      <c r="AA239" s="29" t="str">
        <f t="shared" si="39"/>
        <v/>
      </c>
      <c r="AB239" s="29" t="str">
        <f t="shared" si="36"/>
        <v/>
      </c>
      <c r="AC239" t="str">
        <f t="shared" si="37"/>
        <v/>
      </c>
    </row>
    <row r="240" spans="20:29" x14ac:dyDescent="0.3">
      <c r="T240" s="29">
        <f t="shared" si="30"/>
        <v>0</v>
      </c>
      <c r="U240" s="29">
        <f t="shared" si="31"/>
        <v>0</v>
      </c>
      <c r="V240" s="29">
        <f t="shared" si="32"/>
        <v>0</v>
      </c>
      <c r="W240" s="29" t="str">
        <f t="shared" si="38"/>
        <v/>
      </c>
      <c r="X240" s="29" t="str">
        <f t="shared" si="33"/>
        <v/>
      </c>
      <c r="Y240" s="32" t="str">
        <f t="shared" si="34"/>
        <v/>
      </c>
      <c r="Z240" s="29" t="str">
        <f t="shared" si="35"/>
        <v/>
      </c>
      <c r="AA240" s="29" t="str">
        <f t="shared" si="39"/>
        <v/>
      </c>
      <c r="AB240" s="29" t="str">
        <f t="shared" si="36"/>
        <v/>
      </c>
      <c r="AC240" t="str">
        <f t="shared" si="37"/>
        <v/>
      </c>
    </row>
    <row r="241" spans="20:29" x14ac:dyDescent="0.3">
      <c r="T241" s="29">
        <f t="shared" si="30"/>
        <v>0</v>
      </c>
      <c r="U241" s="29">
        <f t="shared" si="31"/>
        <v>0</v>
      </c>
      <c r="V241" s="29">
        <f t="shared" si="32"/>
        <v>0</v>
      </c>
      <c r="W241" s="29" t="str">
        <f t="shared" si="38"/>
        <v/>
      </c>
      <c r="X241" s="29" t="str">
        <f t="shared" si="33"/>
        <v/>
      </c>
      <c r="Y241" s="32" t="str">
        <f t="shared" si="34"/>
        <v/>
      </c>
      <c r="Z241" s="29" t="str">
        <f t="shared" si="35"/>
        <v/>
      </c>
      <c r="AA241" s="29" t="str">
        <f t="shared" si="39"/>
        <v/>
      </c>
      <c r="AB241" s="29" t="str">
        <f t="shared" si="36"/>
        <v/>
      </c>
      <c r="AC241" t="str">
        <f t="shared" si="37"/>
        <v/>
      </c>
    </row>
    <row r="242" spans="20:29" x14ac:dyDescent="0.3">
      <c r="T242" s="29">
        <f t="shared" si="30"/>
        <v>0</v>
      </c>
      <c r="U242" s="29">
        <f t="shared" si="31"/>
        <v>0</v>
      </c>
      <c r="V242" s="29">
        <f t="shared" si="32"/>
        <v>0</v>
      </c>
      <c r="W242" s="29" t="str">
        <f t="shared" si="38"/>
        <v/>
      </c>
      <c r="X242" s="29" t="str">
        <f t="shared" si="33"/>
        <v/>
      </c>
      <c r="Y242" s="32" t="str">
        <f t="shared" si="34"/>
        <v/>
      </c>
      <c r="Z242" s="29" t="str">
        <f t="shared" si="35"/>
        <v/>
      </c>
      <c r="AA242" s="29" t="str">
        <f t="shared" si="39"/>
        <v/>
      </c>
      <c r="AB242" s="29" t="str">
        <f t="shared" si="36"/>
        <v/>
      </c>
      <c r="AC242" t="str">
        <f t="shared" si="37"/>
        <v/>
      </c>
    </row>
    <row r="243" spans="20:29" x14ac:dyDescent="0.3">
      <c r="T243" s="29">
        <f t="shared" si="30"/>
        <v>0</v>
      </c>
      <c r="U243" s="29">
        <f t="shared" si="31"/>
        <v>0</v>
      </c>
      <c r="V243" s="29">
        <f t="shared" si="32"/>
        <v>0</v>
      </c>
      <c r="W243" s="29" t="str">
        <f t="shared" si="38"/>
        <v/>
      </c>
      <c r="X243" s="29" t="str">
        <f t="shared" si="33"/>
        <v/>
      </c>
      <c r="Y243" s="32" t="str">
        <f t="shared" si="34"/>
        <v/>
      </c>
      <c r="Z243" s="29" t="str">
        <f t="shared" si="35"/>
        <v/>
      </c>
      <c r="AA243" s="29" t="str">
        <f t="shared" si="39"/>
        <v/>
      </c>
      <c r="AB243" s="29" t="str">
        <f t="shared" si="36"/>
        <v/>
      </c>
      <c r="AC243" t="str">
        <f t="shared" si="37"/>
        <v/>
      </c>
    </row>
    <row r="244" spans="20:29" x14ac:dyDescent="0.3">
      <c r="T244" s="29">
        <f t="shared" si="30"/>
        <v>0</v>
      </c>
      <c r="U244" s="29">
        <f t="shared" si="31"/>
        <v>0</v>
      </c>
      <c r="V244" s="29">
        <f t="shared" si="32"/>
        <v>0</v>
      </c>
      <c r="W244" s="29" t="str">
        <f t="shared" si="38"/>
        <v/>
      </c>
      <c r="X244" s="29" t="str">
        <f t="shared" si="33"/>
        <v/>
      </c>
      <c r="Y244" s="32" t="str">
        <f t="shared" si="34"/>
        <v/>
      </c>
      <c r="Z244" s="29" t="str">
        <f t="shared" si="35"/>
        <v/>
      </c>
      <c r="AA244" s="29" t="str">
        <f t="shared" si="39"/>
        <v/>
      </c>
      <c r="AB244" s="29" t="str">
        <f t="shared" si="36"/>
        <v/>
      </c>
      <c r="AC244" t="str">
        <f t="shared" si="37"/>
        <v/>
      </c>
    </row>
    <row r="245" spans="20:29" x14ac:dyDescent="0.3">
      <c r="T245" s="29">
        <f t="shared" si="30"/>
        <v>0</v>
      </c>
      <c r="U245" s="29">
        <f t="shared" si="31"/>
        <v>0</v>
      </c>
      <c r="V245" s="29">
        <f t="shared" si="32"/>
        <v>0</v>
      </c>
      <c r="W245" s="29" t="str">
        <f t="shared" si="38"/>
        <v/>
      </c>
      <c r="X245" s="29" t="str">
        <f t="shared" si="33"/>
        <v/>
      </c>
      <c r="Y245" s="32" t="str">
        <f t="shared" si="34"/>
        <v/>
      </c>
      <c r="Z245" s="29" t="str">
        <f t="shared" si="35"/>
        <v/>
      </c>
      <c r="AA245" s="29" t="str">
        <f t="shared" si="39"/>
        <v/>
      </c>
      <c r="AB245" s="29" t="str">
        <f t="shared" si="36"/>
        <v/>
      </c>
      <c r="AC245" t="str">
        <f t="shared" si="37"/>
        <v/>
      </c>
    </row>
    <row r="246" spans="20:29" x14ac:dyDescent="0.3">
      <c r="T246" s="29">
        <f t="shared" si="30"/>
        <v>0</v>
      </c>
      <c r="U246" s="29">
        <f t="shared" si="31"/>
        <v>0</v>
      </c>
      <c r="V246" s="29">
        <f t="shared" si="32"/>
        <v>0</v>
      </c>
      <c r="W246" s="29" t="str">
        <f t="shared" si="38"/>
        <v/>
      </c>
      <c r="X246" s="29" t="str">
        <f t="shared" si="33"/>
        <v/>
      </c>
      <c r="Y246" s="32" t="str">
        <f t="shared" si="34"/>
        <v/>
      </c>
      <c r="Z246" s="29" t="str">
        <f t="shared" si="35"/>
        <v/>
      </c>
      <c r="AA246" s="29" t="str">
        <f t="shared" si="39"/>
        <v/>
      </c>
      <c r="AB246" s="29" t="str">
        <f t="shared" si="36"/>
        <v/>
      </c>
      <c r="AC246" t="str">
        <f t="shared" si="37"/>
        <v/>
      </c>
    </row>
    <row r="247" spans="20:29" x14ac:dyDescent="0.3">
      <c r="T247" s="29">
        <f t="shared" si="30"/>
        <v>0</v>
      </c>
      <c r="U247" s="29">
        <f t="shared" si="31"/>
        <v>0</v>
      </c>
      <c r="V247" s="29">
        <f t="shared" si="32"/>
        <v>0</v>
      </c>
      <c r="W247" s="29" t="str">
        <f t="shared" si="38"/>
        <v/>
      </c>
      <c r="X247" s="29" t="str">
        <f t="shared" si="33"/>
        <v/>
      </c>
      <c r="Y247" s="32" t="str">
        <f t="shared" si="34"/>
        <v/>
      </c>
      <c r="Z247" s="29" t="str">
        <f t="shared" si="35"/>
        <v/>
      </c>
      <c r="AA247" s="29" t="str">
        <f t="shared" si="39"/>
        <v/>
      </c>
      <c r="AB247" s="29" t="str">
        <f t="shared" si="36"/>
        <v/>
      </c>
      <c r="AC247" t="str">
        <f t="shared" si="37"/>
        <v/>
      </c>
    </row>
    <row r="248" spans="20:29" x14ac:dyDescent="0.3">
      <c r="T248" s="29">
        <f t="shared" si="30"/>
        <v>0</v>
      </c>
      <c r="U248" s="29">
        <f t="shared" si="31"/>
        <v>0</v>
      </c>
      <c r="V248" s="29">
        <f t="shared" si="32"/>
        <v>0</v>
      </c>
      <c r="W248" s="29" t="str">
        <f t="shared" si="38"/>
        <v/>
      </c>
      <c r="X248" s="29" t="str">
        <f t="shared" si="33"/>
        <v/>
      </c>
      <c r="Y248" s="32" t="str">
        <f t="shared" si="34"/>
        <v/>
      </c>
      <c r="Z248" s="29" t="str">
        <f t="shared" si="35"/>
        <v/>
      </c>
      <c r="AA248" s="29" t="str">
        <f t="shared" si="39"/>
        <v/>
      </c>
      <c r="AB248" s="29" t="str">
        <f t="shared" si="36"/>
        <v/>
      </c>
      <c r="AC248" t="str">
        <f t="shared" si="37"/>
        <v/>
      </c>
    </row>
    <row r="249" spans="20:29" x14ac:dyDescent="0.3">
      <c r="T249" s="29">
        <f t="shared" si="30"/>
        <v>0</v>
      </c>
      <c r="U249" s="29">
        <f t="shared" si="31"/>
        <v>0</v>
      </c>
      <c r="V249" s="29">
        <f t="shared" si="32"/>
        <v>0</v>
      </c>
      <c r="W249" s="29" t="str">
        <f t="shared" si="38"/>
        <v/>
      </c>
      <c r="X249" s="29" t="str">
        <f t="shared" si="33"/>
        <v/>
      </c>
      <c r="Y249" s="32" t="str">
        <f t="shared" si="34"/>
        <v/>
      </c>
      <c r="Z249" s="29" t="str">
        <f t="shared" si="35"/>
        <v/>
      </c>
      <c r="AA249" s="29" t="str">
        <f t="shared" si="39"/>
        <v/>
      </c>
      <c r="AB249" s="29" t="str">
        <f t="shared" si="36"/>
        <v/>
      </c>
      <c r="AC249" t="str">
        <f t="shared" si="37"/>
        <v/>
      </c>
    </row>
    <row r="250" spans="20:29" x14ac:dyDescent="0.3">
      <c r="T250" s="29">
        <f t="shared" si="30"/>
        <v>0</v>
      </c>
      <c r="U250" s="29">
        <f t="shared" si="31"/>
        <v>0</v>
      </c>
      <c r="V250" s="29">
        <f t="shared" si="32"/>
        <v>0</v>
      </c>
      <c r="W250" s="29" t="str">
        <f t="shared" si="38"/>
        <v/>
      </c>
      <c r="X250" s="29" t="str">
        <f t="shared" si="33"/>
        <v/>
      </c>
      <c r="Y250" s="32" t="str">
        <f t="shared" si="34"/>
        <v/>
      </c>
      <c r="Z250" s="29" t="str">
        <f t="shared" si="35"/>
        <v/>
      </c>
      <c r="AA250" s="29" t="str">
        <f t="shared" si="39"/>
        <v/>
      </c>
      <c r="AB250" s="29" t="str">
        <f t="shared" si="36"/>
        <v/>
      </c>
      <c r="AC250" t="str">
        <f t="shared" si="37"/>
        <v/>
      </c>
    </row>
    <row r="251" spans="20:29" x14ac:dyDescent="0.3">
      <c r="T251" s="29">
        <f t="shared" si="30"/>
        <v>0</v>
      </c>
      <c r="U251" s="29">
        <f t="shared" si="31"/>
        <v>0</v>
      </c>
      <c r="V251" s="29">
        <f t="shared" si="32"/>
        <v>0</v>
      </c>
      <c r="W251" s="29" t="str">
        <f t="shared" si="38"/>
        <v/>
      </c>
      <c r="X251" s="29" t="str">
        <f t="shared" si="33"/>
        <v/>
      </c>
      <c r="Y251" s="32" t="str">
        <f t="shared" si="34"/>
        <v/>
      </c>
      <c r="Z251" s="29" t="str">
        <f t="shared" si="35"/>
        <v/>
      </c>
      <c r="AA251" s="29" t="str">
        <f t="shared" si="39"/>
        <v/>
      </c>
      <c r="AB251" s="29" t="str">
        <f t="shared" si="36"/>
        <v/>
      </c>
      <c r="AC251" t="str">
        <f t="shared" si="37"/>
        <v/>
      </c>
    </row>
    <row r="252" spans="20:29" x14ac:dyDescent="0.3">
      <c r="T252" s="29">
        <f t="shared" si="30"/>
        <v>0</v>
      </c>
      <c r="U252" s="29">
        <f t="shared" si="31"/>
        <v>0</v>
      </c>
      <c r="V252" s="29">
        <f t="shared" si="32"/>
        <v>0</v>
      </c>
      <c r="W252" s="29" t="str">
        <f t="shared" si="38"/>
        <v/>
      </c>
      <c r="X252" s="29" t="str">
        <f t="shared" si="33"/>
        <v/>
      </c>
      <c r="Y252" s="32" t="str">
        <f t="shared" si="34"/>
        <v/>
      </c>
      <c r="Z252" s="29" t="str">
        <f t="shared" si="35"/>
        <v/>
      </c>
      <c r="AA252" s="29" t="str">
        <f t="shared" si="39"/>
        <v/>
      </c>
      <c r="AB252" s="29" t="str">
        <f t="shared" si="36"/>
        <v/>
      </c>
      <c r="AC252" t="str">
        <f t="shared" si="37"/>
        <v/>
      </c>
    </row>
    <row r="253" spans="20:29" x14ac:dyDescent="0.3">
      <c r="T253" s="29">
        <f t="shared" si="30"/>
        <v>0</v>
      </c>
      <c r="U253" s="29">
        <f t="shared" si="31"/>
        <v>0</v>
      </c>
      <c r="V253" s="29">
        <f t="shared" si="32"/>
        <v>0</v>
      </c>
      <c r="W253" s="29" t="str">
        <f t="shared" si="38"/>
        <v/>
      </c>
      <c r="X253" s="29" t="str">
        <f t="shared" si="33"/>
        <v/>
      </c>
      <c r="Y253" s="32" t="str">
        <f t="shared" si="34"/>
        <v/>
      </c>
      <c r="Z253" s="29" t="str">
        <f t="shared" si="35"/>
        <v/>
      </c>
      <c r="AA253" s="29" t="str">
        <f t="shared" si="39"/>
        <v/>
      </c>
      <c r="AB253" s="29" t="str">
        <f t="shared" si="36"/>
        <v/>
      </c>
      <c r="AC253" t="str">
        <f t="shared" si="37"/>
        <v/>
      </c>
    </row>
    <row r="254" spans="20:29" x14ac:dyDescent="0.3">
      <c r="T254" s="29">
        <f t="shared" si="30"/>
        <v>0</v>
      </c>
      <c r="U254" s="29">
        <f t="shared" si="31"/>
        <v>0</v>
      </c>
      <c r="V254" s="29">
        <f t="shared" si="32"/>
        <v>0</v>
      </c>
      <c r="W254" s="29" t="str">
        <f t="shared" si="38"/>
        <v/>
      </c>
      <c r="X254" s="29" t="str">
        <f t="shared" si="33"/>
        <v/>
      </c>
      <c r="Y254" s="32" t="str">
        <f t="shared" si="34"/>
        <v/>
      </c>
      <c r="Z254" s="29" t="str">
        <f t="shared" si="35"/>
        <v/>
      </c>
      <c r="AA254" s="29" t="str">
        <f t="shared" si="39"/>
        <v/>
      </c>
      <c r="AB254" s="29" t="str">
        <f t="shared" si="36"/>
        <v/>
      </c>
      <c r="AC254" t="str">
        <f t="shared" si="37"/>
        <v/>
      </c>
    </row>
    <row r="255" spans="20:29" x14ac:dyDescent="0.3">
      <c r="T255" s="29">
        <f t="shared" si="30"/>
        <v>0</v>
      </c>
      <c r="U255" s="29">
        <f t="shared" si="31"/>
        <v>0</v>
      </c>
      <c r="V255" s="29">
        <f t="shared" si="32"/>
        <v>0</v>
      </c>
      <c r="W255" s="29" t="str">
        <f t="shared" si="38"/>
        <v/>
      </c>
      <c r="X255" s="29" t="str">
        <f t="shared" si="33"/>
        <v/>
      </c>
      <c r="Y255" s="32" t="str">
        <f t="shared" si="34"/>
        <v/>
      </c>
      <c r="Z255" s="29" t="str">
        <f t="shared" si="35"/>
        <v/>
      </c>
      <c r="AA255" s="29" t="str">
        <f t="shared" si="39"/>
        <v/>
      </c>
      <c r="AB255" s="29" t="str">
        <f t="shared" si="36"/>
        <v/>
      </c>
      <c r="AC255" t="str">
        <f t="shared" si="37"/>
        <v/>
      </c>
    </row>
    <row r="256" spans="20:29" x14ac:dyDescent="0.3">
      <c r="T256" s="29">
        <f t="shared" si="30"/>
        <v>0</v>
      </c>
      <c r="U256" s="29">
        <f t="shared" si="31"/>
        <v>0</v>
      </c>
      <c r="V256" s="29">
        <f t="shared" si="32"/>
        <v>0</v>
      </c>
      <c r="W256" s="29" t="str">
        <f t="shared" si="38"/>
        <v/>
      </c>
      <c r="X256" s="29" t="str">
        <f t="shared" si="33"/>
        <v/>
      </c>
      <c r="Y256" s="32" t="str">
        <f t="shared" si="34"/>
        <v/>
      </c>
      <c r="Z256" s="29" t="str">
        <f t="shared" si="35"/>
        <v/>
      </c>
      <c r="AA256" s="29" t="str">
        <f t="shared" si="39"/>
        <v/>
      </c>
      <c r="AB256" s="29" t="str">
        <f t="shared" si="36"/>
        <v/>
      </c>
      <c r="AC256" t="str">
        <f t="shared" si="37"/>
        <v/>
      </c>
    </row>
    <row r="257" spans="20:29" x14ac:dyDescent="0.3">
      <c r="T257" s="29">
        <f t="shared" si="30"/>
        <v>0</v>
      </c>
      <c r="U257" s="29">
        <f t="shared" si="31"/>
        <v>0</v>
      </c>
      <c r="V257" s="29">
        <f t="shared" si="32"/>
        <v>0</v>
      </c>
      <c r="W257" s="29" t="str">
        <f t="shared" si="38"/>
        <v/>
      </c>
      <c r="X257" s="29" t="str">
        <f t="shared" si="33"/>
        <v/>
      </c>
      <c r="Y257" s="32" t="str">
        <f t="shared" si="34"/>
        <v/>
      </c>
      <c r="Z257" s="29" t="str">
        <f t="shared" si="35"/>
        <v/>
      </c>
      <c r="AA257" s="29" t="str">
        <f t="shared" si="39"/>
        <v/>
      </c>
      <c r="AB257" s="29" t="str">
        <f t="shared" si="36"/>
        <v/>
      </c>
      <c r="AC257" t="str">
        <f t="shared" si="37"/>
        <v/>
      </c>
    </row>
    <row r="258" spans="20:29" x14ac:dyDescent="0.3">
      <c r="T258" s="29">
        <f t="shared" si="30"/>
        <v>0</v>
      </c>
      <c r="U258" s="29">
        <f t="shared" si="31"/>
        <v>0</v>
      </c>
      <c r="V258" s="29">
        <f t="shared" si="32"/>
        <v>0</v>
      </c>
      <c r="W258" s="29" t="str">
        <f t="shared" si="38"/>
        <v/>
      </c>
      <c r="X258" s="29" t="str">
        <f t="shared" si="33"/>
        <v/>
      </c>
      <c r="Y258" s="32" t="str">
        <f t="shared" si="34"/>
        <v/>
      </c>
      <c r="Z258" s="29" t="str">
        <f t="shared" si="35"/>
        <v/>
      </c>
      <c r="AA258" s="29" t="str">
        <f t="shared" si="39"/>
        <v/>
      </c>
      <c r="AB258" s="29" t="str">
        <f t="shared" si="36"/>
        <v/>
      </c>
      <c r="AC258" t="str">
        <f t="shared" si="37"/>
        <v/>
      </c>
    </row>
    <row r="259" spans="20:29" x14ac:dyDescent="0.3">
      <c r="T259" s="29">
        <f t="shared" ref="T259:T322" si="40">+O259/1.08</f>
        <v>0</v>
      </c>
      <c r="U259" s="29">
        <f t="shared" ref="U259:U322" si="41">+T259*N259</f>
        <v>0</v>
      </c>
      <c r="V259" s="29">
        <f t="shared" ref="V259:V322" si="42">+SUMIF(B:B,B259,U:U)</f>
        <v>0</v>
      </c>
      <c r="W259" s="29" t="str">
        <f t="shared" si="38"/>
        <v/>
      </c>
      <c r="X259" s="29" t="str">
        <f t="shared" ref="X259:X322" si="43">+IF(W259&lt;&gt;0,W259,"")</f>
        <v/>
      </c>
      <c r="Y259" s="32" t="str">
        <f t="shared" ref="Y259:Y322" si="44">+IF(X259&lt;&gt;"",8,"")</f>
        <v/>
      </c>
      <c r="Z259" s="29" t="str">
        <f t="shared" ref="Z259:Z322" si="45">+IF(X259&lt;&gt;"","VND","")</f>
        <v/>
      </c>
      <c r="AA259" s="29" t="str">
        <f t="shared" si="39"/>
        <v/>
      </c>
      <c r="AB259" s="29" t="str">
        <f t="shared" ref="AB259:AB322" si="46">+IF(AA259&lt;&gt;0,AA259,"")</f>
        <v/>
      </c>
      <c r="AC259" t="str">
        <f t="shared" ref="AC259:AC322" si="47">+IF(X259&lt;&gt;"","TM/CK","")</f>
        <v/>
      </c>
    </row>
    <row r="260" spans="20:29" x14ac:dyDescent="0.3">
      <c r="T260" s="29">
        <f t="shared" si="40"/>
        <v>0</v>
      </c>
      <c r="U260" s="29">
        <f t="shared" si="41"/>
        <v>0</v>
      </c>
      <c r="V260" s="29">
        <f t="shared" si="42"/>
        <v>0</v>
      </c>
      <c r="W260" s="29" t="str">
        <f t="shared" ref="W260:W323" si="48">+IF(V260=V259,"",V260)</f>
        <v/>
      </c>
      <c r="X260" s="29" t="str">
        <f t="shared" si="43"/>
        <v/>
      </c>
      <c r="Y260" s="32" t="str">
        <f t="shared" si="44"/>
        <v/>
      </c>
      <c r="Z260" s="29" t="str">
        <f t="shared" si="45"/>
        <v/>
      </c>
      <c r="AA260" s="29" t="str">
        <f t="shared" ref="AA260:AA323" si="49">+IF(B260=B259,"",E260)</f>
        <v/>
      </c>
      <c r="AB260" s="29" t="str">
        <f t="shared" si="46"/>
        <v/>
      </c>
      <c r="AC260" t="str">
        <f t="shared" si="47"/>
        <v/>
      </c>
    </row>
    <row r="261" spans="20:29" x14ac:dyDescent="0.3">
      <c r="T261" s="29">
        <f t="shared" si="40"/>
        <v>0</v>
      </c>
      <c r="U261" s="29">
        <f t="shared" si="41"/>
        <v>0</v>
      </c>
      <c r="V261" s="29">
        <f t="shared" si="42"/>
        <v>0</v>
      </c>
      <c r="W261" s="29" t="str">
        <f t="shared" si="48"/>
        <v/>
      </c>
      <c r="X261" s="29" t="str">
        <f t="shared" si="43"/>
        <v/>
      </c>
      <c r="Y261" s="32" t="str">
        <f t="shared" si="44"/>
        <v/>
      </c>
      <c r="Z261" s="29" t="str">
        <f t="shared" si="45"/>
        <v/>
      </c>
      <c r="AA261" s="29" t="str">
        <f t="shared" si="49"/>
        <v/>
      </c>
      <c r="AB261" s="29" t="str">
        <f t="shared" si="46"/>
        <v/>
      </c>
      <c r="AC261" t="str">
        <f t="shared" si="47"/>
        <v/>
      </c>
    </row>
    <row r="262" spans="20:29" x14ac:dyDescent="0.3">
      <c r="T262" s="29">
        <f t="shared" si="40"/>
        <v>0</v>
      </c>
      <c r="U262" s="29">
        <f t="shared" si="41"/>
        <v>0</v>
      </c>
      <c r="V262" s="29">
        <f t="shared" si="42"/>
        <v>0</v>
      </c>
      <c r="W262" s="29" t="str">
        <f t="shared" si="48"/>
        <v/>
      </c>
      <c r="X262" s="29" t="str">
        <f t="shared" si="43"/>
        <v/>
      </c>
      <c r="Y262" s="32" t="str">
        <f t="shared" si="44"/>
        <v/>
      </c>
      <c r="Z262" s="29" t="str">
        <f t="shared" si="45"/>
        <v/>
      </c>
      <c r="AA262" s="29" t="str">
        <f t="shared" si="49"/>
        <v/>
      </c>
      <c r="AB262" s="29" t="str">
        <f t="shared" si="46"/>
        <v/>
      </c>
      <c r="AC262" t="str">
        <f t="shared" si="47"/>
        <v/>
      </c>
    </row>
    <row r="263" spans="20:29" x14ac:dyDescent="0.3">
      <c r="T263" s="29">
        <f t="shared" si="40"/>
        <v>0</v>
      </c>
      <c r="U263" s="29">
        <f t="shared" si="41"/>
        <v>0</v>
      </c>
      <c r="V263" s="29">
        <f t="shared" si="42"/>
        <v>0</v>
      </c>
      <c r="W263" s="29" t="str">
        <f t="shared" si="48"/>
        <v/>
      </c>
      <c r="X263" s="29" t="str">
        <f t="shared" si="43"/>
        <v/>
      </c>
      <c r="Y263" s="32" t="str">
        <f t="shared" si="44"/>
        <v/>
      </c>
      <c r="Z263" s="29" t="str">
        <f t="shared" si="45"/>
        <v/>
      </c>
      <c r="AA263" s="29" t="str">
        <f t="shared" si="49"/>
        <v/>
      </c>
      <c r="AB263" s="29" t="str">
        <f t="shared" si="46"/>
        <v/>
      </c>
      <c r="AC263" t="str">
        <f t="shared" si="47"/>
        <v/>
      </c>
    </row>
    <row r="264" spans="20:29" x14ac:dyDescent="0.3">
      <c r="T264" s="29">
        <f t="shared" si="40"/>
        <v>0</v>
      </c>
      <c r="U264" s="29">
        <f t="shared" si="41"/>
        <v>0</v>
      </c>
      <c r="V264" s="29">
        <f t="shared" si="42"/>
        <v>0</v>
      </c>
      <c r="W264" s="29" t="str">
        <f t="shared" si="48"/>
        <v/>
      </c>
      <c r="X264" s="29" t="str">
        <f t="shared" si="43"/>
        <v/>
      </c>
      <c r="Y264" s="32" t="str">
        <f t="shared" si="44"/>
        <v/>
      </c>
      <c r="Z264" s="29" t="str">
        <f t="shared" si="45"/>
        <v/>
      </c>
      <c r="AA264" s="29" t="str">
        <f t="shared" si="49"/>
        <v/>
      </c>
      <c r="AB264" s="29" t="str">
        <f t="shared" si="46"/>
        <v/>
      </c>
      <c r="AC264" t="str">
        <f t="shared" si="47"/>
        <v/>
      </c>
    </row>
    <row r="265" spans="20:29" x14ac:dyDescent="0.3">
      <c r="T265" s="29">
        <f t="shared" si="40"/>
        <v>0</v>
      </c>
      <c r="U265" s="29">
        <f t="shared" si="41"/>
        <v>0</v>
      </c>
      <c r="V265" s="29">
        <f t="shared" si="42"/>
        <v>0</v>
      </c>
      <c r="W265" s="29" t="str">
        <f t="shared" si="48"/>
        <v/>
      </c>
      <c r="X265" s="29" t="str">
        <f t="shared" si="43"/>
        <v/>
      </c>
      <c r="Y265" s="32" t="str">
        <f t="shared" si="44"/>
        <v/>
      </c>
      <c r="Z265" s="29" t="str">
        <f t="shared" si="45"/>
        <v/>
      </c>
      <c r="AA265" s="29" t="str">
        <f t="shared" si="49"/>
        <v/>
      </c>
      <c r="AB265" s="29" t="str">
        <f t="shared" si="46"/>
        <v/>
      </c>
      <c r="AC265" t="str">
        <f t="shared" si="47"/>
        <v/>
      </c>
    </row>
    <row r="266" spans="20:29" x14ac:dyDescent="0.3">
      <c r="T266" s="29">
        <f t="shared" si="40"/>
        <v>0</v>
      </c>
      <c r="U266" s="29">
        <f t="shared" si="41"/>
        <v>0</v>
      </c>
      <c r="V266" s="29">
        <f t="shared" si="42"/>
        <v>0</v>
      </c>
      <c r="W266" s="29" t="str">
        <f t="shared" si="48"/>
        <v/>
      </c>
      <c r="X266" s="29" t="str">
        <f t="shared" si="43"/>
        <v/>
      </c>
      <c r="Y266" s="32" t="str">
        <f t="shared" si="44"/>
        <v/>
      </c>
      <c r="Z266" s="29" t="str">
        <f t="shared" si="45"/>
        <v/>
      </c>
      <c r="AA266" s="29" t="str">
        <f t="shared" si="49"/>
        <v/>
      </c>
      <c r="AB266" s="29" t="str">
        <f t="shared" si="46"/>
        <v/>
      </c>
      <c r="AC266" t="str">
        <f t="shared" si="47"/>
        <v/>
      </c>
    </row>
    <row r="267" spans="20:29" x14ac:dyDescent="0.3">
      <c r="T267" s="29">
        <f t="shared" si="40"/>
        <v>0</v>
      </c>
      <c r="U267" s="29">
        <f t="shared" si="41"/>
        <v>0</v>
      </c>
      <c r="V267" s="29">
        <f t="shared" si="42"/>
        <v>0</v>
      </c>
      <c r="W267" s="29" t="str">
        <f t="shared" si="48"/>
        <v/>
      </c>
      <c r="X267" s="29" t="str">
        <f t="shared" si="43"/>
        <v/>
      </c>
      <c r="Y267" s="32" t="str">
        <f t="shared" si="44"/>
        <v/>
      </c>
      <c r="Z267" s="29" t="str">
        <f t="shared" si="45"/>
        <v/>
      </c>
      <c r="AA267" s="29" t="str">
        <f t="shared" si="49"/>
        <v/>
      </c>
      <c r="AB267" s="29" t="str">
        <f t="shared" si="46"/>
        <v/>
      </c>
      <c r="AC267" t="str">
        <f t="shared" si="47"/>
        <v/>
      </c>
    </row>
    <row r="268" spans="20:29" x14ac:dyDescent="0.3">
      <c r="T268" s="29">
        <f t="shared" si="40"/>
        <v>0</v>
      </c>
      <c r="U268" s="29">
        <f t="shared" si="41"/>
        <v>0</v>
      </c>
      <c r="V268" s="29">
        <f t="shared" si="42"/>
        <v>0</v>
      </c>
      <c r="W268" s="29" t="str">
        <f t="shared" si="48"/>
        <v/>
      </c>
      <c r="X268" s="29" t="str">
        <f t="shared" si="43"/>
        <v/>
      </c>
      <c r="Y268" s="32" t="str">
        <f t="shared" si="44"/>
        <v/>
      </c>
      <c r="Z268" s="29" t="str">
        <f t="shared" si="45"/>
        <v/>
      </c>
      <c r="AA268" s="29" t="str">
        <f t="shared" si="49"/>
        <v/>
      </c>
      <c r="AB268" s="29" t="str">
        <f t="shared" si="46"/>
        <v/>
      </c>
      <c r="AC268" t="str">
        <f t="shared" si="47"/>
        <v/>
      </c>
    </row>
    <row r="269" spans="20:29" x14ac:dyDescent="0.3">
      <c r="T269" s="29">
        <f t="shared" si="40"/>
        <v>0</v>
      </c>
      <c r="U269" s="29">
        <f t="shared" si="41"/>
        <v>0</v>
      </c>
      <c r="V269" s="29">
        <f t="shared" si="42"/>
        <v>0</v>
      </c>
      <c r="W269" s="29" t="str">
        <f t="shared" si="48"/>
        <v/>
      </c>
      <c r="X269" s="29" t="str">
        <f t="shared" si="43"/>
        <v/>
      </c>
      <c r="Y269" s="32" t="str">
        <f t="shared" si="44"/>
        <v/>
      </c>
      <c r="Z269" s="29" t="str">
        <f t="shared" si="45"/>
        <v/>
      </c>
      <c r="AA269" s="29" t="str">
        <f t="shared" si="49"/>
        <v/>
      </c>
      <c r="AB269" s="29" t="str">
        <f t="shared" si="46"/>
        <v/>
      </c>
      <c r="AC269" t="str">
        <f t="shared" si="47"/>
        <v/>
      </c>
    </row>
    <row r="270" spans="20:29" x14ac:dyDescent="0.3">
      <c r="T270" s="29">
        <f t="shared" si="40"/>
        <v>0</v>
      </c>
      <c r="U270" s="29">
        <f t="shared" si="41"/>
        <v>0</v>
      </c>
      <c r="V270" s="29">
        <f t="shared" si="42"/>
        <v>0</v>
      </c>
      <c r="W270" s="29" t="str">
        <f t="shared" si="48"/>
        <v/>
      </c>
      <c r="X270" s="29" t="str">
        <f t="shared" si="43"/>
        <v/>
      </c>
      <c r="Y270" s="32" t="str">
        <f t="shared" si="44"/>
        <v/>
      </c>
      <c r="Z270" s="29" t="str">
        <f t="shared" si="45"/>
        <v/>
      </c>
      <c r="AA270" s="29" t="str">
        <f t="shared" si="49"/>
        <v/>
      </c>
      <c r="AB270" s="29" t="str">
        <f t="shared" si="46"/>
        <v/>
      </c>
      <c r="AC270" t="str">
        <f t="shared" si="47"/>
        <v/>
      </c>
    </row>
    <row r="271" spans="20:29" x14ac:dyDescent="0.3">
      <c r="T271" s="29">
        <f t="shared" si="40"/>
        <v>0</v>
      </c>
      <c r="U271" s="29">
        <f t="shared" si="41"/>
        <v>0</v>
      </c>
      <c r="V271" s="29">
        <f t="shared" si="42"/>
        <v>0</v>
      </c>
      <c r="W271" s="29" t="str">
        <f t="shared" si="48"/>
        <v/>
      </c>
      <c r="X271" s="29" t="str">
        <f t="shared" si="43"/>
        <v/>
      </c>
      <c r="Y271" s="32" t="str">
        <f t="shared" si="44"/>
        <v/>
      </c>
      <c r="Z271" s="29" t="str">
        <f t="shared" si="45"/>
        <v/>
      </c>
      <c r="AA271" s="29" t="str">
        <f t="shared" si="49"/>
        <v/>
      </c>
      <c r="AB271" s="29" t="str">
        <f t="shared" si="46"/>
        <v/>
      </c>
      <c r="AC271" t="str">
        <f t="shared" si="47"/>
        <v/>
      </c>
    </row>
    <row r="272" spans="20:29" x14ac:dyDescent="0.3">
      <c r="T272" s="29">
        <f t="shared" si="40"/>
        <v>0</v>
      </c>
      <c r="U272" s="29">
        <f t="shared" si="41"/>
        <v>0</v>
      </c>
      <c r="V272" s="29">
        <f t="shared" si="42"/>
        <v>0</v>
      </c>
      <c r="W272" s="29" t="str">
        <f t="shared" si="48"/>
        <v/>
      </c>
      <c r="X272" s="29" t="str">
        <f t="shared" si="43"/>
        <v/>
      </c>
      <c r="Y272" s="32" t="str">
        <f t="shared" si="44"/>
        <v/>
      </c>
      <c r="Z272" s="29" t="str">
        <f t="shared" si="45"/>
        <v/>
      </c>
      <c r="AA272" s="29" t="str">
        <f t="shared" si="49"/>
        <v/>
      </c>
      <c r="AB272" s="29" t="str">
        <f t="shared" si="46"/>
        <v/>
      </c>
      <c r="AC272" t="str">
        <f t="shared" si="47"/>
        <v/>
      </c>
    </row>
    <row r="273" spans="20:29" x14ac:dyDescent="0.3">
      <c r="T273" s="29">
        <f t="shared" si="40"/>
        <v>0</v>
      </c>
      <c r="U273" s="29">
        <f t="shared" si="41"/>
        <v>0</v>
      </c>
      <c r="V273" s="29">
        <f t="shared" si="42"/>
        <v>0</v>
      </c>
      <c r="W273" s="29" t="str">
        <f t="shared" si="48"/>
        <v/>
      </c>
      <c r="X273" s="29" t="str">
        <f t="shared" si="43"/>
        <v/>
      </c>
      <c r="Y273" s="32" t="str">
        <f t="shared" si="44"/>
        <v/>
      </c>
      <c r="Z273" s="29" t="str">
        <f t="shared" si="45"/>
        <v/>
      </c>
      <c r="AA273" s="29" t="str">
        <f t="shared" si="49"/>
        <v/>
      </c>
      <c r="AB273" s="29" t="str">
        <f t="shared" si="46"/>
        <v/>
      </c>
      <c r="AC273" t="str">
        <f t="shared" si="47"/>
        <v/>
      </c>
    </row>
    <row r="274" spans="20:29" x14ac:dyDescent="0.3">
      <c r="T274" s="29">
        <f t="shared" si="40"/>
        <v>0</v>
      </c>
      <c r="U274" s="29">
        <f t="shared" si="41"/>
        <v>0</v>
      </c>
      <c r="V274" s="29">
        <f t="shared" si="42"/>
        <v>0</v>
      </c>
      <c r="W274" s="29" t="str">
        <f t="shared" si="48"/>
        <v/>
      </c>
      <c r="X274" s="29" t="str">
        <f t="shared" si="43"/>
        <v/>
      </c>
      <c r="Y274" s="32" t="str">
        <f t="shared" si="44"/>
        <v/>
      </c>
      <c r="Z274" s="29" t="str">
        <f t="shared" si="45"/>
        <v/>
      </c>
      <c r="AA274" s="29" t="str">
        <f t="shared" si="49"/>
        <v/>
      </c>
      <c r="AB274" s="29" t="str">
        <f t="shared" si="46"/>
        <v/>
      </c>
      <c r="AC274" t="str">
        <f t="shared" si="47"/>
        <v/>
      </c>
    </row>
    <row r="275" spans="20:29" x14ac:dyDescent="0.3">
      <c r="T275" s="29">
        <f t="shared" si="40"/>
        <v>0</v>
      </c>
      <c r="U275" s="29">
        <f t="shared" si="41"/>
        <v>0</v>
      </c>
      <c r="V275" s="29">
        <f t="shared" si="42"/>
        <v>0</v>
      </c>
      <c r="W275" s="29" t="str">
        <f t="shared" si="48"/>
        <v/>
      </c>
      <c r="X275" s="29" t="str">
        <f t="shared" si="43"/>
        <v/>
      </c>
      <c r="Y275" s="32" t="str">
        <f t="shared" si="44"/>
        <v/>
      </c>
      <c r="Z275" s="29" t="str">
        <f t="shared" si="45"/>
        <v/>
      </c>
      <c r="AA275" s="29" t="str">
        <f t="shared" si="49"/>
        <v/>
      </c>
      <c r="AB275" s="29" t="str">
        <f t="shared" si="46"/>
        <v/>
      </c>
      <c r="AC275" t="str">
        <f t="shared" si="47"/>
        <v/>
      </c>
    </row>
    <row r="276" spans="20:29" x14ac:dyDescent="0.3">
      <c r="T276" s="29">
        <f t="shared" si="40"/>
        <v>0</v>
      </c>
      <c r="U276" s="29">
        <f t="shared" si="41"/>
        <v>0</v>
      </c>
      <c r="V276" s="29">
        <f t="shared" si="42"/>
        <v>0</v>
      </c>
      <c r="W276" s="29" t="str">
        <f t="shared" si="48"/>
        <v/>
      </c>
      <c r="X276" s="29" t="str">
        <f t="shared" si="43"/>
        <v/>
      </c>
      <c r="Y276" s="32" t="str">
        <f t="shared" si="44"/>
        <v/>
      </c>
      <c r="Z276" s="29" t="str">
        <f t="shared" si="45"/>
        <v/>
      </c>
      <c r="AA276" s="29" t="str">
        <f t="shared" si="49"/>
        <v/>
      </c>
      <c r="AB276" s="29" t="str">
        <f t="shared" si="46"/>
        <v/>
      </c>
      <c r="AC276" t="str">
        <f t="shared" si="47"/>
        <v/>
      </c>
    </row>
    <row r="277" spans="20:29" x14ac:dyDescent="0.3">
      <c r="T277" s="29">
        <f t="shared" si="40"/>
        <v>0</v>
      </c>
      <c r="U277" s="29">
        <f t="shared" si="41"/>
        <v>0</v>
      </c>
      <c r="V277" s="29">
        <f t="shared" si="42"/>
        <v>0</v>
      </c>
      <c r="W277" s="29" t="str">
        <f t="shared" si="48"/>
        <v/>
      </c>
      <c r="X277" s="29" t="str">
        <f t="shared" si="43"/>
        <v/>
      </c>
      <c r="Y277" s="32" t="str">
        <f t="shared" si="44"/>
        <v/>
      </c>
      <c r="Z277" s="29" t="str">
        <f t="shared" si="45"/>
        <v/>
      </c>
      <c r="AA277" s="29" t="str">
        <f t="shared" si="49"/>
        <v/>
      </c>
      <c r="AB277" s="29" t="str">
        <f t="shared" si="46"/>
        <v/>
      </c>
      <c r="AC277" t="str">
        <f t="shared" si="47"/>
        <v/>
      </c>
    </row>
    <row r="278" spans="20:29" x14ac:dyDescent="0.3">
      <c r="T278" s="29">
        <f t="shared" si="40"/>
        <v>0</v>
      </c>
      <c r="U278" s="29">
        <f t="shared" si="41"/>
        <v>0</v>
      </c>
      <c r="V278" s="29">
        <f t="shared" si="42"/>
        <v>0</v>
      </c>
      <c r="W278" s="29" t="str">
        <f t="shared" si="48"/>
        <v/>
      </c>
      <c r="X278" s="29" t="str">
        <f t="shared" si="43"/>
        <v/>
      </c>
      <c r="Y278" s="32" t="str">
        <f t="shared" si="44"/>
        <v/>
      </c>
      <c r="Z278" s="29" t="str">
        <f t="shared" si="45"/>
        <v/>
      </c>
      <c r="AA278" s="29" t="str">
        <f t="shared" si="49"/>
        <v/>
      </c>
      <c r="AB278" s="29" t="str">
        <f t="shared" si="46"/>
        <v/>
      </c>
      <c r="AC278" t="str">
        <f t="shared" si="47"/>
        <v/>
      </c>
    </row>
    <row r="279" spans="20:29" x14ac:dyDescent="0.3">
      <c r="T279" s="29">
        <f t="shared" si="40"/>
        <v>0</v>
      </c>
      <c r="U279" s="29">
        <f t="shared" si="41"/>
        <v>0</v>
      </c>
      <c r="V279" s="29">
        <f t="shared" si="42"/>
        <v>0</v>
      </c>
      <c r="W279" s="29" t="str">
        <f t="shared" si="48"/>
        <v/>
      </c>
      <c r="X279" s="29" t="str">
        <f t="shared" si="43"/>
        <v/>
      </c>
      <c r="Y279" s="32" t="str">
        <f t="shared" si="44"/>
        <v/>
      </c>
      <c r="Z279" s="29" t="str">
        <f t="shared" si="45"/>
        <v/>
      </c>
      <c r="AA279" s="29" t="str">
        <f t="shared" si="49"/>
        <v/>
      </c>
      <c r="AB279" s="29" t="str">
        <f t="shared" si="46"/>
        <v/>
      </c>
      <c r="AC279" t="str">
        <f t="shared" si="47"/>
        <v/>
      </c>
    </row>
    <row r="280" spans="20:29" x14ac:dyDescent="0.3">
      <c r="T280" s="29">
        <f t="shared" si="40"/>
        <v>0</v>
      </c>
      <c r="U280" s="29">
        <f t="shared" si="41"/>
        <v>0</v>
      </c>
      <c r="V280" s="29">
        <f t="shared" si="42"/>
        <v>0</v>
      </c>
      <c r="W280" s="29" t="str">
        <f t="shared" si="48"/>
        <v/>
      </c>
      <c r="X280" s="29" t="str">
        <f t="shared" si="43"/>
        <v/>
      </c>
      <c r="Y280" s="32" t="str">
        <f t="shared" si="44"/>
        <v/>
      </c>
      <c r="Z280" s="29" t="str">
        <f t="shared" si="45"/>
        <v/>
      </c>
      <c r="AA280" s="29" t="str">
        <f t="shared" si="49"/>
        <v/>
      </c>
      <c r="AB280" s="29" t="str">
        <f t="shared" si="46"/>
        <v/>
      </c>
      <c r="AC280" t="str">
        <f t="shared" si="47"/>
        <v/>
      </c>
    </row>
    <row r="281" spans="20:29" x14ac:dyDescent="0.3">
      <c r="T281" s="29">
        <f t="shared" si="40"/>
        <v>0</v>
      </c>
      <c r="U281" s="29">
        <f t="shared" si="41"/>
        <v>0</v>
      </c>
      <c r="V281" s="29">
        <f t="shared" si="42"/>
        <v>0</v>
      </c>
      <c r="W281" s="29" t="str">
        <f t="shared" si="48"/>
        <v/>
      </c>
      <c r="X281" s="29" t="str">
        <f t="shared" si="43"/>
        <v/>
      </c>
      <c r="Y281" s="32" t="str">
        <f t="shared" si="44"/>
        <v/>
      </c>
      <c r="Z281" s="29" t="str">
        <f t="shared" si="45"/>
        <v/>
      </c>
      <c r="AA281" s="29" t="str">
        <f t="shared" si="49"/>
        <v/>
      </c>
      <c r="AB281" s="29" t="str">
        <f t="shared" si="46"/>
        <v/>
      </c>
      <c r="AC281" t="str">
        <f t="shared" si="47"/>
        <v/>
      </c>
    </row>
    <row r="282" spans="20:29" x14ac:dyDescent="0.3">
      <c r="T282" s="29">
        <f t="shared" si="40"/>
        <v>0</v>
      </c>
      <c r="U282" s="29">
        <f t="shared" si="41"/>
        <v>0</v>
      </c>
      <c r="V282" s="29">
        <f t="shared" si="42"/>
        <v>0</v>
      </c>
      <c r="W282" s="29" t="str">
        <f t="shared" si="48"/>
        <v/>
      </c>
      <c r="X282" s="29" t="str">
        <f t="shared" si="43"/>
        <v/>
      </c>
      <c r="Y282" s="32" t="str">
        <f t="shared" si="44"/>
        <v/>
      </c>
      <c r="Z282" s="29" t="str">
        <f t="shared" si="45"/>
        <v/>
      </c>
      <c r="AA282" s="29" t="str">
        <f t="shared" si="49"/>
        <v/>
      </c>
      <c r="AB282" s="29" t="str">
        <f t="shared" si="46"/>
        <v/>
      </c>
      <c r="AC282" t="str">
        <f t="shared" si="47"/>
        <v/>
      </c>
    </row>
    <row r="283" spans="20:29" x14ac:dyDescent="0.3">
      <c r="T283" s="29">
        <f t="shared" si="40"/>
        <v>0</v>
      </c>
      <c r="U283" s="29">
        <f t="shared" si="41"/>
        <v>0</v>
      </c>
      <c r="V283" s="29">
        <f t="shared" si="42"/>
        <v>0</v>
      </c>
      <c r="W283" s="29" t="str">
        <f t="shared" si="48"/>
        <v/>
      </c>
      <c r="X283" s="29" t="str">
        <f t="shared" si="43"/>
        <v/>
      </c>
      <c r="Y283" s="32" t="str">
        <f t="shared" si="44"/>
        <v/>
      </c>
      <c r="Z283" s="29" t="str">
        <f t="shared" si="45"/>
        <v/>
      </c>
      <c r="AA283" s="29" t="str">
        <f t="shared" si="49"/>
        <v/>
      </c>
      <c r="AB283" s="29" t="str">
        <f t="shared" si="46"/>
        <v/>
      </c>
      <c r="AC283" t="str">
        <f t="shared" si="47"/>
        <v/>
      </c>
    </row>
    <row r="284" spans="20:29" x14ac:dyDescent="0.3">
      <c r="T284" s="29">
        <f t="shared" si="40"/>
        <v>0</v>
      </c>
      <c r="U284" s="29">
        <f t="shared" si="41"/>
        <v>0</v>
      </c>
      <c r="V284" s="29">
        <f t="shared" si="42"/>
        <v>0</v>
      </c>
      <c r="W284" s="29" t="str">
        <f t="shared" si="48"/>
        <v/>
      </c>
      <c r="X284" s="29" t="str">
        <f t="shared" si="43"/>
        <v/>
      </c>
      <c r="Y284" s="32" t="str">
        <f t="shared" si="44"/>
        <v/>
      </c>
      <c r="Z284" s="29" t="str">
        <f t="shared" si="45"/>
        <v/>
      </c>
      <c r="AA284" s="29" t="str">
        <f t="shared" si="49"/>
        <v/>
      </c>
      <c r="AB284" s="29" t="str">
        <f t="shared" si="46"/>
        <v/>
      </c>
      <c r="AC284" t="str">
        <f t="shared" si="47"/>
        <v/>
      </c>
    </row>
    <row r="285" spans="20:29" x14ac:dyDescent="0.3">
      <c r="T285" s="29">
        <f t="shared" si="40"/>
        <v>0</v>
      </c>
      <c r="U285" s="29">
        <f t="shared" si="41"/>
        <v>0</v>
      </c>
      <c r="V285" s="29">
        <f t="shared" si="42"/>
        <v>0</v>
      </c>
      <c r="W285" s="29" t="str">
        <f t="shared" si="48"/>
        <v/>
      </c>
      <c r="X285" s="29" t="str">
        <f t="shared" si="43"/>
        <v/>
      </c>
      <c r="Y285" s="32" t="str">
        <f t="shared" si="44"/>
        <v/>
      </c>
      <c r="Z285" s="29" t="str">
        <f t="shared" si="45"/>
        <v/>
      </c>
      <c r="AA285" s="29" t="str">
        <f t="shared" si="49"/>
        <v/>
      </c>
      <c r="AB285" s="29" t="str">
        <f t="shared" si="46"/>
        <v/>
      </c>
      <c r="AC285" t="str">
        <f t="shared" si="47"/>
        <v/>
      </c>
    </row>
    <row r="286" spans="20:29" x14ac:dyDescent="0.3">
      <c r="T286" s="29">
        <f t="shared" si="40"/>
        <v>0</v>
      </c>
      <c r="U286" s="29">
        <f t="shared" si="41"/>
        <v>0</v>
      </c>
      <c r="V286" s="29">
        <f t="shared" si="42"/>
        <v>0</v>
      </c>
      <c r="W286" s="29" t="str">
        <f t="shared" si="48"/>
        <v/>
      </c>
      <c r="X286" s="29" t="str">
        <f t="shared" si="43"/>
        <v/>
      </c>
      <c r="Y286" s="32" t="str">
        <f t="shared" si="44"/>
        <v/>
      </c>
      <c r="Z286" s="29" t="str">
        <f t="shared" si="45"/>
        <v/>
      </c>
      <c r="AA286" s="29" t="str">
        <f t="shared" si="49"/>
        <v/>
      </c>
      <c r="AB286" s="29" t="str">
        <f t="shared" si="46"/>
        <v/>
      </c>
      <c r="AC286" t="str">
        <f t="shared" si="47"/>
        <v/>
      </c>
    </row>
    <row r="287" spans="20:29" x14ac:dyDescent="0.3">
      <c r="T287" s="29">
        <f t="shared" si="40"/>
        <v>0</v>
      </c>
      <c r="U287" s="29">
        <f t="shared" si="41"/>
        <v>0</v>
      </c>
      <c r="V287" s="29">
        <f t="shared" si="42"/>
        <v>0</v>
      </c>
      <c r="W287" s="29" t="str">
        <f t="shared" si="48"/>
        <v/>
      </c>
      <c r="X287" s="29" t="str">
        <f t="shared" si="43"/>
        <v/>
      </c>
      <c r="Y287" s="32" t="str">
        <f t="shared" si="44"/>
        <v/>
      </c>
      <c r="Z287" s="29" t="str">
        <f t="shared" si="45"/>
        <v/>
      </c>
      <c r="AA287" s="29" t="str">
        <f t="shared" si="49"/>
        <v/>
      </c>
      <c r="AB287" s="29" t="str">
        <f t="shared" si="46"/>
        <v/>
      </c>
      <c r="AC287" t="str">
        <f t="shared" si="47"/>
        <v/>
      </c>
    </row>
    <row r="288" spans="20:29" x14ac:dyDescent="0.3">
      <c r="T288" s="29">
        <f t="shared" si="40"/>
        <v>0</v>
      </c>
      <c r="U288" s="29">
        <f t="shared" si="41"/>
        <v>0</v>
      </c>
      <c r="V288" s="29">
        <f t="shared" si="42"/>
        <v>0</v>
      </c>
      <c r="W288" s="29" t="str">
        <f t="shared" si="48"/>
        <v/>
      </c>
      <c r="X288" s="29" t="str">
        <f t="shared" si="43"/>
        <v/>
      </c>
      <c r="Y288" s="32" t="str">
        <f t="shared" si="44"/>
        <v/>
      </c>
      <c r="Z288" s="29" t="str">
        <f t="shared" si="45"/>
        <v/>
      </c>
      <c r="AA288" s="29" t="str">
        <f t="shared" si="49"/>
        <v/>
      </c>
      <c r="AB288" s="29" t="str">
        <f t="shared" si="46"/>
        <v/>
      </c>
      <c r="AC288" t="str">
        <f t="shared" si="47"/>
        <v/>
      </c>
    </row>
    <row r="289" spans="20:29" x14ac:dyDescent="0.3">
      <c r="T289" s="29">
        <f t="shared" si="40"/>
        <v>0</v>
      </c>
      <c r="U289" s="29">
        <f t="shared" si="41"/>
        <v>0</v>
      </c>
      <c r="V289" s="29">
        <f t="shared" si="42"/>
        <v>0</v>
      </c>
      <c r="W289" s="29" t="str">
        <f t="shared" si="48"/>
        <v/>
      </c>
      <c r="X289" s="29" t="str">
        <f t="shared" si="43"/>
        <v/>
      </c>
      <c r="Y289" s="32" t="str">
        <f t="shared" si="44"/>
        <v/>
      </c>
      <c r="Z289" s="29" t="str">
        <f t="shared" si="45"/>
        <v/>
      </c>
      <c r="AA289" s="29" t="str">
        <f t="shared" si="49"/>
        <v/>
      </c>
      <c r="AB289" s="29" t="str">
        <f t="shared" si="46"/>
        <v/>
      </c>
      <c r="AC289" t="str">
        <f t="shared" si="47"/>
        <v/>
      </c>
    </row>
    <row r="290" spans="20:29" x14ac:dyDescent="0.3">
      <c r="T290" s="29">
        <f t="shared" si="40"/>
        <v>0</v>
      </c>
      <c r="U290" s="29">
        <f t="shared" si="41"/>
        <v>0</v>
      </c>
      <c r="V290" s="29">
        <f t="shared" si="42"/>
        <v>0</v>
      </c>
      <c r="W290" s="29" t="str">
        <f t="shared" si="48"/>
        <v/>
      </c>
      <c r="X290" s="29" t="str">
        <f t="shared" si="43"/>
        <v/>
      </c>
      <c r="Y290" s="32" t="str">
        <f t="shared" si="44"/>
        <v/>
      </c>
      <c r="Z290" s="29" t="str">
        <f t="shared" si="45"/>
        <v/>
      </c>
      <c r="AA290" s="29" t="str">
        <f t="shared" si="49"/>
        <v/>
      </c>
      <c r="AB290" s="29" t="str">
        <f t="shared" si="46"/>
        <v/>
      </c>
      <c r="AC290" t="str">
        <f t="shared" si="47"/>
        <v/>
      </c>
    </row>
    <row r="291" spans="20:29" x14ac:dyDescent="0.3">
      <c r="T291" s="29">
        <f t="shared" si="40"/>
        <v>0</v>
      </c>
      <c r="U291" s="29">
        <f t="shared" si="41"/>
        <v>0</v>
      </c>
      <c r="V291" s="29">
        <f t="shared" si="42"/>
        <v>0</v>
      </c>
      <c r="W291" s="29" t="str">
        <f t="shared" si="48"/>
        <v/>
      </c>
      <c r="X291" s="29" t="str">
        <f t="shared" si="43"/>
        <v/>
      </c>
      <c r="Y291" s="32" t="str">
        <f t="shared" si="44"/>
        <v/>
      </c>
      <c r="Z291" s="29" t="str">
        <f t="shared" si="45"/>
        <v/>
      </c>
      <c r="AA291" s="29" t="str">
        <f t="shared" si="49"/>
        <v/>
      </c>
      <c r="AB291" s="29" t="str">
        <f t="shared" si="46"/>
        <v/>
      </c>
      <c r="AC291" t="str">
        <f t="shared" si="47"/>
        <v/>
      </c>
    </row>
    <row r="292" spans="20:29" x14ac:dyDescent="0.3">
      <c r="T292" s="29">
        <f t="shared" si="40"/>
        <v>0</v>
      </c>
      <c r="U292" s="29">
        <f t="shared" si="41"/>
        <v>0</v>
      </c>
      <c r="V292" s="29">
        <f t="shared" si="42"/>
        <v>0</v>
      </c>
      <c r="W292" s="29" t="str">
        <f t="shared" si="48"/>
        <v/>
      </c>
      <c r="X292" s="29" t="str">
        <f t="shared" si="43"/>
        <v/>
      </c>
      <c r="Y292" s="32" t="str">
        <f t="shared" si="44"/>
        <v/>
      </c>
      <c r="Z292" s="29" t="str">
        <f t="shared" si="45"/>
        <v/>
      </c>
      <c r="AA292" s="29" t="str">
        <f t="shared" si="49"/>
        <v/>
      </c>
      <c r="AB292" s="29" t="str">
        <f t="shared" si="46"/>
        <v/>
      </c>
      <c r="AC292" t="str">
        <f t="shared" si="47"/>
        <v/>
      </c>
    </row>
    <row r="293" spans="20:29" x14ac:dyDescent="0.3">
      <c r="T293" s="29">
        <f t="shared" si="40"/>
        <v>0</v>
      </c>
      <c r="U293" s="29">
        <f t="shared" si="41"/>
        <v>0</v>
      </c>
      <c r="V293" s="29">
        <f t="shared" si="42"/>
        <v>0</v>
      </c>
      <c r="W293" s="29" t="str">
        <f t="shared" si="48"/>
        <v/>
      </c>
      <c r="X293" s="29" t="str">
        <f t="shared" si="43"/>
        <v/>
      </c>
      <c r="Y293" s="32" t="str">
        <f t="shared" si="44"/>
        <v/>
      </c>
      <c r="Z293" s="29" t="str">
        <f t="shared" si="45"/>
        <v/>
      </c>
      <c r="AA293" s="29" t="str">
        <f t="shared" si="49"/>
        <v/>
      </c>
      <c r="AB293" s="29" t="str">
        <f t="shared" si="46"/>
        <v/>
      </c>
      <c r="AC293" t="str">
        <f t="shared" si="47"/>
        <v/>
      </c>
    </row>
    <row r="294" spans="20:29" x14ac:dyDescent="0.3">
      <c r="T294" s="29">
        <f t="shared" si="40"/>
        <v>0</v>
      </c>
      <c r="U294" s="29">
        <f t="shared" si="41"/>
        <v>0</v>
      </c>
      <c r="V294" s="29">
        <f t="shared" si="42"/>
        <v>0</v>
      </c>
      <c r="W294" s="29" t="str">
        <f t="shared" si="48"/>
        <v/>
      </c>
      <c r="X294" s="29" t="str">
        <f t="shared" si="43"/>
        <v/>
      </c>
      <c r="Y294" s="32" t="str">
        <f t="shared" si="44"/>
        <v/>
      </c>
      <c r="Z294" s="29" t="str">
        <f t="shared" si="45"/>
        <v/>
      </c>
      <c r="AA294" s="29" t="str">
        <f t="shared" si="49"/>
        <v/>
      </c>
      <c r="AB294" s="29" t="str">
        <f t="shared" si="46"/>
        <v/>
      </c>
      <c r="AC294" t="str">
        <f t="shared" si="47"/>
        <v/>
      </c>
    </row>
    <row r="295" spans="20:29" x14ac:dyDescent="0.3">
      <c r="T295" s="29">
        <f t="shared" si="40"/>
        <v>0</v>
      </c>
      <c r="U295" s="29">
        <f t="shared" si="41"/>
        <v>0</v>
      </c>
      <c r="V295" s="29">
        <f t="shared" si="42"/>
        <v>0</v>
      </c>
      <c r="W295" s="29" t="str">
        <f t="shared" si="48"/>
        <v/>
      </c>
      <c r="X295" s="29" t="str">
        <f t="shared" si="43"/>
        <v/>
      </c>
      <c r="Y295" s="32" t="str">
        <f t="shared" si="44"/>
        <v/>
      </c>
      <c r="Z295" s="29" t="str">
        <f t="shared" si="45"/>
        <v/>
      </c>
      <c r="AA295" s="29" t="str">
        <f t="shared" si="49"/>
        <v/>
      </c>
      <c r="AB295" s="29" t="str">
        <f t="shared" si="46"/>
        <v/>
      </c>
      <c r="AC295" t="str">
        <f t="shared" si="47"/>
        <v/>
      </c>
    </row>
    <row r="296" spans="20:29" x14ac:dyDescent="0.3">
      <c r="T296" s="29">
        <f t="shared" si="40"/>
        <v>0</v>
      </c>
      <c r="U296" s="29">
        <f t="shared" si="41"/>
        <v>0</v>
      </c>
      <c r="V296" s="29">
        <f t="shared" si="42"/>
        <v>0</v>
      </c>
      <c r="W296" s="29" t="str">
        <f t="shared" si="48"/>
        <v/>
      </c>
      <c r="X296" s="29" t="str">
        <f t="shared" si="43"/>
        <v/>
      </c>
      <c r="Y296" s="32" t="str">
        <f t="shared" si="44"/>
        <v/>
      </c>
      <c r="Z296" s="29" t="str">
        <f t="shared" si="45"/>
        <v/>
      </c>
      <c r="AA296" s="29" t="str">
        <f t="shared" si="49"/>
        <v/>
      </c>
      <c r="AB296" s="29" t="str">
        <f t="shared" si="46"/>
        <v/>
      </c>
      <c r="AC296" t="str">
        <f t="shared" si="47"/>
        <v/>
      </c>
    </row>
    <row r="297" spans="20:29" x14ac:dyDescent="0.3">
      <c r="T297" s="29">
        <f t="shared" si="40"/>
        <v>0</v>
      </c>
      <c r="U297" s="29">
        <f t="shared" si="41"/>
        <v>0</v>
      </c>
      <c r="V297" s="29">
        <f t="shared" si="42"/>
        <v>0</v>
      </c>
      <c r="W297" s="29" t="str">
        <f t="shared" si="48"/>
        <v/>
      </c>
      <c r="X297" s="29" t="str">
        <f t="shared" si="43"/>
        <v/>
      </c>
      <c r="Y297" s="32" t="str">
        <f t="shared" si="44"/>
        <v/>
      </c>
      <c r="Z297" s="29" t="str">
        <f t="shared" si="45"/>
        <v/>
      </c>
      <c r="AA297" s="29" t="str">
        <f t="shared" si="49"/>
        <v/>
      </c>
      <c r="AB297" s="29" t="str">
        <f t="shared" si="46"/>
        <v/>
      </c>
      <c r="AC297" t="str">
        <f t="shared" si="47"/>
        <v/>
      </c>
    </row>
    <row r="298" spans="20:29" x14ac:dyDescent="0.3">
      <c r="T298" s="29">
        <f t="shared" si="40"/>
        <v>0</v>
      </c>
      <c r="U298" s="29">
        <f t="shared" si="41"/>
        <v>0</v>
      </c>
      <c r="V298" s="29">
        <f t="shared" si="42"/>
        <v>0</v>
      </c>
      <c r="W298" s="29" t="str">
        <f t="shared" si="48"/>
        <v/>
      </c>
      <c r="X298" s="29" t="str">
        <f t="shared" si="43"/>
        <v/>
      </c>
      <c r="Y298" s="32" t="str">
        <f t="shared" si="44"/>
        <v/>
      </c>
      <c r="Z298" s="29" t="str">
        <f t="shared" si="45"/>
        <v/>
      </c>
      <c r="AA298" s="29" t="str">
        <f t="shared" si="49"/>
        <v/>
      </c>
      <c r="AB298" s="29" t="str">
        <f t="shared" si="46"/>
        <v/>
      </c>
      <c r="AC298" t="str">
        <f t="shared" si="47"/>
        <v/>
      </c>
    </row>
    <row r="299" spans="20:29" x14ac:dyDescent="0.3">
      <c r="T299" s="29">
        <f t="shared" si="40"/>
        <v>0</v>
      </c>
      <c r="U299" s="29">
        <f t="shared" si="41"/>
        <v>0</v>
      </c>
      <c r="V299" s="29">
        <f t="shared" si="42"/>
        <v>0</v>
      </c>
      <c r="W299" s="29" t="str">
        <f t="shared" si="48"/>
        <v/>
      </c>
      <c r="X299" s="29" t="str">
        <f t="shared" si="43"/>
        <v/>
      </c>
      <c r="Y299" s="32" t="str">
        <f t="shared" si="44"/>
        <v/>
      </c>
      <c r="Z299" s="29" t="str">
        <f t="shared" si="45"/>
        <v/>
      </c>
      <c r="AA299" s="29" t="str">
        <f t="shared" si="49"/>
        <v/>
      </c>
      <c r="AB299" s="29" t="str">
        <f t="shared" si="46"/>
        <v/>
      </c>
      <c r="AC299" t="str">
        <f t="shared" si="47"/>
        <v/>
      </c>
    </row>
    <row r="300" spans="20:29" x14ac:dyDescent="0.3">
      <c r="T300" s="29">
        <f t="shared" si="40"/>
        <v>0</v>
      </c>
      <c r="U300" s="29">
        <f t="shared" si="41"/>
        <v>0</v>
      </c>
      <c r="V300" s="29">
        <f t="shared" si="42"/>
        <v>0</v>
      </c>
      <c r="W300" s="29" t="str">
        <f t="shared" si="48"/>
        <v/>
      </c>
      <c r="X300" s="29" t="str">
        <f t="shared" si="43"/>
        <v/>
      </c>
      <c r="Y300" s="32" t="str">
        <f t="shared" si="44"/>
        <v/>
      </c>
      <c r="Z300" s="29" t="str">
        <f t="shared" si="45"/>
        <v/>
      </c>
      <c r="AA300" s="29" t="str">
        <f t="shared" si="49"/>
        <v/>
      </c>
      <c r="AB300" s="29" t="str">
        <f t="shared" si="46"/>
        <v/>
      </c>
      <c r="AC300" t="str">
        <f t="shared" si="47"/>
        <v/>
      </c>
    </row>
    <row r="301" spans="20:29" x14ac:dyDescent="0.3">
      <c r="T301" s="29">
        <f t="shared" si="40"/>
        <v>0</v>
      </c>
      <c r="U301" s="29">
        <f t="shared" si="41"/>
        <v>0</v>
      </c>
      <c r="V301" s="29">
        <f t="shared" si="42"/>
        <v>0</v>
      </c>
      <c r="W301" s="29" t="str">
        <f t="shared" si="48"/>
        <v/>
      </c>
      <c r="X301" s="29" t="str">
        <f t="shared" si="43"/>
        <v/>
      </c>
      <c r="Y301" s="32" t="str">
        <f t="shared" si="44"/>
        <v/>
      </c>
      <c r="Z301" s="29" t="str">
        <f t="shared" si="45"/>
        <v/>
      </c>
      <c r="AA301" s="29" t="str">
        <f t="shared" si="49"/>
        <v/>
      </c>
      <c r="AB301" s="29" t="str">
        <f t="shared" si="46"/>
        <v/>
      </c>
      <c r="AC301" t="str">
        <f t="shared" si="47"/>
        <v/>
      </c>
    </row>
    <row r="302" spans="20:29" x14ac:dyDescent="0.3">
      <c r="T302" s="29">
        <f t="shared" si="40"/>
        <v>0</v>
      </c>
      <c r="U302" s="29">
        <f t="shared" si="41"/>
        <v>0</v>
      </c>
      <c r="V302" s="29">
        <f t="shared" si="42"/>
        <v>0</v>
      </c>
      <c r="W302" s="29" t="str">
        <f t="shared" si="48"/>
        <v/>
      </c>
      <c r="X302" s="29" t="str">
        <f t="shared" si="43"/>
        <v/>
      </c>
      <c r="Y302" s="32" t="str">
        <f t="shared" si="44"/>
        <v/>
      </c>
      <c r="Z302" s="29" t="str">
        <f t="shared" si="45"/>
        <v/>
      </c>
      <c r="AA302" s="29" t="str">
        <f t="shared" si="49"/>
        <v/>
      </c>
      <c r="AB302" s="29" t="str">
        <f t="shared" si="46"/>
        <v/>
      </c>
      <c r="AC302" t="str">
        <f t="shared" si="47"/>
        <v/>
      </c>
    </row>
    <row r="303" spans="20:29" x14ac:dyDescent="0.3">
      <c r="T303" s="29">
        <f t="shared" si="40"/>
        <v>0</v>
      </c>
      <c r="U303" s="29">
        <f t="shared" si="41"/>
        <v>0</v>
      </c>
      <c r="V303" s="29">
        <f t="shared" si="42"/>
        <v>0</v>
      </c>
      <c r="W303" s="29" t="str">
        <f t="shared" si="48"/>
        <v/>
      </c>
      <c r="X303" s="29" t="str">
        <f t="shared" si="43"/>
        <v/>
      </c>
      <c r="Y303" s="32" t="str">
        <f t="shared" si="44"/>
        <v/>
      </c>
      <c r="Z303" s="29" t="str">
        <f t="shared" si="45"/>
        <v/>
      </c>
      <c r="AA303" s="29" t="str">
        <f t="shared" si="49"/>
        <v/>
      </c>
      <c r="AB303" s="29" t="str">
        <f t="shared" si="46"/>
        <v/>
      </c>
      <c r="AC303" t="str">
        <f t="shared" si="47"/>
        <v/>
      </c>
    </row>
    <row r="304" spans="20:29" x14ac:dyDescent="0.3">
      <c r="T304" s="29">
        <f t="shared" si="40"/>
        <v>0</v>
      </c>
      <c r="U304" s="29">
        <f t="shared" si="41"/>
        <v>0</v>
      </c>
      <c r="V304" s="29">
        <f t="shared" si="42"/>
        <v>0</v>
      </c>
      <c r="W304" s="29" t="str">
        <f t="shared" si="48"/>
        <v/>
      </c>
      <c r="X304" s="29" t="str">
        <f t="shared" si="43"/>
        <v/>
      </c>
      <c r="Y304" s="32" t="str">
        <f t="shared" si="44"/>
        <v/>
      </c>
      <c r="Z304" s="29" t="str">
        <f t="shared" si="45"/>
        <v/>
      </c>
      <c r="AA304" s="29" t="str">
        <f t="shared" si="49"/>
        <v/>
      </c>
      <c r="AB304" s="29" t="str">
        <f t="shared" si="46"/>
        <v/>
      </c>
      <c r="AC304" t="str">
        <f t="shared" si="47"/>
        <v/>
      </c>
    </row>
    <row r="305" spans="20:29" x14ac:dyDescent="0.3">
      <c r="T305" s="29">
        <f t="shared" si="40"/>
        <v>0</v>
      </c>
      <c r="U305" s="29">
        <f t="shared" si="41"/>
        <v>0</v>
      </c>
      <c r="V305" s="29">
        <f t="shared" si="42"/>
        <v>0</v>
      </c>
      <c r="W305" s="29" t="str">
        <f t="shared" si="48"/>
        <v/>
      </c>
      <c r="X305" s="29" t="str">
        <f t="shared" si="43"/>
        <v/>
      </c>
      <c r="Y305" s="32" t="str">
        <f t="shared" si="44"/>
        <v/>
      </c>
      <c r="Z305" s="29" t="str">
        <f t="shared" si="45"/>
        <v/>
      </c>
      <c r="AA305" s="29" t="str">
        <f t="shared" si="49"/>
        <v/>
      </c>
      <c r="AB305" s="29" t="str">
        <f t="shared" si="46"/>
        <v/>
      </c>
      <c r="AC305" t="str">
        <f t="shared" si="47"/>
        <v/>
      </c>
    </row>
    <row r="306" spans="20:29" x14ac:dyDescent="0.3">
      <c r="T306" s="29">
        <f t="shared" si="40"/>
        <v>0</v>
      </c>
      <c r="U306" s="29">
        <f t="shared" si="41"/>
        <v>0</v>
      </c>
      <c r="V306" s="29">
        <f t="shared" si="42"/>
        <v>0</v>
      </c>
      <c r="W306" s="29" t="str">
        <f t="shared" si="48"/>
        <v/>
      </c>
      <c r="X306" s="29" t="str">
        <f t="shared" si="43"/>
        <v/>
      </c>
      <c r="Y306" s="32" t="str">
        <f t="shared" si="44"/>
        <v/>
      </c>
      <c r="Z306" s="29" t="str">
        <f t="shared" si="45"/>
        <v/>
      </c>
      <c r="AA306" s="29" t="str">
        <f t="shared" si="49"/>
        <v/>
      </c>
      <c r="AB306" s="29" t="str">
        <f t="shared" si="46"/>
        <v/>
      </c>
      <c r="AC306" t="str">
        <f t="shared" si="47"/>
        <v/>
      </c>
    </row>
    <row r="307" spans="20:29" x14ac:dyDescent="0.3">
      <c r="T307" s="29">
        <f t="shared" si="40"/>
        <v>0</v>
      </c>
      <c r="U307" s="29">
        <f t="shared" si="41"/>
        <v>0</v>
      </c>
      <c r="V307" s="29">
        <f t="shared" si="42"/>
        <v>0</v>
      </c>
      <c r="W307" s="29" t="str">
        <f t="shared" si="48"/>
        <v/>
      </c>
      <c r="X307" s="29" t="str">
        <f t="shared" si="43"/>
        <v/>
      </c>
      <c r="Y307" s="32" t="str">
        <f t="shared" si="44"/>
        <v/>
      </c>
      <c r="Z307" s="29" t="str">
        <f t="shared" si="45"/>
        <v/>
      </c>
      <c r="AA307" s="29" t="str">
        <f t="shared" si="49"/>
        <v/>
      </c>
      <c r="AB307" s="29" t="str">
        <f t="shared" si="46"/>
        <v/>
      </c>
      <c r="AC307" t="str">
        <f t="shared" si="47"/>
        <v/>
      </c>
    </row>
    <row r="308" spans="20:29" x14ac:dyDescent="0.3">
      <c r="T308" s="29">
        <f t="shared" si="40"/>
        <v>0</v>
      </c>
      <c r="U308" s="29">
        <f t="shared" si="41"/>
        <v>0</v>
      </c>
      <c r="V308" s="29">
        <f t="shared" si="42"/>
        <v>0</v>
      </c>
      <c r="W308" s="29" t="str">
        <f t="shared" si="48"/>
        <v/>
      </c>
      <c r="X308" s="29" t="str">
        <f t="shared" si="43"/>
        <v/>
      </c>
      <c r="Y308" s="32" t="str">
        <f t="shared" si="44"/>
        <v/>
      </c>
      <c r="Z308" s="29" t="str">
        <f t="shared" si="45"/>
        <v/>
      </c>
      <c r="AA308" s="29" t="str">
        <f t="shared" si="49"/>
        <v/>
      </c>
      <c r="AB308" s="29" t="str">
        <f t="shared" si="46"/>
        <v/>
      </c>
      <c r="AC308" t="str">
        <f t="shared" si="47"/>
        <v/>
      </c>
    </row>
    <row r="309" spans="20:29" x14ac:dyDescent="0.3">
      <c r="T309" s="29">
        <f t="shared" si="40"/>
        <v>0</v>
      </c>
      <c r="U309" s="29">
        <f t="shared" si="41"/>
        <v>0</v>
      </c>
      <c r="V309" s="29">
        <f t="shared" si="42"/>
        <v>0</v>
      </c>
      <c r="W309" s="29" t="str">
        <f t="shared" si="48"/>
        <v/>
      </c>
      <c r="X309" s="29" t="str">
        <f t="shared" si="43"/>
        <v/>
      </c>
      <c r="Y309" s="32" t="str">
        <f t="shared" si="44"/>
        <v/>
      </c>
      <c r="Z309" s="29" t="str">
        <f t="shared" si="45"/>
        <v/>
      </c>
      <c r="AA309" s="29" t="str">
        <f t="shared" si="49"/>
        <v/>
      </c>
      <c r="AB309" s="29" t="str">
        <f t="shared" si="46"/>
        <v/>
      </c>
      <c r="AC309" t="str">
        <f t="shared" si="47"/>
        <v/>
      </c>
    </row>
    <row r="310" spans="20:29" x14ac:dyDescent="0.3">
      <c r="T310" s="29">
        <f t="shared" si="40"/>
        <v>0</v>
      </c>
      <c r="U310" s="29">
        <f t="shared" si="41"/>
        <v>0</v>
      </c>
      <c r="V310" s="29">
        <f t="shared" si="42"/>
        <v>0</v>
      </c>
      <c r="W310" s="29" t="str">
        <f t="shared" si="48"/>
        <v/>
      </c>
      <c r="X310" s="29" t="str">
        <f t="shared" si="43"/>
        <v/>
      </c>
      <c r="Y310" s="32" t="str">
        <f t="shared" si="44"/>
        <v/>
      </c>
      <c r="Z310" s="29" t="str">
        <f t="shared" si="45"/>
        <v/>
      </c>
      <c r="AA310" s="29" t="str">
        <f t="shared" si="49"/>
        <v/>
      </c>
      <c r="AB310" s="29" t="str">
        <f t="shared" si="46"/>
        <v/>
      </c>
      <c r="AC310" t="str">
        <f t="shared" si="47"/>
        <v/>
      </c>
    </row>
    <row r="311" spans="20:29" x14ac:dyDescent="0.3">
      <c r="T311" s="29">
        <f t="shared" si="40"/>
        <v>0</v>
      </c>
      <c r="U311" s="29">
        <f t="shared" si="41"/>
        <v>0</v>
      </c>
      <c r="V311" s="29">
        <f t="shared" si="42"/>
        <v>0</v>
      </c>
      <c r="W311" s="29" t="str">
        <f t="shared" si="48"/>
        <v/>
      </c>
      <c r="X311" s="29" t="str">
        <f t="shared" si="43"/>
        <v/>
      </c>
      <c r="Y311" s="32" t="str">
        <f t="shared" si="44"/>
        <v/>
      </c>
      <c r="Z311" s="29" t="str">
        <f t="shared" si="45"/>
        <v/>
      </c>
      <c r="AA311" s="29" t="str">
        <f t="shared" si="49"/>
        <v/>
      </c>
      <c r="AB311" s="29" t="str">
        <f t="shared" si="46"/>
        <v/>
      </c>
      <c r="AC311" t="str">
        <f t="shared" si="47"/>
        <v/>
      </c>
    </row>
    <row r="312" spans="20:29" x14ac:dyDescent="0.3">
      <c r="T312" s="29">
        <f t="shared" si="40"/>
        <v>0</v>
      </c>
      <c r="U312" s="29">
        <f t="shared" si="41"/>
        <v>0</v>
      </c>
      <c r="V312" s="29">
        <f t="shared" si="42"/>
        <v>0</v>
      </c>
      <c r="W312" s="29" t="str">
        <f t="shared" si="48"/>
        <v/>
      </c>
      <c r="X312" s="29" t="str">
        <f t="shared" si="43"/>
        <v/>
      </c>
      <c r="Y312" s="32" t="str">
        <f t="shared" si="44"/>
        <v/>
      </c>
      <c r="Z312" s="29" t="str">
        <f t="shared" si="45"/>
        <v/>
      </c>
      <c r="AA312" s="29" t="str">
        <f t="shared" si="49"/>
        <v/>
      </c>
      <c r="AB312" s="29" t="str">
        <f t="shared" si="46"/>
        <v/>
      </c>
      <c r="AC312" t="str">
        <f t="shared" si="47"/>
        <v/>
      </c>
    </row>
    <row r="313" spans="20:29" x14ac:dyDescent="0.3">
      <c r="T313" s="29">
        <f t="shared" si="40"/>
        <v>0</v>
      </c>
      <c r="U313" s="29">
        <f t="shared" si="41"/>
        <v>0</v>
      </c>
      <c r="V313" s="29">
        <f t="shared" si="42"/>
        <v>0</v>
      </c>
      <c r="W313" s="29" t="str">
        <f t="shared" si="48"/>
        <v/>
      </c>
      <c r="X313" s="29" t="str">
        <f t="shared" si="43"/>
        <v/>
      </c>
      <c r="Y313" s="32" t="str">
        <f t="shared" si="44"/>
        <v/>
      </c>
      <c r="Z313" s="29" t="str">
        <f t="shared" si="45"/>
        <v/>
      </c>
      <c r="AA313" s="29" t="str">
        <f t="shared" si="49"/>
        <v/>
      </c>
      <c r="AB313" s="29" t="str">
        <f t="shared" si="46"/>
        <v/>
      </c>
      <c r="AC313" t="str">
        <f t="shared" si="47"/>
        <v/>
      </c>
    </row>
    <row r="314" spans="20:29" x14ac:dyDescent="0.3">
      <c r="T314" s="29">
        <f t="shared" si="40"/>
        <v>0</v>
      </c>
      <c r="U314" s="29">
        <f t="shared" si="41"/>
        <v>0</v>
      </c>
      <c r="V314" s="29">
        <f t="shared" si="42"/>
        <v>0</v>
      </c>
      <c r="W314" s="29" t="str">
        <f t="shared" si="48"/>
        <v/>
      </c>
      <c r="X314" s="29" t="str">
        <f t="shared" si="43"/>
        <v/>
      </c>
      <c r="Y314" s="32" t="str">
        <f t="shared" si="44"/>
        <v/>
      </c>
      <c r="Z314" s="29" t="str">
        <f t="shared" si="45"/>
        <v/>
      </c>
      <c r="AA314" s="29" t="str">
        <f t="shared" si="49"/>
        <v/>
      </c>
      <c r="AB314" s="29" t="str">
        <f t="shared" si="46"/>
        <v/>
      </c>
      <c r="AC314" t="str">
        <f t="shared" si="47"/>
        <v/>
      </c>
    </row>
    <row r="315" spans="20:29" x14ac:dyDescent="0.3">
      <c r="T315" s="29">
        <f t="shared" si="40"/>
        <v>0</v>
      </c>
      <c r="U315" s="29">
        <f t="shared" si="41"/>
        <v>0</v>
      </c>
      <c r="V315" s="29">
        <f t="shared" si="42"/>
        <v>0</v>
      </c>
      <c r="W315" s="29" t="str">
        <f t="shared" si="48"/>
        <v/>
      </c>
      <c r="X315" s="29" t="str">
        <f t="shared" si="43"/>
        <v/>
      </c>
      <c r="Y315" s="32" t="str">
        <f t="shared" si="44"/>
        <v/>
      </c>
      <c r="Z315" s="29" t="str">
        <f t="shared" si="45"/>
        <v/>
      </c>
      <c r="AA315" s="29" t="str">
        <f t="shared" si="49"/>
        <v/>
      </c>
      <c r="AB315" s="29" t="str">
        <f t="shared" si="46"/>
        <v/>
      </c>
      <c r="AC315" t="str">
        <f t="shared" si="47"/>
        <v/>
      </c>
    </row>
    <row r="316" spans="20:29" x14ac:dyDescent="0.3">
      <c r="T316" s="29">
        <f t="shared" si="40"/>
        <v>0</v>
      </c>
      <c r="U316" s="29">
        <f t="shared" si="41"/>
        <v>0</v>
      </c>
      <c r="V316" s="29">
        <f t="shared" si="42"/>
        <v>0</v>
      </c>
      <c r="W316" s="29" t="str">
        <f t="shared" si="48"/>
        <v/>
      </c>
      <c r="X316" s="29" t="str">
        <f t="shared" si="43"/>
        <v/>
      </c>
      <c r="Y316" s="32" t="str">
        <f t="shared" si="44"/>
        <v/>
      </c>
      <c r="Z316" s="29" t="str">
        <f t="shared" si="45"/>
        <v/>
      </c>
      <c r="AA316" s="29" t="str">
        <f t="shared" si="49"/>
        <v/>
      </c>
      <c r="AB316" s="29" t="str">
        <f t="shared" si="46"/>
        <v/>
      </c>
      <c r="AC316" t="str">
        <f t="shared" si="47"/>
        <v/>
      </c>
    </row>
    <row r="317" spans="20:29" x14ac:dyDescent="0.3">
      <c r="T317" s="29">
        <f t="shared" si="40"/>
        <v>0</v>
      </c>
      <c r="U317" s="29">
        <f t="shared" si="41"/>
        <v>0</v>
      </c>
      <c r="V317" s="29">
        <f t="shared" si="42"/>
        <v>0</v>
      </c>
      <c r="W317" s="29" t="str">
        <f t="shared" si="48"/>
        <v/>
      </c>
      <c r="X317" s="29" t="str">
        <f t="shared" si="43"/>
        <v/>
      </c>
      <c r="Y317" s="32" t="str">
        <f t="shared" si="44"/>
        <v/>
      </c>
      <c r="Z317" s="29" t="str">
        <f t="shared" si="45"/>
        <v/>
      </c>
      <c r="AA317" s="29" t="str">
        <f t="shared" si="49"/>
        <v/>
      </c>
      <c r="AB317" s="29" t="str">
        <f t="shared" si="46"/>
        <v/>
      </c>
      <c r="AC317" t="str">
        <f t="shared" si="47"/>
        <v/>
      </c>
    </row>
    <row r="318" spans="20:29" x14ac:dyDescent="0.3">
      <c r="T318" s="29">
        <f t="shared" si="40"/>
        <v>0</v>
      </c>
      <c r="U318" s="29">
        <f t="shared" si="41"/>
        <v>0</v>
      </c>
      <c r="V318" s="29">
        <f t="shared" si="42"/>
        <v>0</v>
      </c>
      <c r="W318" s="29" t="str">
        <f t="shared" si="48"/>
        <v/>
      </c>
      <c r="X318" s="29" t="str">
        <f t="shared" si="43"/>
        <v/>
      </c>
      <c r="Y318" s="32" t="str">
        <f t="shared" si="44"/>
        <v/>
      </c>
      <c r="Z318" s="29" t="str">
        <f t="shared" si="45"/>
        <v/>
      </c>
      <c r="AA318" s="29" t="str">
        <f t="shared" si="49"/>
        <v/>
      </c>
      <c r="AB318" s="29" t="str">
        <f t="shared" si="46"/>
        <v/>
      </c>
      <c r="AC318" t="str">
        <f t="shared" si="47"/>
        <v/>
      </c>
    </row>
    <row r="319" spans="20:29" x14ac:dyDescent="0.3">
      <c r="T319" s="29">
        <f t="shared" si="40"/>
        <v>0</v>
      </c>
      <c r="U319" s="29">
        <f t="shared" si="41"/>
        <v>0</v>
      </c>
      <c r="V319" s="29">
        <f t="shared" si="42"/>
        <v>0</v>
      </c>
      <c r="W319" s="29" t="str">
        <f t="shared" si="48"/>
        <v/>
      </c>
      <c r="X319" s="29" t="str">
        <f t="shared" si="43"/>
        <v/>
      </c>
      <c r="Y319" s="32" t="str">
        <f t="shared" si="44"/>
        <v/>
      </c>
      <c r="Z319" s="29" t="str">
        <f t="shared" si="45"/>
        <v/>
      </c>
      <c r="AA319" s="29" t="str">
        <f t="shared" si="49"/>
        <v/>
      </c>
      <c r="AB319" s="29" t="str">
        <f t="shared" si="46"/>
        <v/>
      </c>
      <c r="AC319" t="str">
        <f t="shared" si="47"/>
        <v/>
      </c>
    </row>
    <row r="320" spans="20:29" x14ac:dyDescent="0.3">
      <c r="T320" s="29">
        <f t="shared" si="40"/>
        <v>0</v>
      </c>
      <c r="U320" s="29">
        <f t="shared" si="41"/>
        <v>0</v>
      </c>
      <c r="V320" s="29">
        <f t="shared" si="42"/>
        <v>0</v>
      </c>
      <c r="W320" s="29" t="str">
        <f t="shared" si="48"/>
        <v/>
      </c>
      <c r="X320" s="29" t="str">
        <f t="shared" si="43"/>
        <v/>
      </c>
      <c r="Y320" s="32" t="str">
        <f t="shared" si="44"/>
        <v/>
      </c>
      <c r="Z320" s="29" t="str">
        <f t="shared" si="45"/>
        <v/>
      </c>
      <c r="AA320" s="29" t="str">
        <f t="shared" si="49"/>
        <v/>
      </c>
      <c r="AB320" s="29" t="str">
        <f t="shared" si="46"/>
        <v/>
      </c>
      <c r="AC320" t="str">
        <f t="shared" si="47"/>
        <v/>
      </c>
    </row>
    <row r="321" spans="20:29" x14ac:dyDescent="0.3">
      <c r="T321" s="29">
        <f t="shared" si="40"/>
        <v>0</v>
      </c>
      <c r="U321" s="29">
        <f t="shared" si="41"/>
        <v>0</v>
      </c>
      <c r="V321" s="29">
        <f t="shared" si="42"/>
        <v>0</v>
      </c>
      <c r="W321" s="29" t="str">
        <f t="shared" si="48"/>
        <v/>
      </c>
      <c r="X321" s="29" t="str">
        <f t="shared" si="43"/>
        <v/>
      </c>
      <c r="Y321" s="32" t="str">
        <f t="shared" si="44"/>
        <v/>
      </c>
      <c r="Z321" s="29" t="str">
        <f t="shared" si="45"/>
        <v/>
      </c>
      <c r="AA321" s="29" t="str">
        <f t="shared" si="49"/>
        <v/>
      </c>
      <c r="AB321" s="29" t="str">
        <f t="shared" si="46"/>
        <v/>
      </c>
      <c r="AC321" t="str">
        <f t="shared" si="47"/>
        <v/>
      </c>
    </row>
    <row r="322" spans="20:29" x14ac:dyDescent="0.3">
      <c r="T322" s="29">
        <f t="shared" si="40"/>
        <v>0</v>
      </c>
      <c r="U322" s="29">
        <f t="shared" si="41"/>
        <v>0</v>
      </c>
      <c r="V322" s="29">
        <f t="shared" si="42"/>
        <v>0</v>
      </c>
      <c r="W322" s="29" t="str">
        <f t="shared" si="48"/>
        <v/>
      </c>
      <c r="X322" s="29" t="str">
        <f t="shared" si="43"/>
        <v/>
      </c>
      <c r="Y322" s="32" t="str">
        <f t="shared" si="44"/>
        <v/>
      </c>
      <c r="Z322" s="29" t="str">
        <f t="shared" si="45"/>
        <v/>
      </c>
      <c r="AA322" s="29" t="str">
        <f t="shared" si="49"/>
        <v/>
      </c>
      <c r="AB322" s="29" t="str">
        <f t="shared" si="46"/>
        <v/>
      </c>
      <c r="AC322" t="str">
        <f t="shared" si="47"/>
        <v/>
      </c>
    </row>
    <row r="323" spans="20:29" x14ac:dyDescent="0.3">
      <c r="T323" s="29">
        <f t="shared" ref="T323:T386" si="50">+O323/1.08</f>
        <v>0</v>
      </c>
      <c r="U323" s="29">
        <f t="shared" ref="U323:U386" si="51">+T323*N323</f>
        <v>0</v>
      </c>
      <c r="V323" s="29">
        <f t="shared" ref="V323:V386" si="52">+SUMIF(B:B,B323,U:U)</f>
        <v>0</v>
      </c>
      <c r="W323" s="29" t="str">
        <f t="shared" si="48"/>
        <v/>
      </c>
      <c r="X323" s="29" t="str">
        <f t="shared" ref="X323:X386" si="53">+IF(W323&lt;&gt;0,W323,"")</f>
        <v/>
      </c>
      <c r="Y323" s="32" t="str">
        <f t="shared" ref="Y323:Y386" si="54">+IF(X323&lt;&gt;"",8,"")</f>
        <v/>
      </c>
      <c r="Z323" s="29" t="str">
        <f t="shared" ref="Z323:Z386" si="55">+IF(X323&lt;&gt;"","VND","")</f>
        <v/>
      </c>
      <c r="AA323" s="29" t="str">
        <f t="shared" si="49"/>
        <v/>
      </c>
      <c r="AB323" s="29" t="str">
        <f t="shared" ref="AB323:AB386" si="56">+IF(AA323&lt;&gt;0,AA323,"")</f>
        <v/>
      </c>
      <c r="AC323" t="str">
        <f t="shared" ref="AC323:AC386" si="57">+IF(X323&lt;&gt;"","TM/CK","")</f>
        <v/>
      </c>
    </row>
    <row r="324" spans="20:29" x14ac:dyDescent="0.3">
      <c r="T324" s="29">
        <f t="shared" si="50"/>
        <v>0</v>
      </c>
      <c r="U324" s="29">
        <f t="shared" si="51"/>
        <v>0</v>
      </c>
      <c r="V324" s="29">
        <f t="shared" si="52"/>
        <v>0</v>
      </c>
      <c r="W324" s="29" t="str">
        <f t="shared" ref="W324:W387" si="58">+IF(V324=V323,"",V324)</f>
        <v/>
      </c>
      <c r="X324" s="29" t="str">
        <f t="shared" si="53"/>
        <v/>
      </c>
      <c r="Y324" s="32" t="str">
        <f t="shared" si="54"/>
        <v/>
      </c>
      <c r="Z324" s="29" t="str">
        <f t="shared" si="55"/>
        <v/>
      </c>
      <c r="AA324" s="29" t="str">
        <f t="shared" ref="AA324:AA387" si="59">+IF(B324=B323,"",E324)</f>
        <v/>
      </c>
      <c r="AB324" s="29" t="str">
        <f t="shared" si="56"/>
        <v/>
      </c>
      <c r="AC324" t="str">
        <f t="shared" si="57"/>
        <v/>
      </c>
    </row>
    <row r="325" spans="20:29" x14ac:dyDescent="0.3">
      <c r="T325" s="29">
        <f t="shared" si="50"/>
        <v>0</v>
      </c>
      <c r="U325" s="29">
        <f t="shared" si="51"/>
        <v>0</v>
      </c>
      <c r="V325" s="29">
        <f t="shared" si="52"/>
        <v>0</v>
      </c>
      <c r="W325" s="29" t="str">
        <f t="shared" si="58"/>
        <v/>
      </c>
      <c r="X325" s="29" t="str">
        <f t="shared" si="53"/>
        <v/>
      </c>
      <c r="Y325" s="32" t="str">
        <f t="shared" si="54"/>
        <v/>
      </c>
      <c r="Z325" s="29" t="str">
        <f t="shared" si="55"/>
        <v/>
      </c>
      <c r="AA325" s="29" t="str">
        <f t="shared" si="59"/>
        <v/>
      </c>
      <c r="AB325" s="29" t="str">
        <f t="shared" si="56"/>
        <v/>
      </c>
      <c r="AC325" t="str">
        <f t="shared" si="57"/>
        <v/>
      </c>
    </row>
    <row r="326" spans="20:29" x14ac:dyDescent="0.3">
      <c r="T326" s="29">
        <f t="shared" si="50"/>
        <v>0</v>
      </c>
      <c r="U326" s="29">
        <f t="shared" si="51"/>
        <v>0</v>
      </c>
      <c r="V326" s="29">
        <f t="shared" si="52"/>
        <v>0</v>
      </c>
      <c r="W326" s="29" t="str">
        <f t="shared" si="58"/>
        <v/>
      </c>
      <c r="X326" s="29" t="str">
        <f t="shared" si="53"/>
        <v/>
      </c>
      <c r="Y326" s="32" t="str">
        <f t="shared" si="54"/>
        <v/>
      </c>
      <c r="Z326" s="29" t="str">
        <f t="shared" si="55"/>
        <v/>
      </c>
      <c r="AA326" s="29" t="str">
        <f t="shared" si="59"/>
        <v/>
      </c>
      <c r="AB326" s="29" t="str">
        <f t="shared" si="56"/>
        <v/>
      </c>
      <c r="AC326" t="str">
        <f t="shared" si="57"/>
        <v/>
      </c>
    </row>
    <row r="327" spans="20:29" x14ac:dyDescent="0.3">
      <c r="T327" s="29">
        <f t="shared" si="50"/>
        <v>0</v>
      </c>
      <c r="U327" s="29">
        <f t="shared" si="51"/>
        <v>0</v>
      </c>
      <c r="V327" s="29">
        <f t="shared" si="52"/>
        <v>0</v>
      </c>
      <c r="W327" s="29" t="str">
        <f t="shared" si="58"/>
        <v/>
      </c>
      <c r="X327" s="29" t="str">
        <f t="shared" si="53"/>
        <v/>
      </c>
      <c r="Y327" s="32" t="str">
        <f t="shared" si="54"/>
        <v/>
      </c>
      <c r="Z327" s="29" t="str">
        <f t="shared" si="55"/>
        <v/>
      </c>
      <c r="AA327" s="29" t="str">
        <f t="shared" si="59"/>
        <v/>
      </c>
      <c r="AB327" s="29" t="str">
        <f t="shared" si="56"/>
        <v/>
      </c>
      <c r="AC327" t="str">
        <f t="shared" si="57"/>
        <v/>
      </c>
    </row>
    <row r="328" spans="20:29" x14ac:dyDescent="0.3">
      <c r="T328" s="29">
        <f t="shared" si="50"/>
        <v>0</v>
      </c>
      <c r="U328" s="29">
        <f t="shared" si="51"/>
        <v>0</v>
      </c>
      <c r="V328" s="29">
        <f t="shared" si="52"/>
        <v>0</v>
      </c>
      <c r="W328" s="29" t="str">
        <f t="shared" si="58"/>
        <v/>
      </c>
      <c r="X328" s="29" t="str">
        <f t="shared" si="53"/>
        <v/>
      </c>
      <c r="Y328" s="32" t="str">
        <f t="shared" si="54"/>
        <v/>
      </c>
      <c r="Z328" s="29" t="str">
        <f t="shared" si="55"/>
        <v/>
      </c>
      <c r="AA328" s="29" t="str">
        <f t="shared" si="59"/>
        <v/>
      </c>
      <c r="AB328" s="29" t="str">
        <f t="shared" si="56"/>
        <v/>
      </c>
      <c r="AC328" t="str">
        <f t="shared" si="57"/>
        <v/>
      </c>
    </row>
    <row r="329" spans="20:29" x14ac:dyDescent="0.3">
      <c r="T329" s="29">
        <f t="shared" si="50"/>
        <v>0</v>
      </c>
      <c r="U329" s="29">
        <f t="shared" si="51"/>
        <v>0</v>
      </c>
      <c r="V329" s="29">
        <f t="shared" si="52"/>
        <v>0</v>
      </c>
      <c r="W329" s="29" t="str">
        <f t="shared" si="58"/>
        <v/>
      </c>
      <c r="X329" s="29" t="str">
        <f t="shared" si="53"/>
        <v/>
      </c>
      <c r="Y329" s="32" t="str">
        <f t="shared" si="54"/>
        <v/>
      </c>
      <c r="Z329" s="29" t="str">
        <f t="shared" si="55"/>
        <v/>
      </c>
      <c r="AA329" s="29" t="str">
        <f t="shared" si="59"/>
        <v/>
      </c>
      <c r="AB329" s="29" t="str">
        <f t="shared" si="56"/>
        <v/>
      </c>
      <c r="AC329" t="str">
        <f t="shared" si="57"/>
        <v/>
      </c>
    </row>
    <row r="330" spans="20:29" x14ac:dyDescent="0.3">
      <c r="T330" s="29">
        <f t="shared" si="50"/>
        <v>0</v>
      </c>
      <c r="U330" s="29">
        <f t="shared" si="51"/>
        <v>0</v>
      </c>
      <c r="V330" s="29">
        <f t="shared" si="52"/>
        <v>0</v>
      </c>
      <c r="W330" s="29" t="str">
        <f t="shared" si="58"/>
        <v/>
      </c>
      <c r="X330" s="29" t="str">
        <f t="shared" si="53"/>
        <v/>
      </c>
      <c r="Y330" s="32" t="str">
        <f t="shared" si="54"/>
        <v/>
      </c>
      <c r="Z330" s="29" t="str">
        <f t="shared" si="55"/>
        <v/>
      </c>
      <c r="AA330" s="29" t="str">
        <f t="shared" si="59"/>
        <v/>
      </c>
      <c r="AB330" s="29" t="str">
        <f t="shared" si="56"/>
        <v/>
      </c>
      <c r="AC330" t="str">
        <f t="shared" si="57"/>
        <v/>
      </c>
    </row>
    <row r="331" spans="20:29" x14ac:dyDescent="0.3">
      <c r="T331" s="29">
        <f t="shared" si="50"/>
        <v>0</v>
      </c>
      <c r="U331" s="29">
        <f t="shared" si="51"/>
        <v>0</v>
      </c>
      <c r="V331" s="29">
        <f t="shared" si="52"/>
        <v>0</v>
      </c>
      <c r="W331" s="29" t="str">
        <f t="shared" si="58"/>
        <v/>
      </c>
      <c r="X331" s="29" t="str">
        <f t="shared" si="53"/>
        <v/>
      </c>
      <c r="Y331" s="32" t="str">
        <f t="shared" si="54"/>
        <v/>
      </c>
      <c r="Z331" s="29" t="str">
        <f t="shared" si="55"/>
        <v/>
      </c>
      <c r="AA331" s="29" t="str">
        <f t="shared" si="59"/>
        <v/>
      </c>
      <c r="AB331" s="29" t="str">
        <f t="shared" si="56"/>
        <v/>
      </c>
      <c r="AC331" t="str">
        <f t="shared" si="57"/>
        <v/>
      </c>
    </row>
    <row r="332" spans="20:29" x14ac:dyDescent="0.3">
      <c r="T332" s="29">
        <f t="shared" si="50"/>
        <v>0</v>
      </c>
      <c r="U332" s="29">
        <f t="shared" si="51"/>
        <v>0</v>
      </c>
      <c r="V332" s="29">
        <f t="shared" si="52"/>
        <v>0</v>
      </c>
      <c r="W332" s="29" t="str">
        <f t="shared" si="58"/>
        <v/>
      </c>
      <c r="X332" s="29" t="str">
        <f t="shared" si="53"/>
        <v/>
      </c>
      <c r="Y332" s="32" t="str">
        <f t="shared" si="54"/>
        <v/>
      </c>
      <c r="Z332" s="29" t="str">
        <f t="shared" si="55"/>
        <v/>
      </c>
      <c r="AA332" s="29" t="str">
        <f t="shared" si="59"/>
        <v/>
      </c>
      <c r="AB332" s="29" t="str">
        <f t="shared" si="56"/>
        <v/>
      </c>
      <c r="AC332" t="str">
        <f t="shared" si="57"/>
        <v/>
      </c>
    </row>
    <row r="333" spans="20:29" x14ac:dyDescent="0.3">
      <c r="T333" s="29">
        <f t="shared" si="50"/>
        <v>0</v>
      </c>
      <c r="U333" s="29">
        <f t="shared" si="51"/>
        <v>0</v>
      </c>
      <c r="V333" s="29">
        <f t="shared" si="52"/>
        <v>0</v>
      </c>
      <c r="W333" s="29" t="str">
        <f t="shared" si="58"/>
        <v/>
      </c>
      <c r="X333" s="29" t="str">
        <f t="shared" si="53"/>
        <v/>
      </c>
      <c r="Y333" s="32" t="str">
        <f t="shared" si="54"/>
        <v/>
      </c>
      <c r="Z333" s="29" t="str">
        <f t="shared" si="55"/>
        <v/>
      </c>
      <c r="AA333" s="29" t="str">
        <f t="shared" si="59"/>
        <v/>
      </c>
      <c r="AB333" s="29" t="str">
        <f t="shared" si="56"/>
        <v/>
      </c>
      <c r="AC333" t="str">
        <f t="shared" si="57"/>
        <v/>
      </c>
    </row>
    <row r="334" spans="20:29" x14ac:dyDescent="0.3">
      <c r="T334" s="29">
        <f t="shared" si="50"/>
        <v>0</v>
      </c>
      <c r="U334" s="29">
        <f t="shared" si="51"/>
        <v>0</v>
      </c>
      <c r="V334" s="29">
        <f t="shared" si="52"/>
        <v>0</v>
      </c>
      <c r="W334" s="29" t="str">
        <f t="shared" si="58"/>
        <v/>
      </c>
      <c r="X334" s="29" t="str">
        <f t="shared" si="53"/>
        <v/>
      </c>
      <c r="Y334" s="32" t="str">
        <f t="shared" si="54"/>
        <v/>
      </c>
      <c r="Z334" s="29" t="str">
        <f t="shared" si="55"/>
        <v/>
      </c>
      <c r="AA334" s="29" t="str">
        <f t="shared" si="59"/>
        <v/>
      </c>
      <c r="AB334" s="29" t="str">
        <f t="shared" si="56"/>
        <v/>
      </c>
      <c r="AC334" t="str">
        <f t="shared" si="57"/>
        <v/>
      </c>
    </row>
    <row r="335" spans="20:29" x14ac:dyDescent="0.3">
      <c r="T335" s="29">
        <f t="shared" si="50"/>
        <v>0</v>
      </c>
      <c r="U335" s="29">
        <f t="shared" si="51"/>
        <v>0</v>
      </c>
      <c r="V335" s="29">
        <f t="shared" si="52"/>
        <v>0</v>
      </c>
      <c r="W335" s="29" t="str">
        <f t="shared" si="58"/>
        <v/>
      </c>
      <c r="X335" s="29" t="str">
        <f t="shared" si="53"/>
        <v/>
      </c>
      <c r="Y335" s="32" t="str">
        <f t="shared" si="54"/>
        <v/>
      </c>
      <c r="Z335" s="29" t="str">
        <f t="shared" si="55"/>
        <v/>
      </c>
      <c r="AA335" s="29" t="str">
        <f t="shared" si="59"/>
        <v/>
      </c>
      <c r="AB335" s="29" t="str">
        <f t="shared" si="56"/>
        <v/>
      </c>
      <c r="AC335" t="str">
        <f t="shared" si="57"/>
        <v/>
      </c>
    </row>
    <row r="336" spans="20:29" x14ac:dyDescent="0.3">
      <c r="T336" s="29">
        <f t="shared" si="50"/>
        <v>0</v>
      </c>
      <c r="U336" s="29">
        <f t="shared" si="51"/>
        <v>0</v>
      </c>
      <c r="V336" s="29">
        <f t="shared" si="52"/>
        <v>0</v>
      </c>
      <c r="W336" s="29" t="str">
        <f t="shared" si="58"/>
        <v/>
      </c>
      <c r="X336" s="29" t="str">
        <f t="shared" si="53"/>
        <v/>
      </c>
      <c r="Y336" s="32" t="str">
        <f t="shared" si="54"/>
        <v/>
      </c>
      <c r="Z336" s="29" t="str">
        <f t="shared" si="55"/>
        <v/>
      </c>
      <c r="AA336" s="29" t="str">
        <f t="shared" si="59"/>
        <v/>
      </c>
      <c r="AB336" s="29" t="str">
        <f t="shared" si="56"/>
        <v/>
      </c>
      <c r="AC336" t="str">
        <f t="shared" si="57"/>
        <v/>
      </c>
    </row>
    <row r="337" spans="20:29" x14ac:dyDescent="0.3">
      <c r="T337" s="29">
        <f t="shared" si="50"/>
        <v>0</v>
      </c>
      <c r="U337" s="29">
        <f t="shared" si="51"/>
        <v>0</v>
      </c>
      <c r="V337" s="29">
        <f t="shared" si="52"/>
        <v>0</v>
      </c>
      <c r="W337" s="29" t="str">
        <f t="shared" si="58"/>
        <v/>
      </c>
      <c r="X337" s="29" t="str">
        <f t="shared" si="53"/>
        <v/>
      </c>
      <c r="Y337" s="32" t="str">
        <f t="shared" si="54"/>
        <v/>
      </c>
      <c r="Z337" s="29" t="str">
        <f t="shared" si="55"/>
        <v/>
      </c>
      <c r="AA337" s="29" t="str">
        <f t="shared" si="59"/>
        <v/>
      </c>
      <c r="AB337" s="29" t="str">
        <f t="shared" si="56"/>
        <v/>
      </c>
      <c r="AC337" t="str">
        <f t="shared" si="57"/>
        <v/>
      </c>
    </row>
    <row r="338" spans="20:29" x14ac:dyDescent="0.3">
      <c r="T338" s="29">
        <f t="shared" si="50"/>
        <v>0</v>
      </c>
      <c r="U338" s="29">
        <f t="shared" si="51"/>
        <v>0</v>
      </c>
      <c r="V338" s="29">
        <f t="shared" si="52"/>
        <v>0</v>
      </c>
      <c r="W338" s="29" t="str">
        <f t="shared" si="58"/>
        <v/>
      </c>
      <c r="X338" s="29" t="str">
        <f t="shared" si="53"/>
        <v/>
      </c>
      <c r="Y338" s="32" t="str">
        <f t="shared" si="54"/>
        <v/>
      </c>
      <c r="Z338" s="29" t="str">
        <f t="shared" si="55"/>
        <v/>
      </c>
      <c r="AA338" s="29" t="str">
        <f t="shared" si="59"/>
        <v/>
      </c>
      <c r="AB338" s="29" t="str">
        <f t="shared" si="56"/>
        <v/>
      </c>
      <c r="AC338" t="str">
        <f t="shared" si="57"/>
        <v/>
      </c>
    </row>
    <row r="339" spans="20:29" x14ac:dyDescent="0.3">
      <c r="T339" s="29">
        <f t="shared" si="50"/>
        <v>0</v>
      </c>
      <c r="U339" s="29">
        <f t="shared" si="51"/>
        <v>0</v>
      </c>
      <c r="V339" s="29">
        <f t="shared" si="52"/>
        <v>0</v>
      </c>
      <c r="W339" s="29" t="str">
        <f t="shared" si="58"/>
        <v/>
      </c>
      <c r="X339" s="29" t="str">
        <f t="shared" si="53"/>
        <v/>
      </c>
      <c r="Y339" s="32" t="str">
        <f t="shared" si="54"/>
        <v/>
      </c>
      <c r="Z339" s="29" t="str">
        <f t="shared" si="55"/>
        <v/>
      </c>
      <c r="AA339" s="29" t="str">
        <f t="shared" si="59"/>
        <v/>
      </c>
      <c r="AB339" s="29" t="str">
        <f t="shared" si="56"/>
        <v/>
      </c>
      <c r="AC339" t="str">
        <f t="shared" si="57"/>
        <v/>
      </c>
    </row>
    <row r="340" spans="20:29" x14ac:dyDescent="0.3">
      <c r="T340" s="29">
        <f t="shared" si="50"/>
        <v>0</v>
      </c>
      <c r="U340" s="29">
        <f t="shared" si="51"/>
        <v>0</v>
      </c>
      <c r="V340" s="29">
        <f t="shared" si="52"/>
        <v>0</v>
      </c>
      <c r="W340" s="29" t="str">
        <f t="shared" si="58"/>
        <v/>
      </c>
      <c r="X340" s="29" t="str">
        <f t="shared" si="53"/>
        <v/>
      </c>
      <c r="Y340" s="32" t="str">
        <f t="shared" si="54"/>
        <v/>
      </c>
      <c r="Z340" s="29" t="str">
        <f t="shared" si="55"/>
        <v/>
      </c>
      <c r="AA340" s="29" t="str">
        <f t="shared" si="59"/>
        <v/>
      </c>
      <c r="AB340" s="29" t="str">
        <f t="shared" si="56"/>
        <v/>
      </c>
      <c r="AC340" t="str">
        <f t="shared" si="57"/>
        <v/>
      </c>
    </row>
    <row r="341" spans="20:29" x14ac:dyDescent="0.3">
      <c r="T341" s="29">
        <f t="shared" si="50"/>
        <v>0</v>
      </c>
      <c r="U341" s="29">
        <f t="shared" si="51"/>
        <v>0</v>
      </c>
      <c r="V341" s="29">
        <f t="shared" si="52"/>
        <v>0</v>
      </c>
      <c r="W341" s="29" t="str">
        <f t="shared" si="58"/>
        <v/>
      </c>
      <c r="X341" s="29" t="str">
        <f t="shared" si="53"/>
        <v/>
      </c>
      <c r="Y341" s="32" t="str">
        <f t="shared" si="54"/>
        <v/>
      </c>
      <c r="Z341" s="29" t="str">
        <f t="shared" si="55"/>
        <v/>
      </c>
      <c r="AA341" s="29" t="str">
        <f t="shared" si="59"/>
        <v/>
      </c>
      <c r="AB341" s="29" t="str">
        <f t="shared" si="56"/>
        <v/>
      </c>
      <c r="AC341" t="str">
        <f t="shared" si="57"/>
        <v/>
      </c>
    </row>
    <row r="342" spans="20:29" x14ac:dyDescent="0.3">
      <c r="T342" s="29">
        <f t="shared" si="50"/>
        <v>0</v>
      </c>
      <c r="U342" s="29">
        <f t="shared" si="51"/>
        <v>0</v>
      </c>
      <c r="V342" s="29">
        <f t="shared" si="52"/>
        <v>0</v>
      </c>
      <c r="W342" s="29" t="str">
        <f t="shared" si="58"/>
        <v/>
      </c>
      <c r="X342" s="29" t="str">
        <f t="shared" si="53"/>
        <v/>
      </c>
      <c r="Y342" s="32" t="str">
        <f t="shared" si="54"/>
        <v/>
      </c>
      <c r="Z342" s="29" t="str">
        <f t="shared" si="55"/>
        <v/>
      </c>
      <c r="AA342" s="29" t="str">
        <f t="shared" si="59"/>
        <v/>
      </c>
      <c r="AB342" s="29" t="str">
        <f t="shared" si="56"/>
        <v/>
      </c>
      <c r="AC342" t="str">
        <f t="shared" si="57"/>
        <v/>
      </c>
    </row>
    <row r="343" spans="20:29" x14ac:dyDescent="0.3">
      <c r="T343" s="29">
        <f t="shared" si="50"/>
        <v>0</v>
      </c>
      <c r="U343" s="29">
        <f t="shared" si="51"/>
        <v>0</v>
      </c>
      <c r="V343" s="29">
        <f t="shared" si="52"/>
        <v>0</v>
      </c>
      <c r="W343" s="29" t="str">
        <f t="shared" si="58"/>
        <v/>
      </c>
      <c r="X343" s="29" t="str">
        <f t="shared" si="53"/>
        <v/>
      </c>
      <c r="Y343" s="32" t="str">
        <f t="shared" si="54"/>
        <v/>
      </c>
      <c r="Z343" s="29" t="str">
        <f t="shared" si="55"/>
        <v/>
      </c>
      <c r="AA343" s="29" t="str">
        <f t="shared" si="59"/>
        <v/>
      </c>
      <c r="AB343" s="29" t="str">
        <f t="shared" si="56"/>
        <v/>
      </c>
      <c r="AC343" t="str">
        <f t="shared" si="57"/>
        <v/>
      </c>
    </row>
    <row r="344" spans="20:29" x14ac:dyDescent="0.3">
      <c r="T344" s="29">
        <f t="shared" si="50"/>
        <v>0</v>
      </c>
      <c r="U344" s="29">
        <f t="shared" si="51"/>
        <v>0</v>
      </c>
      <c r="V344" s="29">
        <f t="shared" si="52"/>
        <v>0</v>
      </c>
      <c r="W344" s="29" t="str">
        <f t="shared" si="58"/>
        <v/>
      </c>
      <c r="X344" s="29" t="str">
        <f t="shared" si="53"/>
        <v/>
      </c>
      <c r="Y344" s="32" t="str">
        <f t="shared" si="54"/>
        <v/>
      </c>
      <c r="Z344" s="29" t="str">
        <f t="shared" si="55"/>
        <v/>
      </c>
      <c r="AA344" s="29" t="str">
        <f t="shared" si="59"/>
        <v/>
      </c>
      <c r="AB344" s="29" t="str">
        <f t="shared" si="56"/>
        <v/>
      </c>
      <c r="AC344" t="str">
        <f t="shared" si="57"/>
        <v/>
      </c>
    </row>
    <row r="345" spans="20:29" x14ac:dyDescent="0.3">
      <c r="T345" s="29">
        <f t="shared" si="50"/>
        <v>0</v>
      </c>
      <c r="U345" s="29">
        <f t="shared" si="51"/>
        <v>0</v>
      </c>
      <c r="V345" s="29">
        <f t="shared" si="52"/>
        <v>0</v>
      </c>
      <c r="W345" s="29" t="str">
        <f t="shared" si="58"/>
        <v/>
      </c>
      <c r="X345" s="29" t="str">
        <f t="shared" si="53"/>
        <v/>
      </c>
      <c r="Y345" s="32" t="str">
        <f t="shared" si="54"/>
        <v/>
      </c>
      <c r="Z345" s="29" t="str">
        <f t="shared" si="55"/>
        <v/>
      </c>
      <c r="AA345" s="29" t="str">
        <f t="shared" si="59"/>
        <v/>
      </c>
      <c r="AB345" s="29" t="str">
        <f t="shared" si="56"/>
        <v/>
      </c>
      <c r="AC345" t="str">
        <f t="shared" si="57"/>
        <v/>
      </c>
    </row>
    <row r="346" spans="20:29" x14ac:dyDescent="0.3">
      <c r="T346" s="29">
        <f t="shared" si="50"/>
        <v>0</v>
      </c>
      <c r="U346" s="29">
        <f t="shared" si="51"/>
        <v>0</v>
      </c>
      <c r="V346" s="29">
        <f t="shared" si="52"/>
        <v>0</v>
      </c>
      <c r="W346" s="29" t="str">
        <f t="shared" si="58"/>
        <v/>
      </c>
      <c r="X346" s="29" t="str">
        <f t="shared" si="53"/>
        <v/>
      </c>
      <c r="Y346" s="32" t="str">
        <f t="shared" si="54"/>
        <v/>
      </c>
      <c r="Z346" s="29" t="str">
        <f t="shared" si="55"/>
        <v/>
      </c>
      <c r="AA346" s="29" t="str">
        <f t="shared" si="59"/>
        <v/>
      </c>
      <c r="AB346" s="29" t="str">
        <f t="shared" si="56"/>
        <v/>
      </c>
      <c r="AC346" t="str">
        <f t="shared" si="57"/>
        <v/>
      </c>
    </row>
    <row r="347" spans="20:29" x14ac:dyDescent="0.3">
      <c r="T347" s="29">
        <f t="shared" si="50"/>
        <v>0</v>
      </c>
      <c r="U347" s="29">
        <f t="shared" si="51"/>
        <v>0</v>
      </c>
      <c r="V347" s="29">
        <f t="shared" si="52"/>
        <v>0</v>
      </c>
      <c r="W347" s="29" t="str">
        <f t="shared" si="58"/>
        <v/>
      </c>
      <c r="X347" s="29" t="str">
        <f t="shared" si="53"/>
        <v/>
      </c>
      <c r="Y347" s="32" t="str">
        <f t="shared" si="54"/>
        <v/>
      </c>
      <c r="Z347" s="29" t="str">
        <f t="shared" si="55"/>
        <v/>
      </c>
      <c r="AA347" s="29" t="str">
        <f t="shared" si="59"/>
        <v/>
      </c>
      <c r="AB347" s="29" t="str">
        <f t="shared" si="56"/>
        <v/>
      </c>
      <c r="AC347" t="str">
        <f t="shared" si="57"/>
        <v/>
      </c>
    </row>
    <row r="348" spans="20:29" x14ac:dyDescent="0.3">
      <c r="T348" s="29">
        <f t="shared" si="50"/>
        <v>0</v>
      </c>
      <c r="U348" s="29">
        <f t="shared" si="51"/>
        <v>0</v>
      </c>
      <c r="V348" s="29">
        <f t="shared" si="52"/>
        <v>0</v>
      </c>
      <c r="W348" s="29" t="str">
        <f t="shared" si="58"/>
        <v/>
      </c>
      <c r="X348" s="29" t="str">
        <f t="shared" si="53"/>
        <v/>
      </c>
      <c r="Y348" s="32" t="str">
        <f t="shared" si="54"/>
        <v/>
      </c>
      <c r="Z348" s="29" t="str">
        <f t="shared" si="55"/>
        <v/>
      </c>
      <c r="AA348" s="29" t="str">
        <f t="shared" si="59"/>
        <v/>
      </c>
      <c r="AB348" s="29" t="str">
        <f t="shared" si="56"/>
        <v/>
      </c>
      <c r="AC348" t="str">
        <f t="shared" si="57"/>
        <v/>
      </c>
    </row>
    <row r="349" spans="20:29" x14ac:dyDescent="0.3">
      <c r="T349" s="29">
        <f t="shared" si="50"/>
        <v>0</v>
      </c>
      <c r="U349" s="29">
        <f t="shared" si="51"/>
        <v>0</v>
      </c>
      <c r="V349" s="29">
        <f t="shared" si="52"/>
        <v>0</v>
      </c>
      <c r="W349" s="29" t="str">
        <f t="shared" si="58"/>
        <v/>
      </c>
      <c r="X349" s="29" t="str">
        <f t="shared" si="53"/>
        <v/>
      </c>
      <c r="Y349" s="32" t="str">
        <f t="shared" si="54"/>
        <v/>
      </c>
      <c r="Z349" s="29" t="str">
        <f t="shared" si="55"/>
        <v/>
      </c>
      <c r="AA349" s="29" t="str">
        <f t="shared" si="59"/>
        <v/>
      </c>
      <c r="AB349" s="29" t="str">
        <f t="shared" si="56"/>
        <v/>
      </c>
      <c r="AC349" t="str">
        <f t="shared" si="57"/>
        <v/>
      </c>
    </row>
    <row r="350" spans="20:29" x14ac:dyDescent="0.3">
      <c r="T350" s="29">
        <f t="shared" si="50"/>
        <v>0</v>
      </c>
      <c r="U350" s="29">
        <f t="shared" si="51"/>
        <v>0</v>
      </c>
      <c r="V350" s="29">
        <f t="shared" si="52"/>
        <v>0</v>
      </c>
      <c r="W350" s="29" t="str">
        <f t="shared" si="58"/>
        <v/>
      </c>
      <c r="X350" s="29" t="str">
        <f t="shared" si="53"/>
        <v/>
      </c>
      <c r="Y350" s="32" t="str">
        <f t="shared" si="54"/>
        <v/>
      </c>
      <c r="Z350" s="29" t="str">
        <f t="shared" si="55"/>
        <v/>
      </c>
      <c r="AA350" s="29" t="str">
        <f t="shared" si="59"/>
        <v/>
      </c>
      <c r="AB350" s="29" t="str">
        <f t="shared" si="56"/>
        <v/>
      </c>
      <c r="AC350" t="str">
        <f t="shared" si="57"/>
        <v/>
      </c>
    </row>
    <row r="351" spans="20:29" x14ac:dyDescent="0.3">
      <c r="T351" s="29">
        <f t="shared" si="50"/>
        <v>0</v>
      </c>
      <c r="U351" s="29">
        <f t="shared" si="51"/>
        <v>0</v>
      </c>
      <c r="V351" s="29">
        <f t="shared" si="52"/>
        <v>0</v>
      </c>
      <c r="W351" s="29" t="str">
        <f t="shared" si="58"/>
        <v/>
      </c>
      <c r="X351" s="29" t="str">
        <f t="shared" si="53"/>
        <v/>
      </c>
      <c r="Y351" s="32" t="str">
        <f t="shared" si="54"/>
        <v/>
      </c>
      <c r="Z351" s="29" t="str">
        <f t="shared" si="55"/>
        <v/>
      </c>
      <c r="AA351" s="29" t="str">
        <f t="shared" si="59"/>
        <v/>
      </c>
      <c r="AB351" s="29" t="str">
        <f t="shared" si="56"/>
        <v/>
      </c>
      <c r="AC351" t="str">
        <f t="shared" si="57"/>
        <v/>
      </c>
    </row>
    <row r="352" spans="20:29" x14ac:dyDescent="0.3">
      <c r="T352" s="29">
        <f t="shared" si="50"/>
        <v>0</v>
      </c>
      <c r="U352" s="29">
        <f t="shared" si="51"/>
        <v>0</v>
      </c>
      <c r="V352" s="29">
        <f t="shared" si="52"/>
        <v>0</v>
      </c>
      <c r="W352" s="29" t="str">
        <f t="shared" si="58"/>
        <v/>
      </c>
      <c r="X352" s="29" t="str">
        <f t="shared" si="53"/>
        <v/>
      </c>
      <c r="Y352" s="32" t="str">
        <f t="shared" si="54"/>
        <v/>
      </c>
      <c r="Z352" s="29" t="str">
        <f t="shared" si="55"/>
        <v/>
      </c>
      <c r="AA352" s="29" t="str">
        <f t="shared" si="59"/>
        <v/>
      </c>
      <c r="AB352" s="29" t="str">
        <f t="shared" si="56"/>
        <v/>
      </c>
      <c r="AC352" t="str">
        <f t="shared" si="57"/>
        <v/>
      </c>
    </row>
    <row r="353" spans="20:29" x14ac:dyDescent="0.3">
      <c r="T353" s="29">
        <f t="shared" si="50"/>
        <v>0</v>
      </c>
      <c r="U353" s="29">
        <f t="shared" si="51"/>
        <v>0</v>
      </c>
      <c r="V353" s="29">
        <f t="shared" si="52"/>
        <v>0</v>
      </c>
      <c r="W353" s="29" t="str">
        <f t="shared" si="58"/>
        <v/>
      </c>
      <c r="X353" s="29" t="str">
        <f t="shared" si="53"/>
        <v/>
      </c>
      <c r="Y353" s="32" t="str">
        <f t="shared" si="54"/>
        <v/>
      </c>
      <c r="Z353" s="29" t="str">
        <f t="shared" si="55"/>
        <v/>
      </c>
      <c r="AA353" s="29" t="str">
        <f t="shared" si="59"/>
        <v/>
      </c>
      <c r="AB353" s="29" t="str">
        <f t="shared" si="56"/>
        <v/>
      </c>
      <c r="AC353" t="str">
        <f t="shared" si="57"/>
        <v/>
      </c>
    </row>
    <row r="354" spans="20:29" x14ac:dyDescent="0.3">
      <c r="T354" s="29">
        <f t="shared" si="50"/>
        <v>0</v>
      </c>
      <c r="U354" s="29">
        <f t="shared" si="51"/>
        <v>0</v>
      </c>
      <c r="V354" s="29">
        <f t="shared" si="52"/>
        <v>0</v>
      </c>
      <c r="W354" s="29" t="str">
        <f t="shared" si="58"/>
        <v/>
      </c>
      <c r="X354" s="29" t="str">
        <f t="shared" si="53"/>
        <v/>
      </c>
      <c r="Y354" s="32" t="str">
        <f t="shared" si="54"/>
        <v/>
      </c>
      <c r="Z354" s="29" t="str">
        <f t="shared" si="55"/>
        <v/>
      </c>
      <c r="AA354" s="29" t="str">
        <f t="shared" si="59"/>
        <v/>
      </c>
      <c r="AB354" s="29" t="str">
        <f t="shared" si="56"/>
        <v/>
      </c>
      <c r="AC354" t="str">
        <f t="shared" si="57"/>
        <v/>
      </c>
    </row>
    <row r="355" spans="20:29" x14ac:dyDescent="0.3">
      <c r="T355" s="29">
        <f t="shared" si="50"/>
        <v>0</v>
      </c>
      <c r="U355" s="29">
        <f t="shared" si="51"/>
        <v>0</v>
      </c>
      <c r="V355" s="29">
        <f t="shared" si="52"/>
        <v>0</v>
      </c>
      <c r="W355" s="29" t="str">
        <f t="shared" si="58"/>
        <v/>
      </c>
      <c r="X355" s="29" t="str">
        <f t="shared" si="53"/>
        <v/>
      </c>
      <c r="Y355" s="32" t="str">
        <f t="shared" si="54"/>
        <v/>
      </c>
      <c r="Z355" s="29" t="str">
        <f t="shared" si="55"/>
        <v/>
      </c>
      <c r="AA355" s="29" t="str">
        <f t="shared" si="59"/>
        <v/>
      </c>
      <c r="AB355" s="29" t="str">
        <f t="shared" si="56"/>
        <v/>
      </c>
      <c r="AC355" t="str">
        <f t="shared" si="57"/>
        <v/>
      </c>
    </row>
    <row r="356" spans="20:29" x14ac:dyDescent="0.3">
      <c r="T356" s="29">
        <f t="shared" si="50"/>
        <v>0</v>
      </c>
      <c r="U356" s="29">
        <f t="shared" si="51"/>
        <v>0</v>
      </c>
      <c r="V356" s="29">
        <f t="shared" si="52"/>
        <v>0</v>
      </c>
      <c r="W356" s="29" t="str">
        <f t="shared" si="58"/>
        <v/>
      </c>
      <c r="X356" s="29" t="str">
        <f t="shared" si="53"/>
        <v/>
      </c>
      <c r="Y356" s="32" t="str">
        <f t="shared" si="54"/>
        <v/>
      </c>
      <c r="Z356" s="29" t="str">
        <f t="shared" si="55"/>
        <v/>
      </c>
      <c r="AA356" s="29" t="str">
        <f t="shared" si="59"/>
        <v/>
      </c>
      <c r="AB356" s="29" t="str">
        <f t="shared" si="56"/>
        <v/>
      </c>
      <c r="AC356" t="str">
        <f t="shared" si="57"/>
        <v/>
      </c>
    </row>
    <row r="357" spans="20:29" x14ac:dyDescent="0.3">
      <c r="T357" s="29">
        <f t="shared" si="50"/>
        <v>0</v>
      </c>
      <c r="U357" s="29">
        <f t="shared" si="51"/>
        <v>0</v>
      </c>
      <c r="V357" s="29">
        <f t="shared" si="52"/>
        <v>0</v>
      </c>
      <c r="W357" s="29" t="str">
        <f t="shared" si="58"/>
        <v/>
      </c>
      <c r="X357" s="29" t="str">
        <f t="shared" si="53"/>
        <v/>
      </c>
      <c r="Y357" s="32" t="str">
        <f t="shared" si="54"/>
        <v/>
      </c>
      <c r="Z357" s="29" t="str">
        <f t="shared" si="55"/>
        <v/>
      </c>
      <c r="AA357" s="29" t="str">
        <f t="shared" si="59"/>
        <v/>
      </c>
      <c r="AB357" s="29" t="str">
        <f t="shared" si="56"/>
        <v/>
      </c>
      <c r="AC357" t="str">
        <f t="shared" si="57"/>
        <v/>
      </c>
    </row>
    <row r="358" spans="20:29" x14ac:dyDescent="0.3">
      <c r="T358" s="29">
        <f t="shared" si="50"/>
        <v>0</v>
      </c>
      <c r="U358" s="29">
        <f t="shared" si="51"/>
        <v>0</v>
      </c>
      <c r="V358" s="29">
        <f t="shared" si="52"/>
        <v>0</v>
      </c>
      <c r="W358" s="29" t="str">
        <f t="shared" si="58"/>
        <v/>
      </c>
      <c r="X358" s="29" t="str">
        <f t="shared" si="53"/>
        <v/>
      </c>
      <c r="Y358" s="32" t="str">
        <f t="shared" si="54"/>
        <v/>
      </c>
      <c r="Z358" s="29" t="str">
        <f t="shared" si="55"/>
        <v/>
      </c>
      <c r="AA358" s="29" t="str">
        <f t="shared" si="59"/>
        <v/>
      </c>
      <c r="AB358" s="29" t="str">
        <f t="shared" si="56"/>
        <v/>
      </c>
      <c r="AC358" t="str">
        <f t="shared" si="57"/>
        <v/>
      </c>
    </row>
    <row r="359" spans="20:29" x14ac:dyDescent="0.3">
      <c r="T359" s="29">
        <f t="shared" si="50"/>
        <v>0</v>
      </c>
      <c r="U359" s="29">
        <f t="shared" si="51"/>
        <v>0</v>
      </c>
      <c r="V359" s="29">
        <f t="shared" si="52"/>
        <v>0</v>
      </c>
      <c r="W359" s="29" t="str">
        <f t="shared" si="58"/>
        <v/>
      </c>
      <c r="X359" s="29" t="str">
        <f t="shared" si="53"/>
        <v/>
      </c>
      <c r="Y359" s="32" t="str">
        <f t="shared" si="54"/>
        <v/>
      </c>
      <c r="Z359" s="29" t="str">
        <f t="shared" si="55"/>
        <v/>
      </c>
      <c r="AA359" s="29" t="str">
        <f t="shared" si="59"/>
        <v/>
      </c>
      <c r="AB359" s="29" t="str">
        <f t="shared" si="56"/>
        <v/>
      </c>
      <c r="AC359" t="str">
        <f t="shared" si="57"/>
        <v/>
      </c>
    </row>
    <row r="360" spans="20:29" x14ac:dyDescent="0.3">
      <c r="T360" s="29">
        <f t="shared" si="50"/>
        <v>0</v>
      </c>
      <c r="U360" s="29">
        <f t="shared" si="51"/>
        <v>0</v>
      </c>
      <c r="V360" s="29">
        <f t="shared" si="52"/>
        <v>0</v>
      </c>
      <c r="W360" s="29" t="str">
        <f t="shared" si="58"/>
        <v/>
      </c>
      <c r="X360" s="29" t="str">
        <f t="shared" si="53"/>
        <v/>
      </c>
      <c r="Y360" s="32" t="str">
        <f t="shared" si="54"/>
        <v/>
      </c>
      <c r="Z360" s="29" t="str">
        <f t="shared" si="55"/>
        <v/>
      </c>
      <c r="AA360" s="29" t="str">
        <f t="shared" si="59"/>
        <v/>
      </c>
      <c r="AB360" s="29" t="str">
        <f t="shared" si="56"/>
        <v/>
      </c>
      <c r="AC360" t="str">
        <f t="shared" si="57"/>
        <v/>
      </c>
    </row>
    <row r="361" spans="20:29" x14ac:dyDescent="0.3">
      <c r="T361" s="29">
        <f t="shared" si="50"/>
        <v>0</v>
      </c>
      <c r="U361" s="29">
        <f t="shared" si="51"/>
        <v>0</v>
      </c>
      <c r="V361" s="29">
        <f t="shared" si="52"/>
        <v>0</v>
      </c>
      <c r="W361" s="29" t="str">
        <f t="shared" si="58"/>
        <v/>
      </c>
      <c r="X361" s="29" t="str">
        <f t="shared" si="53"/>
        <v/>
      </c>
      <c r="Y361" s="32" t="str">
        <f t="shared" si="54"/>
        <v/>
      </c>
      <c r="Z361" s="29" t="str">
        <f t="shared" si="55"/>
        <v/>
      </c>
      <c r="AA361" s="29" t="str">
        <f t="shared" si="59"/>
        <v/>
      </c>
      <c r="AB361" s="29" t="str">
        <f t="shared" si="56"/>
        <v/>
      </c>
      <c r="AC361" t="str">
        <f t="shared" si="57"/>
        <v/>
      </c>
    </row>
    <row r="362" spans="20:29" x14ac:dyDescent="0.3">
      <c r="T362" s="29">
        <f t="shared" si="50"/>
        <v>0</v>
      </c>
      <c r="U362" s="29">
        <f t="shared" si="51"/>
        <v>0</v>
      </c>
      <c r="V362" s="29">
        <f t="shared" si="52"/>
        <v>0</v>
      </c>
      <c r="W362" s="29" t="str">
        <f t="shared" si="58"/>
        <v/>
      </c>
      <c r="X362" s="29" t="str">
        <f t="shared" si="53"/>
        <v/>
      </c>
      <c r="Y362" s="32" t="str">
        <f t="shared" si="54"/>
        <v/>
      </c>
      <c r="Z362" s="29" t="str">
        <f t="shared" si="55"/>
        <v/>
      </c>
      <c r="AA362" s="29" t="str">
        <f t="shared" si="59"/>
        <v/>
      </c>
      <c r="AB362" s="29" t="str">
        <f t="shared" si="56"/>
        <v/>
      </c>
      <c r="AC362" t="str">
        <f t="shared" si="57"/>
        <v/>
      </c>
    </row>
    <row r="363" spans="20:29" x14ac:dyDescent="0.3">
      <c r="T363" s="29">
        <f t="shared" si="50"/>
        <v>0</v>
      </c>
      <c r="U363" s="29">
        <f t="shared" si="51"/>
        <v>0</v>
      </c>
      <c r="V363" s="29">
        <f t="shared" si="52"/>
        <v>0</v>
      </c>
      <c r="W363" s="29" t="str">
        <f t="shared" si="58"/>
        <v/>
      </c>
      <c r="X363" s="29" t="str">
        <f t="shared" si="53"/>
        <v/>
      </c>
      <c r="Y363" s="32" t="str">
        <f t="shared" si="54"/>
        <v/>
      </c>
      <c r="Z363" s="29" t="str">
        <f t="shared" si="55"/>
        <v/>
      </c>
      <c r="AA363" s="29" t="str">
        <f t="shared" si="59"/>
        <v/>
      </c>
      <c r="AB363" s="29" t="str">
        <f t="shared" si="56"/>
        <v/>
      </c>
      <c r="AC363" t="str">
        <f t="shared" si="57"/>
        <v/>
      </c>
    </row>
    <row r="364" spans="20:29" x14ac:dyDescent="0.3">
      <c r="T364" s="29">
        <f t="shared" si="50"/>
        <v>0</v>
      </c>
      <c r="U364" s="29">
        <f t="shared" si="51"/>
        <v>0</v>
      </c>
      <c r="V364" s="29">
        <f t="shared" si="52"/>
        <v>0</v>
      </c>
      <c r="W364" s="29" t="str">
        <f t="shared" si="58"/>
        <v/>
      </c>
      <c r="X364" s="29" t="str">
        <f t="shared" si="53"/>
        <v/>
      </c>
      <c r="Y364" s="32" t="str">
        <f t="shared" si="54"/>
        <v/>
      </c>
      <c r="Z364" s="29" t="str">
        <f t="shared" si="55"/>
        <v/>
      </c>
      <c r="AA364" s="29" t="str">
        <f t="shared" si="59"/>
        <v/>
      </c>
      <c r="AB364" s="29" t="str">
        <f t="shared" si="56"/>
        <v/>
      </c>
      <c r="AC364" t="str">
        <f t="shared" si="57"/>
        <v/>
      </c>
    </row>
    <row r="365" spans="20:29" x14ac:dyDescent="0.3">
      <c r="T365" s="29">
        <f t="shared" si="50"/>
        <v>0</v>
      </c>
      <c r="U365" s="29">
        <f t="shared" si="51"/>
        <v>0</v>
      </c>
      <c r="V365" s="29">
        <f t="shared" si="52"/>
        <v>0</v>
      </c>
      <c r="W365" s="29" t="str">
        <f t="shared" si="58"/>
        <v/>
      </c>
      <c r="X365" s="29" t="str">
        <f t="shared" si="53"/>
        <v/>
      </c>
      <c r="Y365" s="32" t="str">
        <f t="shared" si="54"/>
        <v/>
      </c>
      <c r="Z365" s="29" t="str">
        <f t="shared" si="55"/>
        <v/>
      </c>
      <c r="AA365" s="29" t="str">
        <f t="shared" si="59"/>
        <v/>
      </c>
      <c r="AB365" s="29" t="str">
        <f t="shared" si="56"/>
        <v/>
      </c>
      <c r="AC365" t="str">
        <f t="shared" si="57"/>
        <v/>
      </c>
    </row>
    <row r="366" spans="20:29" x14ac:dyDescent="0.3">
      <c r="T366" s="29">
        <f t="shared" si="50"/>
        <v>0</v>
      </c>
      <c r="U366" s="29">
        <f t="shared" si="51"/>
        <v>0</v>
      </c>
      <c r="V366" s="29">
        <f t="shared" si="52"/>
        <v>0</v>
      </c>
      <c r="W366" s="29" t="str">
        <f t="shared" si="58"/>
        <v/>
      </c>
      <c r="X366" s="29" t="str">
        <f t="shared" si="53"/>
        <v/>
      </c>
      <c r="Y366" s="32" t="str">
        <f t="shared" si="54"/>
        <v/>
      </c>
      <c r="Z366" s="29" t="str">
        <f t="shared" si="55"/>
        <v/>
      </c>
      <c r="AA366" s="29" t="str">
        <f t="shared" si="59"/>
        <v/>
      </c>
      <c r="AB366" s="29" t="str">
        <f t="shared" si="56"/>
        <v/>
      </c>
      <c r="AC366" t="str">
        <f t="shared" si="57"/>
        <v/>
      </c>
    </row>
    <row r="367" spans="20:29" x14ac:dyDescent="0.3">
      <c r="T367" s="29">
        <f t="shared" si="50"/>
        <v>0</v>
      </c>
      <c r="U367" s="29">
        <f t="shared" si="51"/>
        <v>0</v>
      </c>
      <c r="V367" s="29">
        <f t="shared" si="52"/>
        <v>0</v>
      </c>
      <c r="W367" s="29" t="str">
        <f t="shared" si="58"/>
        <v/>
      </c>
      <c r="X367" s="29" t="str">
        <f t="shared" si="53"/>
        <v/>
      </c>
      <c r="Y367" s="32" t="str">
        <f t="shared" si="54"/>
        <v/>
      </c>
      <c r="Z367" s="29" t="str">
        <f t="shared" si="55"/>
        <v/>
      </c>
      <c r="AA367" s="29" t="str">
        <f t="shared" si="59"/>
        <v/>
      </c>
      <c r="AB367" s="29" t="str">
        <f t="shared" si="56"/>
        <v/>
      </c>
      <c r="AC367" t="str">
        <f t="shared" si="57"/>
        <v/>
      </c>
    </row>
    <row r="368" spans="20:29" x14ac:dyDescent="0.3">
      <c r="T368" s="29">
        <f t="shared" si="50"/>
        <v>0</v>
      </c>
      <c r="U368" s="29">
        <f t="shared" si="51"/>
        <v>0</v>
      </c>
      <c r="V368" s="29">
        <f t="shared" si="52"/>
        <v>0</v>
      </c>
      <c r="W368" s="29" t="str">
        <f t="shared" si="58"/>
        <v/>
      </c>
      <c r="X368" s="29" t="str">
        <f t="shared" si="53"/>
        <v/>
      </c>
      <c r="Y368" s="32" t="str">
        <f t="shared" si="54"/>
        <v/>
      </c>
      <c r="Z368" s="29" t="str">
        <f t="shared" si="55"/>
        <v/>
      </c>
      <c r="AA368" s="29" t="str">
        <f t="shared" si="59"/>
        <v/>
      </c>
      <c r="AB368" s="29" t="str">
        <f t="shared" si="56"/>
        <v/>
      </c>
      <c r="AC368" t="str">
        <f t="shared" si="57"/>
        <v/>
      </c>
    </row>
    <row r="369" spans="20:29" x14ac:dyDescent="0.3">
      <c r="T369" s="29">
        <f t="shared" si="50"/>
        <v>0</v>
      </c>
      <c r="U369" s="29">
        <f t="shared" si="51"/>
        <v>0</v>
      </c>
      <c r="V369" s="29">
        <f t="shared" si="52"/>
        <v>0</v>
      </c>
      <c r="W369" s="29" t="str">
        <f t="shared" si="58"/>
        <v/>
      </c>
      <c r="X369" s="29" t="str">
        <f t="shared" si="53"/>
        <v/>
      </c>
      <c r="Y369" s="32" t="str">
        <f t="shared" si="54"/>
        <v/>
      </c>
      <c r="Z369" s="29" t="str">
        <f t="shared" si="55"/>
        <v/>
      </c>
      <c r="AA369" s="29" t="str">
        <f t="shared" si="59"/>
        <v/>
      </c>
      <c r="AB369" s="29" t="str">
        <f t="shared" si="56"/>
        <v/>
      </c>
      <c r="AC369" t="str">
        <f t="shared" si="57"/>
        <v/>
      </c>
    </row>
    <row r="370" spans="20:29" x14ac:dyDescent="0.3">
      <c r="T370" s="29">
        <f t="shared" si="50"/>
        <v>0</v>
      </c>
      <c r="U370" s="29">
        <f t="shared" si="51"/>
        <v>0</v>
      </c>
      <c r="V370" s="29">
        <f t="shared" si="52"/>
        <v>0</v>
      </c>
      <c r="W370" s="29" t="str">
        <f t="shared" si="58"/>
        <v/>
      </c>
      <c r="X370" s="29" t="str">
        <f t="shared" si="53"/>
        <v/>
      </c>
      <c r="Y370" s="32" t="str">
        <f t="shared" si="54"/>
        <v/>
      </c>
      <c r="Z370" s="29" t="str">
        <f t="shared" si="55"/>
        <v/>
      </c>
      <c r="AA370" s="29" t="str">
        <f t="shared" si="59"/>
        <v/>
      </c>
      <c r="AB370" s="29" t="str">
        <f t="shared" si="56"/>
        <v/>
      </c>
      <c r="AC370" t="str">
        <f t="shared" si="57"/>
        <v/>
      </c>
    </row>
    <row r="371" spans="20:29" x14ac:dyDescent="0.3">
      <c r="T371" s="29">
        <f t="shared" si="50"/>
        <v>0</v>
      </c>
      <c r="U371" s="29">
        <f t="shared" si="51"/>
        <v>0</v>
      </c>
      <c r="V371" s="29">
        <f t="shared" si="52"/>
        <v>0</v>
      </c>
      <c r="W371" s="29" t="str">
        <f t="shared" si="58"/>
        <v/>
      </c>
      <c r="X371" s="29" t="str">
        <f t="shared" si="53"/>
        <v/>
      </c>
      <c r="Y371" s="32" t="str">
        <f t="shared" si="54"/>
        <v/>
      </c>
      <c r="Z371" s="29" t="str">
        <f t="shared" si="55"/>
        <v/>
      </c>
      <c r="AA371" s="29" t="str">
        <f t="shared" si="59"/>
        <v/>
      </c>
      <c r="AB371" s="29" t="str">
        <f t="shared" si="56"/>
        <v/>
      </c>
      <c r="AC371" t="str">
        <f t="shared" si="57"/>
        <v/>
      </c>
    </row>
    <row r="372" spans="20:29" x14ac:dyDescent="0.3">
      <c r="T372" s="29">
        <f t="shared" si="50"/>
        <v>0</v>
      </c>
      <c r="U372" s="29">
        <f t="shared" si="51"/>
        <v>0</v>
      </c>
      <c r="V372" s="29">
        <f t="shared" si="52"/>
        <v>0</v>
      </c>
      <c r="W372" s="29" t="str">
        <f t="shared" si="58"/>
        <v/>
      </c>
      <c r="X372" s="29" t="str">
        <f t="shared" si="53"/>
        <v/>
      </c>
      <c r="Y372" s="32" t="str">
        <f t="shared" si="54"/>
        <v/>
      </c>
      <c r="Z372" s="29" t="str">
        <f t="shared" si="55"/>
        <v/>
      </c>
      <c r="AA372" s="29" t="str">
        <f t="shared" si="59"/>
        <v/>
      </c>
      <c r="AB372" s="29" t="str">
        <f t="shared" si="56"/>
        <v/>
      </c>
      <c r="AC372" t="str">
        <f t="shared" si="57"/>
        <v/>
      </c>
    </row>
    <row r="373" spans="20:29" x14ac:dyDescent="0.3">
      <c r="T373" s="29">
        <f t="shared" si="50"/>
        <v>0</v>
      </c>
      <c r="U373" s="29">
        <f t="shared" si="51"/>
        <v>0</v>
      </c>
      <c r="V373" s="29">
        <f t="shared" si="52"/>
        <v>0</v>
      </c>
      <c r="W373" s="29" t="str">
        <f t="shared" si="58"/>
        <v/>
      </c>
      <c r="X373" s="29" t="str">
        <f t="shared" si="53"/>
        <v/>
      </c>
      <c r="Y373" s="32" t="str">
        <f t="shared" si="54"/>
        <v/>
      </c>
      <c r="Z373" s="29" t="str">
        <f t="shared" si="55"/>
        <v/>
      </c>
      <c r="AA373" s="29" t="str">
        <f t="shared" si="59"/>
        <v/>
      </c>
      <c r="AB373" s="29" t="str">
        <f t="shared" si="56"/>
        <v/>
      </c>
      <c r="AC373" t="str">
        <f t="shared" si="57"/>
        <v/>
      </c>
    </row>
    <row r="374" spans="20:29" x14ac:dyDescent="0.3">
      <c r="T374" s="29">
        <f t="shared" si="50"/>
        <v>0</v>
      </c>
      <c r="U374" s="29">
        <f t="shared" si="51"/>
        <v>0</v>
      </c>
      <c r="V374" s="29">
        <f t="shared" si="52"/>
        <v>0</v>
      </c>
      <c r="W374" s="29" t="str">
        <f t="shared" si="58"/>
        <v/>
      </c>
      <c r="X374" s="29" t="str">
        <f t="shared" si="53"/>
        <v/>
      </c>
      <c r="Y374" s="32" t="str">
        <f t="shared" si="54"/>
        <v/>
      </c>
      <c r="Z374" s="29" t="str">
        <f t="shared" si="55"/>
        <v/>
      </c>
      <c r="AA374" s="29" t="str">
        <f t="shared" si="59"/>
        <v/>
      </c>
      <c r="AB374" s="29" t="str">
        <f t="shared" si="56"/>
        <v/>
      </c>
      <c r="AC374" t="str">
        <f t="shared" si="57"/>
        <v/>
      </c>
    </row>
    <row r="375" spans="20:29" x14ac:dyDescent="0.3">
      <c r="T375" s="29">
        <f t="shared" si="50"/>
        <v>0</v>
      </c>
      <c r="U375" s="29">
        <f t="shared" si="51"/>
        <v>0</v>
      </c>
      <c r="V375" s="29">
        <f t="shared" si="52"/>
        <v>0</v>
      </c>
      <c r="W375" s="29" t="str">
        <f t="shared" si="58"/>
        <v/>
      </c>
      <c r="X375" s="29" t="str">
        <f t="shared" si="53"/>
        <v/>
      </c>
      <c r="Y375" s="32" t="str">
        <f t="shared" si="54"/>
        <v/>
      </c>
      <c r="Z375" s="29" t="str">
        <f t="shared" si="55"/>
        <v/>
      </c>
      <c r="AA375" s="29" t="str">
        <f t="shared" si="59"/>
        <v/>
      </c>
      <c r="AB375" s="29" t="str">
        <f t="shared" si="56"/>
        <v/>
      </c>
      <c r="AC375" t="str">
        <f t="shared" si="57"/>
        <v/>
      </c>
    </row>
    <row r="376" spans="20:29" x14ac:dyDescent="0.3">
      <c r="T376" s="29">
        <f t="shared" si="50"/>
        <v>0</v>
      </c>
      <c r="U376" s="29">
        <f t="shared" si="51"/>
        <v>0</v>
      </c>
      <c r="V376" s="29">
        <f t="shared" si="52"/>
        <v>0</v>
      </c>
      <c r="W376" s="29" t="str">
        <f t="shared" si="58"/>
        <v/>
      </c>
      <c r="X376" s="29" t="str">
        <f t="shared" si="53"/>
        <v/>
      </c>
      <c r="Y376" s="32" t="str">
        <f t="shared" si="54"/>
        <v/>
      </c>
      <c r="Z376" s="29" t="str">
        <f t="shared" si="55"/>
        <v/>
      </c>
      <c r="AA376" s="29" t="str">
        <f t="shared" si="59"/>
        <v/>
      </c>
      <c r="AB376" s="29" t="str">
        <f t="shared" si="56"/>
        <v/>
      </c>
      <c r="AC376" t="str">
        <f t="shared" si="57"/>
        <v/>
      </c>
    </row>
    <row r="377" spans="20:29" x14ac:dyDescent="0.3">
      <c r="T377" s="29">
        <f t="shared" si="50"/>
        <v>0</v>
      </c>
      <c r="U377" s="29">
        <f t="shared" si="51"/>
        <v>0</v>
      </c>
      <c r="V377" s="29">
        <f t="shared" si="52"/>
        <v>0</v>
      </c>
      <c r="W377" s="29" t="str">
        <f t="shared" si="58"/>
        <v/>
      </c>
      <c r="X377" s="29" t="str">
        <f t="shared" si="53"/>
        <v/>
      </c>
      <c r="Y377" s="32" t="str">
        <f t="shared" si="54"/>
        <v/>
      </c>
      <c r="Z377" s="29" t="str">
        <f t="shared" si="55"/>
        <v/>
      </c>
      <c r="AA377" s="29" t="str">
        <f t="shared" si="59"/>
        <v/>
      </c>
      <c r="AB377" s="29" t="str">
        <f t="shared" si="56"/>
        <v/>
      </c>
      <c r="AC377" t="str">
        <f t="shared" si="57"/>
        <v/>
      </c>
    </row>
    <row r="378" spans="20:29" x14ac:dyDescent="0.3">
      <c r="T378" s="29">
        <f t="shared" si="50"/>
        <v>0</v>
      </c>
      <c r="U378" s="29">
        <f t="shared" si="51"/>
        <v>0</v>
      </c>
      <c r="V378" s="29">
        <f t="shared" si="52"/>
        <v>0</v>
      </c>
      <c r="W378" s="29" t="str">
        <f t="shared" si="58"/>
        <v/>
      </c>
      <c r="X378" s="29" t="str">
        <f t="shared" si="53"/>
        <v/>
      </c>
      <c r="Y378" s="32" t="str">
        <f t="shared" si="54"/>
        <v/>
      </c>
      <c r="Z378" s="29" t="str">
        <f t="shared" si="55"/>
        <v/>
      </c>
      <c r="AA378" s="29" t="str">
        <f t="shared" si="59"/>
        <v/>
      </c>
      <c r="AB378" s="29" t="str">
        <f t="shared" si="56"/>
        <v/>
      </c>
      <c r="AC378" t="str">
        <f t="shared" si="57"/>
        <v/>
      </c>
    </row>
    <row r="379" spans="20:29" x14ac:dyDescent="0.3">
      <c r="T379" s="29">
        <f t="shared" si="50"/>
        <v>0</v>
      </c>
      <c r="U379" s="29">
        <f t="shared" si="51"/>
        <v>0</v>
      </c>
      <c r="V379" s="29">
        <f t="shared" si="52"/>
        <v>0</v>
      </c>
      <c r="W379" s="29" t="str">
        <f t="shared" si="58"/>
        <v/>
      </c>
      <c r="X379" s="29" t="str">
        <f t="shared" si="53"/>
        <v/>
      </c>
      <c r="Y379" s="32" t="str">
        <f t="shared" si="54"/>
        <v/>
      </c>
      <c r="Z379" s="29" t="str">
        <f t="shared" si="55"/>
        <v/>
      </c>
      <c r="AA379" s="29" t="str">
        <f t="shared" si="59"/>
        <v/>
      </c>
      <c r="AB379" s="29" t="str">
        <f t="shared" si="56"/>
        <v/>
      </c>
      <c r="AC379" t="str">
        <f t="shared" si="57"/>
        <v/>
      </c>
    </row>
    <row r="380" spans="20:29" x14ac:dyDescent="0.3">
      <c r="T380" s="29">
        <f t="shared" si="50"/>
        <v>0</v>
      </c>
      <c r="U380" s="29">
        <f t="shared" si="51"/>
        <v>0</v>
      </c>
      <c r="V380" s="29">
        <f t="shared" si="52"/>
        <v>0</v>
      </c>
      <c r="W380" s="29" t="str">
        <f t="shared" si="58"/>
        <v/>
      </c>
      <c r="X380" s="29" t="str">
        <f t="shared" si="53"/>
        <v/>
      </c>
      <c r="Y380" s="32" t="str">
        <f t="shared" si="54"/>
        <v/>
      </c>
      <c r="Z380" s="29" t="str">
        <f t="shared" si="55"/>
        <v/>
      </c>
      <c r="AA380" s="29" t="str">
        <f t="shared" si="59"/>
        <v/>
      </c>
      <c r="AB380" s="29" t="str">
        <f t="shared" si="56"/>
        <v/>
      </c>
      <c r="AC380" t="str">
        <f t="shared" si="57"/>
        <v/>
      </c>
    </row>
    <row r="381" spans="20:29" x14ac:dyDescent="0.3">
      <c r="T381" s="29">
        <f t="shared" si="50"/>
        <v>0</v>
      </c>
      <c r="U381" s="29">
        <f t="shared" si="51"/>
        <v>0</v>
      </c>
      <c r="V381" s="29">
        <f t="shared" si="52"/>
        <v>0</v>
      </c>
      <c r="W381" s="29" t="str">
        <f t="shared" si="58"/>
        <v/>
      </c>
      <c r="X381" s="29" t="str">
        <f t="shared" si="53"/>
        <v/>
      </c>
      <c r="Y381" s="32" t="str">
        <f t="shared" si="54"/>
        <v/>
      </c>
      <c r="Z381" s="29" t="str">
        <f t="shared" si="55"/>
        <v/>
      </c>
      <c r="AA381" s="29" t="str">
        <f t="shared" si="59"/>
        <v/>
      </c>
      <c r="AB381" s="29" t="str">
        <f t="shared" si="56"/>
        <v/>
      </c>
      <c r="AC381" t="str">
        <f t="shared" si="57"/>
        <v/>
      </c>
    </row>
    <row r="382" spans="20:29" x14ac:dyDescent="0.3">
      <c r="T382" s="29">
        <f t="shared" si="50"/>
        <v>0</v>
      </c>
      <c r="U382" s="29">
        <f t="shared" si="51"/>
        <v>0</v>
      </c>
      <c r="V382" s="29">
        <f t="shared" si="52"/>
        <v>0</v>
      </c>
      <c r="W382" s="29" t="str">
        <f t="shared" si="58"/>
        <v/>
      </c>
      <c r="X382" s="29" t="str">
        <f t="shared" si="53"/>
        <v/>
      </c>
      <c r="Y382" s="32" t="str">
        <f t="shared" si="54"/>
        <v/>
      </c>
      <c r="Z382" s="29" t="str">
        <f t="shared" si="55"/>
        <v/>
      </c>
      <c r="AA382" s="29" t="str">
        <f t="shared" si="59"/>
        <v/>
      </c>
      <c r="AB382" s="29" t="str">
        <f t="shared" si="56"/>
        <v/>
      </c>
      <c r="AC382" t="str">
        <f t="shared" si="57"/>
        <v/>
      </c>
    </row>
    <row r="383" spans="20:29" x14ac:dyDescent="0.3">
      <c r="T383" s="29">
        <f t="shared" si="50"/>
        <v>0</v>
      </c>
      <c r="U383" s="29">
        <f t="shared" si="51"/>
        <v>0</v>
      </c>
      <c r="V383" s="29">
        <f t="shared" si="52"/>
        <v>0</v>
      </c>
      <c r="W383" s="29" t="str">
        <f t="shared" si="58"/>
        <v/>
      </c>
      <c r="X383" s="29" t="str">
        <f t="shared" si="53"/>
        <v/>
      </c>
      <c r="Y383" s="32" t="str">
        <f t="shared" si="54"/>
        <v/>
      </c>
      <c r="Z383" s="29" t="str">
        <f t="shared" si="55"/>
        <v/>
      </c>
      <c r="AA383" s="29" t="str">
        <f t="shared" si="59"/>
        <v/>
      </c>
      <c r="AB383" s="29" t="str">
        <f t="shared" si="56"/>
        <v/>
      </c>
      <c r="AC383" t="str">
        <f t="shared" si="57"/>
        <v/>
      </c>
    </row>
    <row r="384" spans="20:29" x14ac:dyDescent="0.3">
      <c r="T384" s="29">
        <f t="shared" si="50"/>
        <v>0</v>
      </c>
      <c r="U384" s="29">
        <f t="shared" si="51"/>
        <v>0</v>
      </c>
      <c r="V384" s="29">
        <f t="shared" si="52"/>
        <v>0</v>
      </c>
      <c r="W384" s="29" t="str">
        <f t="shared" si="58"/>
        <v/>
      </c>
      <c r="X384" s="29" t="str">
        <f t="shared" si="53"/>
        <v/>
      </c>
      <c r="Y384" s="32" t="str">
        <f t="shared" si="54"/>
        <v/>
      </c>
      <c r="Z384" s="29" t="str">
        <f t="shared" si="55"/>
        <v/>
      </c>
      <c r="AA384" s="29" t="str">
        <f t="shared" si="59"/>
        <v/>
      </c>
      <c r="AB384" s="29" t="str">
        <f t="shared" si="56"/>
        <v/>
      </c>
      <c r="AC384" t="str">
        <f t="shared" si="57"/>
        <v/>
      </c>
    </row>
    <row r="385" spans="20:29" x14ac:dyDescent="0.3">
      <c r="T385" s="29">
        <f t="shared" si="50"/>
        <v>0</v>
      </c>
      <c r="U385" s="29">
        <f t="shared" si="51"/>
        <v>0</v>
      </c>
      <c r="V385" s="29">
        <f t="shared" si="52"/>
        <v>0</v>
      </c>
      <c r="W385" s="29" t="str">
        <f t="shared" si="58"/>
        <v/>
      </c>
      <c r="X385" s="29" t="str">
        <f t="shared" si="53"/>
        <v/>
      </c>
      <c r="Y385" s="32" t="str">
        <f t="shared" si="54"/>
        <v/>
      </c>
      <c r="Z385" s="29" t="str">
        <f t="shared" si="55"/>
        <v/>
      </c>
      <c r="AA385" s="29" t="str">
        <f t="shared" si="59"/>
        <v/>
      </c>
      <c r="AB385" s="29" t="str">
        <f t="shared" si="56"/>
        <v/>
      </c>
      <c r="AC385" t="str">
        <f t="shared" si="57"/>
        <v/>
      </c>
    </row>
    <row r="386" spans="20:29" x14ac:dyDescent="0.3">
      <c r="T386" s="29">
        <f t="shared" si="50"/>
        <v>0</v>
      </c>
      <c r="U386" s="29">
        <f t="shared" si="51"/>
        <v>0</v>
      </c>
      <c r="V386" s="29">
        <f t="shared" si="52"/>
        <v>0</v>
      </c>
      <c r="W386" s="29" t="str">
        <f t="shared" si="58"/>
        <v/>
      </c>
      <c r="X386" s="29" t="str">
        <f t="shared" si="53"/>
        <v/>
      </c>
      <c r="Y386" s="32" t="str">
        <f t="shared" si="54"/>
        <v/>
      </c>
      <c r="Z386" s="29" t="str">
        <f t="shared" si="55"/>
        <v/>
      </c>
      <c r="AA386" s="29" t="str">
        <f t="shared" si="59"/>
        <v/>
      </c>
      <c r="AB386" s="29" t="str">
        <f t="shared" si="56"/>
        <v/>
      </c>
      <c r="AC386" t="str">
        <f t="shared" si="57"/>
        <v/>
      </c>
    </row>
    <row r="387" spans="20:29" x14ac:dyDescent="0.3">
      <c r="T387" s="29">
        <f t="shared" ref="T387:T450" si="60">+O387/1.08</f>
        <v>0</v>
      </c>
      <c r="U387" s="29">
        <f t="shared" ref="U387:U450" si="61">+T387*N387</f>
        <v>0</v>
      </c>
      <c r="V387" s="29">
        <f t="shared" ref="V387:V450" si="62">+SUMIF(B:B,B387,U:U)</f>
        <v>0</v>
      </c>
      <c r="W387" s="29" t="str">
        <f t="shared" si="58"/>
        <v/>
      </c>
      <c r="X387" s="29" t="str">
        <f t="shared" ref="X387:X450" si="63">+IF(W387&lt;&gt;0,W387,"")</f>
        <v/>
      </c>
      <c r="Y387" s="32" t="str">
        <f t="shared" ref="Y387:Y450" si="64">+IF(X387&lt;&gt;"",8,"")</f>
        <v/>
      </c>
      <c r="Z387" s="29" t="str">
        <f t="shared" ref="Z387:Z450" si="65">+IF(X387&lt;&gt;"","VND","")</f>
        <v/>
      </c>
      <c r="AA387" s="29" t="str">
        <f t="shared" si="59"/>
        <v/>
      </c>
      <c r="AB387" s="29" t="str">
        <f t="shared" ref="AB387:AB450" si="66">+IF(AA387&lt;&gt;0,AA387,"")</f>
        <v/>
      </c>
      <c r="AC387" t="str">
        <f t="shared" ref="AC387:AC450" si="67">+IF(X387&lt;&gt;"","TM/CK","")</f>
        <v/>
      </c>
    </row>
    <row r="388" spans="20:29" x14ac:dyDescent="0.3">
      <c r="T388" s="29">
        <f t="shared" si="60"/>
        <v>0</v>
      </c>
      <c r="U388" s="29">
        <f t="shared" si="61"/>
        <v>0</v>
      </c>
      <c r="V388" s="29">
        <f t="shared" si="62"/>
        <v>0</v>
      </c>
      <c r="W388" s="29" t="str">
        <f t="shared" ref="W388:W451" si="68">+IF(V388=V387,"",V388)</f>
        <v/>
      </c>
      <c r="X388" s="29" t="str">
        <f t="shared" si="63"/>
        <v/>
      </c>
      <c r="Y388" s="32" t="str">
        <f t="shared" si="64"/>
        <v/>
      </c>
      <c r="Z388" s="29" t="str">
        <f t="shared" si="65"/>
        <v/>
      </c>
      <c r="AA388" s="29" t="str">
        <f t="shared" ref="AA388:AA451" si="69">+IF(B388=B387,"",E388)</f>
        <v/>
      </c>
      <c r="AB388" s="29" t="str">
        <f t="shared" si="66"/>
        <v/>
      </c>
      <c r="AC388" t="str">
        <f t="shared" si="67"/>
        <v/>
      </c>
    </row>
    <row r="389" spans="20:29" x14ac:dyDescent="0.3">
      <c r="T389" s="29">
        <f t="shared" si="60"/>
        <v>0</v>
      </c>
      <c r="U389" s="29">
        <f t="shared" si="61"/>
        <v>0</v>
      </c>
      <c r="V389" s="29">
        <f t="shared" si="62"/>
        <v>0</v>
      </c>
      <c r="W389" s="29" t="str">
        <f t="shared" si="68"/>
        <v/>
      </c>
      <c r="X389" s="29" t="str">
        <f t="shared" si="63"/>
        <v/>
      </c>
      <c r="Y389" s="32" t="str">
        <f t="shared" si="64"/>
        <v/>
      </c>
      <c r="Z389" s="29" t="str">
        <f t="shared" si="65"/>
        <v/>
      </c>
      <c r="AA389" s="29" t="str">
        <f t="shared" si="69"/>
        <v/>
      </c>
      <c r="AB389" s="29" t="str">
        <f t="shared" si="66"/>
        <v/>
      </c>
      <c r="AC389" t="str">
        <f t="shared" si="67"/>
        <v/>
      </c>
    </row>
    <row r="390" spans="20:29" x14ac:dyDescent="0.3">
      <c r="T390" s="29">
        <f t="shared" si="60"/>
        <v>0</v>
      </c>
      <c r="U390" s="29">
        <f t="shared" si="61"/>
        <v>0</v>
      </c>
      <c r="V390" s="29">
        <f t="shared" si="62"/>
        <v>0</v>
      </c>
      <c r="W390" s="29" t="str">
        <f t="shared" si="68"/>
        <v/>
      </c>
      <c r="X390" s="29" t="str">
        <f t="shared" si="63"/>
        <v/>
      </c>
      <c r="Y390" s="32" t="str">
        <f t="shared" si="64"/>
        <v/>
      </c>
      <c r="Z390" s="29" t="str">
        <f t="shared" si="65"/>
        <v/>
      </c>
      <c r="AA390" s="29" t="str">
        <f t="shared" si="69"/>
        <v/>
      </c>
      <c r="AB390" s="29" t="str">
        <f t="shared" si="66"/>
        <v/>
      </c>
      <c r="AC390" t="str">
        <f t="shared" si="67"/>
        <v/>
      </c>
    </row>
    <row r="391" spans="20:29" x14ac:dyDescent="0.3">
      <c r="T391" s="29">
        <f t="shared" si="60"/>
        <v>0</v>
      </c>
      <c r="U391" s="29">
        <f t="shared" si="61"/>
        <v>0</v>
      </c>
      <c r="V391" s="29">
        <f t="shared" si="62"/>
        <v>0</v>
      </c>
      <c r="W391" s="29" t="str">
        <f t="shared" si="68"/>
        <v/>
      </c>
      <c r="X391" s="29" t="str">
        <f t="shared" si="63"/>
        <v/>
      </c>
      <c r="Y391" s="32" t="str">
        <f t="shared" si="64"/>
        <v/>
      </c>
      <c r="Z391" s="29" t="str">
        <f t="shared" si="65"/>
        <v/>
      </c>
      <c r="AA391" s="29" t="str">
        <f t="shared" si="69"/>
        <v/>
      </c>
      <c r="AB391" s="29" t="str">
        <f t="shared" si="66"/>
        <v/>
      </c>
      <c r="AC391" t="str">
        <f t="shared" si="67"/>
        <v/>
      </c>
    </row>
    <row r="392" spans="20:29" x14ac:dyDescent="0.3">
      <c r="T392" s="29">
        <f t="shared" si="60"/>
        <v>0</v>
      </c>
      <c r="U392" s="29">
        <f t="shared" si="61"/>
        <v>0</v>
      </c>
      <c r="V392" s="29">
        <f t="shared" si="62"/>
        <v>0</v>
      </c>
      <c r="W392" s="29" t="str">
        <f t="shared" si="68"/>
        <v/>
      </c>
      <c r="X392" s="29" t="str">
        <f t="shared" si="63"/>
        <v/>
      </c>
      <c r="Y392" s="32" t="str">
        <f t="shared" si="64"/>
        <v/>
      </c>
      <c r="Z392" s="29" t="str">
        <f t="shared" si="65"/>
        <v/>
      </c>
      <c r="AA392" s="29" t="str">
        <f t="shared" si="69"/>
        <v/>
      </c>
      <c r="AB392" s="29" t="str">
        <f t="shared" si="66"/>
        <v/>
      </c>
      <c r="AC392" t="str">
        <f t="shared" si="67"/>
        <v/>
      </c>
    </row>
    <row r="393" spans="20:29" x14ac:dyDescent="0.3">
      <c r="T393" s="29">
        <f t="shared" si="60"/>
        <v>0</v>
      </c>
      <c r="U393" s="29">
        <f t="shared" si="61"/>
        <v>0</v>
      </c>
      <c r="V393" s="29">
        <f t="shared" si="62"/>
        <v>0</v>
      </c>
      <c r="W393" s="29" t="str">
        <f t="shared" si="68"/>
        <v/>
      </c>
      <c r="X393" s="29" t="str">
        <f t="shared" si="63"/>
        <v/>
      </c>
      <c r="Y393" s="32" t="str">
        <f t="shared" si="64"/>
        <v/>
      </c>
      <c r="Z393" s="29" t="str">
        <f t="shared" si="65"/>
        <v/>
      </c>
      <c r="AA393" s="29" t="str">
        <f t="shared" si="69"/>
        <v/>
      </c>
      <c r="AB393" s="29" t="str">
        <f t="shared" si="66"/>
        <v/>
      </c>
      <c r="AC393" t="str">
        <f t="shared" si="67"/>
        <v/>
      </c>
    </row>
    <row r="394" spans="20:29" x14ac:dyDescent="0.3">
      <c r="T394" s="29">
        <f t="shared" si="60"/>
        <v>0</v>
      </c>
      <c r="U394" s="29">
        <f t="shared" si="61"/>
        <v>0</v>
      </c>
      <c r="V394" s="29">
        <f t="shared" si="62"/>
        <v>0</v>
      </c>
      <c r="W394" s="29" t="str">
        <f t="shared" si="68"/>
        <v/>
      </c>
      <c r="X394" s="29" t="str">
        <f t="shared" si="63"/>
        <v/>
      </c>
      <c r="Y394" s="32" t="str">
        <f t="shared" si="64"/>
        <v/>
      </c>
      <c r="Z394" s="29" t="str">
        <f t="shared" si="65"/>
        <v/>
      </c>
      <c r="AA394" s="29" t="str">
        <f t="shared" si="69"/>
        <v/>
      </c>
      <c r="AB394" s="29" t="str">
        <f t="shared" si="66"/>
        <v/>
      </c>
      <c r="AC394" t="str">
        <f t="shared" si="67"/>
        <v/>
      </c>
    </row>
    <row r="395" spans="20:29" x14ac:dyDescent="0.3">
      <c r="T395" s="29">
        <f t="shared" si="60"/>
        <v>0</v>
      </c>
      <c r="U395" s="29">
        <f t="shared" si="61"/>
        <v>0</v>
      </c>
      <c r="V395" s="29">
        <f t="shared" si="62"/>
        <v>0</v>
      </c>
      <c r="W395" s="29" t="str">
        <f t="shared" si="68"/>
        <v/>
      </c>
      <c r="X395" s="29" t="str">
        <f t="shared" si="63"/>
        <v/>
      </c>
      <c r="Y395" s="32" t="str">
        <f t="shared" si="64"/>
        <v/>
      </c>
      <c r="Z395" s="29" t="str">
        <f t="shared" si="65"/>
        <v/>
      </c>
      <c r="AA395" s="29" t="str">
        <f t="shared" si="69"/>
        <v/>
      </c>
      <c r="AB395" s="29" t="str">
        <f t="shared" si="66"/>
        <v/>
      </c>
      <c r="AC395" t="str">
        <f t="shared" si="67"/>
        <v/>
      </c>
    </row>
    <row r="396" spans="20:29" x14ac:dyDescent="0.3">
      <c r="T396" s="29">
        <f t="shared" si="60"/>
        <v>0</v>
      </c>
      <c r="U396" s="29">
        <f t="shared" si="61"/>
        <v>0</v>
      </c>
      <c r="V396" s="29">
        <f t="shared" si="62"/>
        <v>0</v>
      </c>
      <c r="W396" s="29" t="str">
        <f t="shared" si="68"/>
        <v/>
      </c>
      <c r="X396" s="29" t="str">
        <f t="shared" si="63"/>
        <v/>
      </c>
      <c r="Y396" s="32" t="str">
        <f t="shared" si="64"/>
        <v/>
      </c>
      <c r="Z396" s="29" t="str">
        <f t="shared" si="65"/>
        <v/>
      </c>
      <c r="AA396" s="29" t="str">
        <f t="shared" si="69"/>
        <v/>
      </c>
      <c r="AB396" s="29" t="str">
        <f t="shared" si="66"/>
        <v/>
      </c>
      <c r="AC396" t="str">
        <f t="shared" si="67"/>
        <v/>
      </c>
    </row>
    <row r="397" spans="20:29" x14ac:dyDescent="0.3">
      <c r="T397" s="29">
        <f t="shared" si="60"/>
        <v>0</v>
      </c>
      <c r="U397" s="29">
        <f t="shared" si="61"/>
        <v>0</v>
      </c>
      <c r="V397" s="29">
        <f t="shared" si="62"/>
        <v>0</v>
      </c>
      <c r="W397" s="29" t="str">
        <f t="shared" si="68"/>
        <v/>
      </c>
      <c r="X397" s="29" t="str">
        <f t="shared" si="63"/>
        <v/>
      </c>
      <c r="Y397" s="32" t="str">
        <f t="shared" si="64"/>
        <v/>
      </c>
      <c r="Z397" s="29" t="str">
        <f t="shared" si="65"/>
        <v/>
      </c>
      <c r="AA397" s="29" t="str">
        <f t="shared" si="69"/>
        <v/>
      </c>
      <c r="AB397" s="29" t="str">
        <f t="shared" si="66"/>
        <v/>
      </c>
      <c r="AC397" t="str">
        <f t="shared" si="67"/>
        <v/>
      </c>
    </row>
    <row r="398" spans="20:29" x14ac:dyDescent="0.3">
      <c r="T398" s="29">
        <f t="shared" si="60"/>
        <v>0</v>
      </c>
      <c r="U398" s="29">
        <f t="shared" si="61"/>
        <v>0</v>
      </c>
      <c r="V398" s="29">
        <f t="shared" si="62"/>
        <v>0</v>
      </c>
      <c r="W398" s="29" t="str">
        <f t="shared" si="68"/>
        <v/>
      </c>
      <c r="X398" s="29" t="str">
        <f t="shared" si="63"/>
        <v/>
      </c>
      <c r="Y398" s="32" t="str">
        <f t="shared" si="64"/>
        <v/>
      </c>
      <c r="Z398" s="29" t="str">
        <f t="shared" si="65"/>
        <v/>
      </c>
      <c r="AA398" s="29" t="str">
        <f t="shared" si="69"/>
        <v/>
      </c>
      <c r="AB398" s="29" t="str">
        <f t="shared" si="66"/>
        <v/>
      </c>
      <c r="AC398" t="str">
        <f t="shared" si="67"/>
        <v/>
      </c>
    </row>
    <row r="399" spans="20:29" x14ac:dyDescent="0.3">
      <c r="T399" s="29">
        <f t="shared" si="60"/>
        <v>0</v>
      </c>
      <c r="U399" s="29">
        <f t="shared" si="61"/>
        <v>0</v>
      </c>
      <c r="V399" s="29">
        <f t="shared" si="62"/>
        <v>0</v>
      </c>
      <c r="W399" s="29" t="str">
        <f t="shared" si="68"/>
        <v/>
      </c>
      <c r="X399" s="29" t="str">
        <f t="shared" si="63"/>
        <v/>
      </c>
      <c r="Y399" s="32" t="str">
        <f t="shared" si="64"/>
        <v/>
      </c>
      <c r="Z399" s="29" t="str">
        <f t="shared" si="65"/>
        <v/>
      </c>
      <c r="AA399" s="29" t="str">
        <f t="shared" si="69"/>
        <v/>
      </c>
      <c r="AB399" s="29" t="str">
        <f t="shared" si="66"/>
        <v/>
      </c>
      <c r="AC399" t="str">
        <f t="shared" si="67"/>
        <v/>
      </c>
    </row>
    <row r="400" spans="20:29" x14ac:dyDescent="0.3">
      <c r="T400" s="29">
        <f t="shared" si="60"/>
        <v>0</v>
      </c>
      <c r="U400" s="29">
        <f t="shared" si="61"/>
        <v>0</v>
      </c>
      <c r="V400" s="29">
        <f t="shared" si="62"/>
        <v>0</v>
      </c>
      <c r="W400" s="29" t="str">
        <f t="shared" si="68"/>
        <v/>
      </c>
      <c r="X400" s="29" t="str">
        <f t="shared" si="63"/>
        <v/>
      </c>
      <c r="Y400" s="32" t="str">
        <f t="shared" si="64"/>
        <v/>
      </c>
      <c r="Z400" s="29" t="str">
        <f t="shared" si="65"/>
        <v/>
      </c>
      <c r="AA400" s="29" t="str">
        <f t="shared" si="69"/>
        <v/>
      </c>
      <c r="AB400" s="29" t="str">
        <f t="shared" si="66"/>
        <v/>
      </c>
      <c r="AC400" t="str">
        <f t="shared" si="67"/>
        <v/>
      </c>
    </row>
    <row r="401" spans="20:29" x14ac:dyDescent="0.3">
      <c r="T401" s="29">
        <f t="shared" si="60"/>
        <v>0</v>
      </c>
      <c r="U401" s="29">
        <f t="shared" si="61"/>
        <v>0</v>
      </c>
      <c r="V401" s="29">
        <f t="shared" si="62"/>
        <v>0</v>
      </c>
      <c r="W401" s="29" t="str">
        <f t="shared" si="68"/>
        <v/>
      </c>
      <c r="X401" s="29" t="str">
        <f t="shared" si="63"/>
        <v/>
      </c>
      <c r="Y401" s="32" t="str">
        <f t="shared" si="64"/>
        <v/>
      </c>
      <c r="Z401" s="29" t="str">
        <f t="shared" si="65"/>
        <v/>
      </c>
      <c r="AA401" s="29" t="str">
        <f t="shared" si="69"/>
        <v/>
      </c>
      <c r="AB401" s="29" t="str">
        <f t="shared" si="66"/>
        <v/>
      </c>
      <c r="AC401" t="str">
        <f t="shared" si="67"/>
        <v/>
      </c>
    </row>
    <row r="402" spans="20:29" x14ac:dyDescent="0.3">
      <c r="T402" s="29">
        <f t="shared" si="60"/>
        <v>0</v>
      </c>
      <c r="U402" s="29">
        <f t="shared" si="61"/>
        <v>0</v>
      </c>
      <c r="V402" s="29">
        <f t="shared" si="62"/>
        <v>0</v>
      </c>
      <c r="W402" s="29" t="str">
        <f t="shared" si="68"/>
        <v/>
      </c>
      <c r="X402" s="29" t="str">
        <f t="shared" si="63"/>
        <v/>
      </c>
      <c r="Y402" s="32" t="str">
        <f t="shared" si="64"/>
        <v/>
      </c>
      <c r="Z402" s="29" t="str">
        <f t="shared" si="65"/>
        <v/>
      </c>
      <c r="AA402" s="29" t="str">
        <f t="shared" si="69"/>
        <v/>
      </c>
      <c r="AB402" s="29" t="str">
        <f t="shared" si="66"/>
        <v/>
      </c>
      <c r="AC402" t="str">
        <f t="shared" si="67"/>
        <v/>
      </c>
    </row>
    <row r="403" spans="20:29" x14ac:dyDescent="0.3">
      <c r="T403" s="29">
        <f t="shared" si="60"/>
        <v>0</v>
      </c>
      <c r="U403" s="29">
        <f t="shared" si="61"/>
        <v>0</v>
      </c>
      <c r="V403" s="29">
        <f t="shared" si="62"/>
        <v>0</v>
      </c>
      <c r="W403" s="29" t="str">
        <f t="shared" si="68"/>
        <v/>
      </c>
      <c r="X403" s="29" t="str">
        <f t="shared" si="63"/>
        <v/>
      </c>
      <c r="Y403" s="32" t="str">
        <f t="shared" si="64"/>
        <v/>
      </c>
      <c r="Z403" s="29" t="str">
        <f t="shared" si="65"/>
        <v/>
      </c>
      <c r="AA403" s="29" t="str">
        <f t="shared" si="69"/>
        <v/>
      </c>
      <c r="AB403" s="29" t="str">
        <f t="shared" si="66"/>
        <v/>
      </c>
      <c r="AC403" t="str">
        <f t="shared" si="67"/>
        <v/>
      </c>
    </row>
    <row r="404" spans="20:29" x14ac:dyDescent="0.3">
      <c r="T404" s="29">
        <f t="shared" si="60"/>
        <v>0</v>
      </c>
      <c r="U404" s="29">
        <f t="shared" si="61"/>
        <v>0</v>
      </c>
      <c r="V404" s="29">
        <f t="shared" si="62"/>
        <v>0</v>
      </c>
      <c r="W404" s="29" t="str">
        <f t="shared" si="68"/>
        <v/>
      </c>
      <c r="X404" s="29" t="str">
        <f t="shared" si="63"/>
        <v/>
      </c>
      <c r="Y404" s="32" t="str">
        <f t="shared" si="64"/>
        <v/>
      </c>
      <c r="Z404" s="29" t="str">
        <f t="shared" si="65"/>
        <v/>
      </c>
      <c r="AA404" s="29" t="str">
        <f t="shared" si="69"/>
        <v/>
      </c>
      <c r="AB404" s="29" t="str">
        <f t="shared" si="66"/>
        <v/>
      </c>
      <c r="AC404" t="str">
        <f t="shared" si="67"/>
        <v/>
      </c>
    </row>
    <row r="405" spans="20:29" x14ac:dyDescent="0.3">
      <c r="T405" s="29">
        <f t="shared" si="60"/>
        <v>0</v>
      </c>
      <c r="U405" s="29">
        <f t="shared" si="61"/>
        <v>0</v>
      </c>
      <c r="V405" s="29">
        <f t="shared" si="62"/>
        <v>0</v>
      </c>
      <c r="W405" s="29" t="str">
        <f t="shared" si="68"/>
        <v/>
      </c>
      <c r="X405" s="29" t="str">
        <f t="shared" si="63"/>
        <v/>
      </c>
      <c r="Y405" s="32" t="str">
        <f t="shared" si="64"/>
        <v/>
      </c>
      <c r="Z405" s="29" t="str">
        <f t="shared" si="65"/>
        <v/>
      </c>
      <c r="AA405" s="29" t="str">
        <f t="shared" si="69"/>
        <v/>
      </c>
      <c r="AB405" s="29" t="str">
        <f t="shared" si="66"/>
        <v/>
      </c>
      <c r="AC405" t="str">
        <f t="shared" si="67"/>
        <v/>
      </c>
    </row>
    <row r="406" spans="20:29" x14ac:dyDescent="0.3">
      <c r="T406" s="29">
        <f t="shared" si="60"/>
        <v>0</v>
      </c>
      <c r="U406" s="29">
        <f t="shared" si="61"/>
        <v>0</v>
      </c>
      <c r="V406" s="29">
        <f t="shared" si="62"/>
        <v>0</v>
      </c>
      <c r="W406" s="29" t="str">
        <f t="shared" si="68"/>
        <v/>
      </c>
      <c r="X406" s="29" t="str">
        <f t="shared" si="63"/>
        <v/>
      </c>
      <c r="Y406" s="32" t="str">
        <f t="shared" si="64"/>
        <v/>
      </c>
      <c r="Z406" s="29" t="str">
        <f t="shared" si="65"/>
        <v/>
      </c>
      <c r="AA406" s="29" t="str">
        <f t="shared" si="69"/>
        <v/>
      </c>
      <c r="AB406" s="29" t="str">
        <f t="shared" si="66"/>
        <v/>
      </c>
      <c r="AC406" t="str">
        <f t="shared" si="67"/>
        <v/>
      </c>
    </row>
    <row r="407" spans="20:29" x14ac:dyDescent="0.3">
      <c r="T407" s="29">
        <f t="shared" si="60"/>
        <v>0</v>
      </c>
      <c r="U407" s="29">
        <f t="shared" si="61"/>
        <v>0</v>
      </c>
      <c r="V407" s="29">
        <f t="shared" si="62"/>
        <v>0</v>
      </c>
      <c r="W407" s="29" t="str">
        <f t="shared" si="68"/>
        <v/>
      </c>
      <c r="X407" s="29" t="str">
        <f t="shared" si="63"/>
        <v/>
      </c>
      <c r="Y407" s="32" t="str">
        <f t="shared" si="64"/>
        <v/>
      </c>
      <c r="Z407" s="29" t="str">
        <f t="shared" si="65"/>
        <v/>
      </c>
      <c r="AA407" s="29" t="str">
        <f t="shared" si="69"/>
        <v/>
      </c>
      <c r="AB407" s="29" t="str">
        <f t="shared" si="66"/>
        <v/>
      </c>
      <c r="AC407" t="str">
        <f t="shared" si="67"/>
        <v/>
      </c>
    </row>
    <row r="408" spans="20:29" x14ac:dyDescent="0.3">
      <c r="T408" s="29">
        <f t="shared" si="60"/>
        <v>0</v>
      </c>
      <c r="U408" s="29">
        <f t="shared" si="61"/>
        <v>0</v>
      </c>
      <c r="V408" s="29">
        <f t="shared" si="62"/>
        <v>0</v>
      </c>
      <c r="W408" s="29" t="str">
        <f t="shared" si="68"/>
        <v/>
      </c>
      <c r="X408" s="29" t="str">
        <f t="shared" si="63"/>
        <v/>
      </c>
      <c r="Y408" s="32" t="str">
        <f t="shared" si="64"/>
        <v/>
      </c>
      <c r="Z408" s="29" t="str">
        <f t="shared" si="65"/>
        <v/>
      </c>
      <c r="AA408" s="29" t="str">
        <f t="shared" si="69"/>
        <v/>
      </c>
      <c r="AB408" s="29" t="str">
        <f t="shared" si="66"/>
        <v/>
      </c>
      <c r="AC408" t="str">
        <f t="shared" si="67"/>
        <v/>
      </c>
    </row>
    <row r="409" spans="20:29" x14ac:dyDescent="0.3">
      <c r="T409" s="29">
        <f t="shared" si="60"/>
        <v>0</v>
      </c>
      <c r="U409" s="29">
        <f t="shared" si="61"/>
        <v>0</v>
      </c>
      <c r="V409" s="29">
        <f t="shared" si="62"/>
        <v>0</v>
      </c>
      <c r="W409" s="29" t="str">
        <f t="shared" si="68"/>
        <v/>
      </c>
      <c r="X409" s="29" t="str">
        <f t="shared" si="63"/>
        <v/>
      </c>
      <c r="Y409" s="32" t="str">
        <f t="shared" si="64"/>
        <v/>
      </c>
      <c r="Z409" s="29" t="str">
        <f t="shared" si="65"/>
        <v/>
      </c>
      <c r="AA409" s="29" t="str">
        <f t="shared" si="69"/>
        <v/>
      </c>
      <c r="AB409" s="29" t="str">
        <f t="shared" si="66"/>
        <v/>
      </c>
      <c r="AC409" t="str">
        <f t="shared" si="67"/>
        <v/>
      </c>
    </row>
    <row r="410" spans="20:29" x14ac:dyDescent="0.3">
      <c r="T410" s="29">
        <f t="shared" si="60"/>
        <v>0</v>
      </c>
      <c r="U410" s="29">
        <f t="shared" si="61"/>
        <v>0</v>
      </c>
      <c r="V410" s="29">
        <f t="shared" si="62"/>
        <v>0</v>
      </c>
      <c r="W410" s="29" t="str">
        <f t="shared" si="68"/>
        <v/>
      </c>
      <c r="X410" s="29" t="str">
        <f t="shared" si="63"/>
        <v/>
      </c>
      <c r="Y410" s="32" t="str">
        <f t="shared" si="64"/>
        <v/>
      </c>
      <c r="Z410" s="29" t="str">
        <f t="shared" si="65"/>
        <v/>
      </c>
      <c r="AA410" s="29" t="str">
        <f t="shared" si="69"/>
        <v/>
      </c>
      <c r="AB410" s="29" t="str">
        <f t="shared" si="66"/>
        <v/>
      </c>
      <c r="AC410" t="str">
        <f t="shared" si="67"/>
        <v/>
      </c>
    </row>
    <row r="411" spans="20:29" x14ac:dyDescent="0.3">
      <c r="T411" s="29">
        <f t="shared" si="60"/>
        <v>0</v>
      </c>
      <c r="U411" s="29">
        <f t="shared" si="61"/>
        <v>0</v>
      </c>
      <c r="V411" s="29">
        <f t="shared" si="62"/>
        <v>0</v>
      </c>
      <c r="W411" s="29" t="str">
        <f t="shared" si="68"/>
        <v/>
      </c>
      <c r="X411" s="29" t="str">
        <f t="shared" si="63"/>
        <v/>
      </c>
      <c r="Y411" s="32" t="str">
        <f t="shared" si="64"/>
        <v/>
      </c>
      <c r="Z411" s="29" t="str">
        <f t="shared" si="65"/>
        <v/>
      </c>
      <c r="AA411" s="29" t="str">
        <f t="shared" si="69"/>
        <v/>
      </c>
      <c r="AB411" s="29" t="str">
        <f t="shared" si="66"/>
        <v/>
      </c>
      <c r="AC411" t="str">
        <f t="shared" si="67"/>
        <v/>
      </c>
    </row>
    <row r="412" spans="20:29" x14ac:dyDescent="0.3">
      <c r="T412" s="29">
        <f t="shared" si="60"/>
        <v>0</v>
      </c>
      <c r="U412" s="29">
        <f t="shared" si="61"/>
        <v>0</v>
      </c>
      <c r="V412" s="29">
        <f t="shared" si="62"/>
        <v>0</v>
      </c>
      <c r="W412" s="29" t="str">
        <f t="shared" si="68"/>
        <v/>
      </c>
      <c r="X412" s="29" t="str">
        <f t="shared" si="63"/>
        <v/>
      </c>
      <c r="Y412" s="32" t="str">
        <f t="shared" si="64"/>
        <v/>
      </c>
      <c r="Z412" s="29" t="str">
        <f t="shared" si="65"/>
        <v/>
      </c>
      <c r="AA412" s="29" t="str">
        <f t="shared" si="69"/>
        <v/>
      </c>
      <c r="AB412" s="29" t="str">
        <f t="shared" si="66"/>
        <v/>
      </c>
      <c r="AC412" t="str">
        <f t="shared" si="67"/>
        <v/>
      </c>
    </row>
    <row r="413" spans="20:29" x14ac:dyDescent="0.3">
      <c r="T413" s="29">
        <f t="shared" si="60"/>
        <v>0</v>
      </c>
      <c r="U413" s="29">
        <f t="shared" si="61"/>
        <v>0</v>
      </c>
      <c r="V413" s="29">
        <f t="shared" si="62"/>
        <v>0</v>
      </c>
      <c r="W413" s="29" t="str">
        <f t="shared" si="68"/>
        <v/>
      </c>
      <c r="X413" s="29" t="str">
        <f t="shared" si="63"/>
        <v/>
      </c>
      <c r="Y413" s="32" t="str">
        <f t="shared" si="64"/>
        <v/>
      </c>
      <c r="Z413" s="29" t="str">
        <f t="shared" si="65"/>
        <v/>
      </c>
      <c r="AA413" s="29" t="str">
        <f t="shared" si="69"/>
        <v/>
      </c>
      <c r="AB413" s="29" t="str">
        <f t="shared" si="66"/>
        <v/>
      </c>
      <c r="AC413" t="str">
        <f t="shared" si="67"/>
        <v/>
      </c>
    </row>
    <row r="414" spans="20:29" x14ac:dyDescent="0.3">
      <c r="T414" s="29">
        <f t="shared" si="60"/>
        <v>0</v>
      </c>
      <c r="U414" s="29">
        <f t="shared" si="61"/>
        <v>0</v>
      </c>
      <c r="V414" s="29">
        <f t="shared" si="62"/>
        <v>0</v>
      </c>
      <c r="W414" s="29" t="str">
        <f t="shared" si="68"/>
        <v/>
      </c>
      <c r="X414" s="29" t="str">
        <f t="shared" si="63"/>
        <v/>
      </c>
      <c r="Y414" s="32" t="str">
        <f t="shared" si="64"/>
        <v/>
      </c>
      <c r="Z414" s="29" t="str">
        <f t="shared" si="65"/>
        <v/>
      </c>
      <c r="AA414" s="29" t="str">
        <f t="shared" si="69"/>
        <v/>
      </c>
      <c r="AB414" s="29" t="str">
        <f t="shared" si="66"/>
        <v/>
      </c>
      <c r="AC414" t="str">
        <f t="shared" si="67"/>
        <v/>
      </c>
    </row>
    <row r="415" spans="20:29" x14ac:dyDescent="0.3">
      <c r="T415" s="29">
        <f t="shared" si="60"/>
        <v>0</v>
      </c>
      <c r="U415" s="29">
        <f t="shared" si="61"/>
        <v>0</v>
      </c>
      <c r="V415" s="29">
        <f t="shared" si="62"/>
        <v>0</v>
      </c>
      <c r="W415" s="29" t="str">
        <f t="shared" si="68"/>
        <v/>
      </c>
      <c r="X415" s="29" t="str">
        <f t="shared" si="63"/>
        <v/>
      </c>
      <c r="Y415" s="32" t="str">
        <f t="shared" si="64"/>
        <v/>
      </c>
      <c r="Z415" s="29" t="str">
        <f t="shared" si="65"/>
        <v/>
      </c>
      <c r="AA415" s="29" t="str">
        <f t="shared" si="69"/>
        <v/>
      </c>
      <c r="AB415" s="29" t="str">
        <f t="shared" si="66"/>
        <v/>
      </c>
      <c r="AC415" t="str">
        <f t="shared" si="67"/>
        <v/>
      </c>
    </row>
    <row r="416" spans="20:29" x14ac:dyDescent="0.3">
      <c r="T416" s="29">
        <f t="shared" si="60"/>
        <v>0</v>
      </c>
      <c r="U416" s="29">
        <f t="shared" si="61"/>
        <v>0</v>
      </c>
      <c r="V416" s="29">
        <f t="shared" si="62"/>
        <v>0</v>
      </c>
      <c r="W416" s="29" t="str">
        <f t="shared" si="68"/>
        <v/>
      </c>
      <c r="X416" s="29" t="str">
        <f t="shared" si="63"/>
        <v/>
      </c>
      <c r="Y416" s="32" t="str">
        <f t="shared" si="64"/>
        <v/>
      </c>
      <c r="Z416" s="29" t="str">
        <f t="shared" si="65"/>
        <v/>
      </c>
      <c r="AA416" s="29" t="str">
        <f t="shared" si="69"/>
        <v/>
      </c>
      <c r="AB416" s="29" t="str">
        <f t="shared" si="66"/>
        <v/>
      </c>
      <c r="AC416" t="str">
        <f t="shared" si="67"/>
        <v/>
      </c>
    </row>
    <row r="417" spans="20:29" x14ac:dyDescent="0.3">
      <c r="T417" s="29">
        <f t="shared" si="60"/>
        <v>0</v>
      </c>
      <c r="U417" s="29">
        <f t="shared" si="61"/>
        <v>0</v>
      </c>
      <c r="V417" s="29">
        <f t="shared" si="62"/>
        <v>0</v>
      </c>
      <c r="W417" s="29" t="str">
        <f t="shared" si="68"/>
        <v/>
      </c>
      <c r="X417" s="29" t="str">
        <f t="shared" si="63"/>
        <v/>
      </c>
      <c r="Y417" s="32" t="str">
        <f t="shared" si="64"/>
        <v/>
      </c>
      <c r="Z417" s="29" t="str">
        <f t="shared" si="65"/>
        <v/>
      </c>
      <c r="AA417" s="29" t="str">
        <f t="shared" si="69"/>
        <v/>
      </c>
      <c r="AB417" s="29" t="str">
        <f t="shared" si="66"/>
        <v/>
      </c>
      <c r="AC417" t="str">
        <f t="shared" si="67"/>
        <v/>
      </c>
    </row>
    <row r="418" spans="20:29" x14ac:dyDescent="0.3">
      <c r="T418" s="29">
        <f t="shared" si="60"/>
        <v>0</v>
      </c>
      <c r="U418" s="29">
        <f t="shared" si="61"/>
        <v>0</v>
      </c>
      <c r="V418" s="29">
        <f t="shared" si="62"/>
        <v>0</v>
      </c>
      <c r="W418" s="29" t="str">
        <f t="shared" si="68"/>
        <v/>
      </c>
      <c r="X418" s="29" t="str">
        <f t="shared" si="63"/>
        <v/>
      </c>
      <c r="Y418" s="32" t="str">
        <f t="shared" si="64"/>
        <v/>
      </c>
      <c r="Z418" s="29" t="str">
        <f t="shared" si="65"/>
        <v/>
      </c>
      <c r="AA418" s="29" t="str">
        <f t="shared" si="69"/>
        <v/>
      </c>
      <c r="AB418" s="29" t="str">
        <f t="shared" si="66"/>
        <v/>
      </c>
      <c r="AC418" t="str">
        <f t="shared" si="67"/>
        <v/>
      </c>
    </row>
    <row r="419" spans="20:29" x14ac:dyDescent="0.3">
      <c r="T419" s="29">
        <f t="shared" si="60"/>
        <v>0</v>
      </c>
      <c r="U419" s="29">
        <f t="shared" si="61"/>
        <v>0</v>
      </c>
      <c r="V419" s="29">
        <f t="shared" si="62"/>
        <v>0</v>
      </c>
      <c r="W419" s="29" t="str">
        <f t="shared" si="68"/>
        <v/>
      </c>
      <c r="X419" s="29" t="str">
        <f t="shared" si="63"/>
        <v/>
      </c>
      <c r="Y419" s="32" t="str">
        <f t="shared" si="64"/>
        <v/>
      </c>
      <c r="Z419" s="29" t="str">
        <f t="shared" si="65"/>
        <v/>
      </c>
      <c r="AA419" s="29" t="str">
        <f t="shared" si="69"/>
        <v/>
      </c>
      <c r="AB419" s="29" t="str">
        <f t="shared" si="66"/>
        <v/>
      </c>
      <c r="AC419" t="str">
        <f t="shared" si="67"/>
        <v/>
      </c>
    </row>
    <row r="420" spans="20:29" x14ac:dyDescent="0.3">
      <c r="T420" s="29">
        <f t="shared" si="60"/>
        <v>0</v>
      </c>
      <c r="U420" s="29">
        <f t="shared" si="61"/>
        <v>0</v>
      </c>
      <c r="V420" s="29">
        <f t="shared" si="62"/>
        <v>0</v>
      </c>
      <c r="W420" s="29" t="str">
        <f t="shared" si="68"/>
        <v/>
      </c>
      <c r="X420" s="29" t="str">
        <f t="shared" si="63"/>
        <v/>
      </c>
      <c r="Y420" s="32" t="str">
        <f t="shared" si="64"/>
        <v/>
      </c>
      <c r="Z420" s="29" t="str">
        <f t="shared" si="65"/>
        <v/>
      </c>
      <c r="AA420" s="29" t="str">
        <f t="shared" si="69"/>
        <v/>
      </c>
      <c r="AB420" s="29" t="str">
        <f t="shared" si="66"/>
        <v/>
      </c>
      <c r="AC420" t="str">
        <f t="shared" si="67"/>
        <v/>
      </c>
    </row>
    <row r="421" spans="20:29" x14ac:dyDescent="0.3">
      <c r="T421" s="29">
        <f t="shared" si="60"/>
        <v>0</v>
      </c>
      <c r="U421" s="29">
        <f t="shared" si="61"/>
        <v>0</v>
      </c>
      <c r="V421" s="29">
        <f t="shared" si="62"/>
        <v>0</v>
      </c>
      <c r="W421" s="29" t="str">
        <f t="shared" si="68"/>
        <v/>
      </c>
      <c r="X421" s="29" t="str">
        <f t="shared" si="63"/>
        <v/>
      </c>
      <c r="Y421" s="32" t="str">
        <f t="shared" si="64"/>
        <v/>
      </c>
      <c r="Z421" s="29" t="str">
        <f t="shared" si="65"/>
        <v/>
      </c>
      <c r="AA421" s="29" t="str">
        <f t="shared" si="69"/>
        <v/>
      </c>
      <c r="AB421" s="29" t="str">
        <f t="shared" si="66"/>
        <v/>
      </c>
      <c r="AC421" t="str">
        <f t="shared" si="67"/>
        <v/>
      </c>
    </row>
    <row r="422" spans="20:29" x14ac:dyDescent="0.3">
      <c r="T422" s="29">
        <f t="shared" si="60"/>
        <v>0</v>
      </c>
      <c r="U422" s="29">
        <f t="shared" si="61"/>
        <v>0</v>
      </c>
      <c r="V422" s="29">
        <f t="shared" si="62"/>
        <v>0</v>
      </c>
      <c r="W422" s="29" t="str">
        <f t="shared" si="68"/>
        <v/>
      </c>
      <c r="X422" s="29" t="str">
        <f t="shared" si="63"/>
        <v/>
      </c>
      <c r="Y422" s="32" t="str">
        <f t="shared" si="64"/>
        <v/>
      </c>
      <c r="Z422" s="29" t="str">
        <f t="shared" si="65"/>
        <v/>
      </c>
      <c r="AA422" s="29" t="str">
        <f t="shared" si="69"/>
        <v/>
      </c>
      <c r="AB422" s="29" t="str">
        <f t="shared" si="66"/>
        <v/>
      </c>
      <c r="AC422" t="str">
        <f t="shared" si="67"/>
        <v/>
      </c>
    </row>
    <row r="423" spans="20:29" x14ac:dyDescent="0.3">
      <c r="T423" s="29">
        <f t="shared" si="60"/>
        <v>0</v>
      </c>
      <c r="U423" s="29">
        <f t="shared" si="61"/>
        <v>0</v>
      </c>
      <c r="V423" s="29">
        <f t="shared" si="62"/>
        <v>0</v>
      </c>
      <c r="W423" s="29" t="str">
        <f t="shared" si="68"/>
        <v/>
      </c>
      <c r="X423" s="29" t="str">
        <f t="shared" si="63"/>
        <v/>
      </c>
      <c r="Y423" s="32" t="str">
        <f t="shared" si="64"/>
        <v/>
      </c>
      <c r="Z423" s="29" t="str">
        <f t="shared" si="65"/>
        <v/>
      </c>
      <c r="AA423" s="29" t="str">
        <f t="shared" si="69"/>
        <v/>
      </c>
      <c r="AB423" s="29" t="str">
        <f t="shared" si="66"/>
        <v/>
      </c>
      <c r="AC423" t="str">
        <f t="shared" si="67"/>
        <v/>
      </c>
    </row>
    <row r="424" spans="20:29" x14ac:dyDescent="0.3">
      <c r="T424" s="29">
        <f t="shared" si="60"/>
        <v>0</v>
      </c>
      <c r="U424" s="29">
        <f t="shared" si="61"/>
        <v>0</v>
      </c>
      <c r="V424" s="29">
        <f t="shared" si="62"/>
        <v>0</v>
      </c>
      <c r="W424" s="29" t="str">
        <f t="shared" si="68"/>
        <v/>
      </c>
      <c r="X424" s="29" t="str">
        <f t="shared" si="63"/>
        <v/>
      </c>
      <c r="Y424" s="32" t="str">
        <f t="shared" si="64"/>
        <v/>
      </c>
      <c r="Z424" s="29" t="str">
        <f t="shared" si="65"/>
        <v/>
      </c>
      <c r="AA424" s="29" t="str">
        <f t="shared" si="69"/>
        <v/>
      </c>
      <c r="AB424" s="29" t="str">
        <f t="shared" si="66"/>
        <v/>
      </c>
      <c r="AC424" t="str">
        <f t="shared" si="67"/>
        <v/>
      </c>
    </row>
    <row r="425" spans="20:29" x14ac:dyDescent="0.3">
      <c r="T425" s="29">
        <f t="shared" si="60"/>
        <v>0</v>
      </c>
      <c r="U425" s="29">
        <f t="shared" si="61"/>
        <v>0</v>
      </c>
      <c r="V425" s="29">
        <f t="shared" si="62"/>
        <v>0</v>
      </c>
      <c r="W425" s="29" t="str">
        <f t="shared" si="68"/>
        <v/>
      </c>
      <c r="X425" s="29" t="str">
        <f t="shared" si="63"/>
        <v/>
      </c>
      <c r="Y425" s="32" t="str">
        <f t="shared" si="64"/>
        <v/>
      </c>
      <c r="Z425" s="29" t="str">
        <f t="shared" si="65"/>
        <v/>
      </c>
      <c r="AA425" s="29" t="str">
        <f t="shared" si="69"/>
        <v/>
      </c>
      <c r="AB425" s="29" t="str">
        <f t="shared" si="66"/>
        <v/>
      </c>
      <c r="AC425" t="str">
        <f t="shared" si="67"/>
        <v/>
      </c>
    </row>
    <row r="426" spans="20:29" x14ac:dyDescent="0.3">
      <c r="T426" s="29">
        <f t="shared" si="60"/>
        <v>0</v>
      </c>
      <c r="U426" s="29">
        <f t="shared" si="61"/>
        <v>0</v>
      </c>
      <c r="V426" s="29">
        <f t="shared" si="62"/>
        <v>0</v>
      </c>
      <c r="W426" s="29" t="str">
        <f t="shared" si="68"/>
        <v/>
      </c>
      <c r="X426" s="29" t="str">
        <f t="shared" si="63"/>
        <v/>
      </c>
      <c r="Y426" s="32" t="str">
        <f t="shared" si="64"/>
        <v/>
      </c>
      <c r="Z426" s="29" t="str">
        <f t="shared" si="65"/>
        <v/>
      </c>
      <c r="AA426" s="29" t="str">
        <f t="shared" si="69"/>
        <v/>
      </c>
      <c r="AB426" s="29" t="str">
        <f t="shared" si="66"/>
        <v/>
      </c>
      <c r="AC426" t="str">
        <f t="shared" si="67"/>
        <v/>
      </c>
    </row>
    <row r="427" spans="20:29" x14ac:dyDescent="0.3">
      <c r="T427" s="29">
        <f t="shared" si="60"/>
        <v>0</v>
      </c>
      <c r="U427" s="29">
        <f t="shared" si="61"/>
        <v>0</v>
      </c>
      <c r="V427" s="29">
        <f t="shared" si="62"/>
        <v>0</v>
      </c>
      <c r="W427" s="29" t="str">
        <f t="shared" si="68"/>
        <v/>
      </c>
      <c r="X427" s="29" t="str">
        <f t="shared" si="63"/>
        <v/>
      </c>
      <c r="Y427" s="32" t="str">
        <f t="shared" si="64"/>
        <v/>
      </c>
      <c r="Z427" s="29" t="str">
        <f t="shared" si="65"/>
        <v/>
      </c>
      <c r="AA427" s="29" t="str">
        <f t="shared" si="69"/>
        <v/>
      </c>
      <c r="AB427" s="29" t="str">
        <f t="shared" si="66"/>
        <v/>
      </c>
      <c r="AC427" t="str">
        <f t="shared" si="67"/>
        <v/>
      </c>
    </row>
    <row r="428" spans="20:29" x14ac:dyDescent="0.3">
      <c r="T428" s="29">
        <f t="shared" si="60"/>
        <v>0</v>
      </c>
      <c r="U428" s="29">
        <f t="shared" si="61"/>
        <v>0</v>
      </c>
      <c r="V428" s="29">
        <f t="shared" si="62"/>
        <v>0</v>
      </c>
      <c r="W428" s="29" t="str">
        <f t="shared" si="68"/>
        <v/>
      </c>
      <c r="X428" s="29" t="str">
        <f t="shared" si="63"/>
        <v/>
      </c>
      <c r="Y428" s="32" t="str">
        <f t="shared" si="64"/>
        <v/>
      </c>
      <c r="Z428" s="29" t="str">
        <f t="shared" si="65"/>
        <v/>
      </c>
      <c r="AA428" s="29" t="str">
        <f t="shared" si="69"/>
        <v/>
      </c>
      <c r="AB428" s="29" t="str">
        <f t="shared" si="66"/>
        <v/>
      </c>
      <c r="AC428" t="str">
        <f t="shared" si="67"/>
        <v/>
      </c>
    </row>
    <row r="429" spans="20:29" x14ac:dyDescent="0.3">
      <c r="T429" s="29">
        <f t="shared" si="60"/>
        <v>0</v>
      </c>
      <c r="U429" s="29">
        <f t="shared" si="61"/>
        <v>0</v>
      </c>
      <c r="V429" s="29">
        <f t="shared" si="62"/>
        <v>0</v>
      </c>
      <c r="W429" s="29" t="str">
        <f t="shared" si="68"/>
        <v/>
      </c>
      <c r="X429" s="29" t="str">
        <f t="shared" si="63"/>
        <v/>
      </c>
      <c r="Y429" s="32" t="str">
        <f t="shared" si="64"/>
        <v/>
      </c>
      <c r="Z429" s="29" t="str">
        <f t="shared" si="65"/>
        <v/>
      </c>
      <c r="AA429" s="29" t="str">
        <f t="shared" si="69"/>
        <v/>
      </c>
      <c r="AB429" s="29" t="str">
        <f t="shared" si="66"/>
        <v/>
      </c>
      <c r="AC429" t="str">
        <f t="shared" si="67"/>
        <v/>
      </c>
    </row>
    <row r="430" spans="20:29" x14ac:dyDescent="0.3">
      <c r="T430" s="29">
        <f t="shared" si="60"/>
        <v>0</v>
      </c>
      <c r="U430" s="29">
        <f t="shared" si="61"/>
        <v>0</v>
      </c>
      <c r="V430" s="29">
        <f t="shared" si="62"/>
        <v>0</v>
      </c>
      <c r="W430" s="29" t="str">
        <f t="shared" si="68"/>
        <v/>
      </c>
      <c r="X430" s="29" t="str">
        <f t="shared" si="63"/>
        <v/>
      </c>
      <c r="Y430" s="32" t="str">
        <f t="shared" si="64"/>
        <v/>
      </c>
      <c r="Z430" s="29" t="str">
        <f t="shared" si="65"/>
        <v/>
      </c>
      <c r="AA430" s="29" t="str">
        <f t="shared" si="69"/>
        <v/>
      </c>
      <c r="AB430" s="29" t="str">
        <f t="shared" si="66"/>
        <v/>
      </c>
      <c r="AC430" t="str">
        <f t="shared" si="67"/>
        <v/>
      </c>
    </row>
    <row r="431" spans="20:29" x14ac:dyDescent="0.3">
      <c r="T431" s="29">
        <f t="shared" si="60"/>
        <v>0</v>
      </c>
      <c r="U431" s="29">
        <f t="shared" si="61"/>
        <v>0</v>
      </c>
      <c r="V431" s="29">
        <f t="shared" si="62"/>
        <v>0</v>
      </c>
      <c r="W431" s="29" t="str">
        <f t="shared" si="68"/>
        <v/>
      </c>
      <c r="X431" s="29" t="str">
        <f t="shared" si="63"/>
        <v/>
      </c>
      <c r="Y431" s="32" t="str">
        <f t="shared" si="64"/>
        <v/>
      </c>
      <c r="Z431" s="29" t="str">
        <f t="shared" si="65"/>
        <v/>
      </c>
      <c r="AA431" s="29" t="str">
        <f t="shared" si="69"/>
        <v/>
      </c>
      <c r="AB431" s="29" t="str">
        <f t="shared" si="66"/>
        <v/>
      </c>
      <c r="AC431" t="str">
        <f t="shared" si="67"/>
        <v/>
      </c>
    </row>
    <row r="432" spans="20:29" x14ac:dyDescent="0.3">
      <c r="T432" s="29">
        <f t="shared" si="60"/>
        <v>0</v>
      </c>
      <c r="U432" s="29">
        <f t="shared" si="61"/>
        <v>0</v>
      </c>
      <c r="V432" s="29">
        <f t="shared" si="62"/>
        <v>0</v>
      </c>
      <c r="W432" s="29" t="str">
        <f t="shared" si="68"/>
        <v/>
      </c>
      <c r="X432" s="29" t="str">
        <f t="shared" si="63"/>
        <v/>
      </c>
      <c r="Y432" s="32" t="str">
        <f t="shared" si="64"/>
        <v/>
      </c>
      <c r="Z432" s="29" t="str">
        <f t="shared" si="65"/>
        <v/>
      </c>
      <c r="AA432" s="29" t="str">
        <f t="shared" si="69"/>
        <v/>
      </c>
      <c r="AB432" s="29" t="str">
        <f t="shared" si="66"/>
        <v/>
      </c>
      <c r="AC432" t="str">
        <f t="shared" si="67"/>
        <v/>
      </c>
    </row>
    <row r="433" spans="20:29" x14ac:dyDescent="0.3">
      <c r="T433" s="29">
        <f t="shared" si="60"/>
        <v>0</v>
      </c>
      <c r="U433" s="29">
        <f t="shared" si="61"/>
        <v>0</v>
      </c>
      <c r="V433" s="29">
        <f t="shared" si="62"/>
        <v>0</v>
      </c>
      <c r="W433" s="29" t="str">
        <f t="shared" si="68"/>
        <v/>
      </c>
      <c r="X433" s="29" t="str">
        <f t="shared" si="63"/>
        <v/>
      </c>
      <c r="Y433" s="32" t="str">
        <f t="shared" si="64"/>
        <v/>
      </c>
      <c r="Z433" s="29" t="str">
        <f t="shared" si="65"/>
        <v/>
      </c>
      <c r="AA433" s="29" t="str">
        <f t="shared" si="69"/>
        <v/>
      </c>
      <c r="AB433" s="29" t="str">
        <f t="shared" si="66"/>
        <v/>
      </c>
      <c r="AC433" t="str">
        <f t="shared" si="67"/>
        <v/>
      </c>
    </row>
    <row r="434" spans="20:29" x14ac:dyDescent="0.3">
      <c r="T434" s="29">
        <f t="shared" si="60"/>
        <v>0</v>
      </c>
      <c r="U434" s="29">
        <f t="shared" si="61"/>
        <v>0</v>
      </c>
      <c r="V434" s="29">
        <f t="shared" si="62"/>
        <v>0</v>
      </c>
      <c r="W434" s="29" t="str">
        <f t="shared" si="68"/>
        <v/>
      </c>
      <c r="X434" s="29" t="str">
        <f t="shared" si="63"/>
        <v/>
      </c>
      <c r="Y434" s="32" t="str">
        <f t="shared" si="64"/>
        <v/>
      </c>
      <c r="Z434" s="29" t="str">
        <f t="shared" si="65"/>
        <v/>
      </c>
      <c r="AA434" s="29" t="str">
        <f t="shared" si="69"/>
        <v/>
      </c>
      <c r="AB434" s="29" t="str">
        <f t="shared" si="66"/>
        <v/>
      </c>
      <c r="AC434" t="str">
        <f t="shared" si="67"/>
        <v/>
      </c>
    </row>
    <row r="435" spans="20:29" x14ac:dyDescent="0.3">
      <c r="T435" s="29">
        <f t="shared" si="60"/>
        <v>0</v>
      </c>
      <c r="U435" s="29">
        <f t="shared" si="61"/>
        <v>0</v>
      </c>
      <c r="V435" s="29">
        <f t="shared" si="62"/>
        <v>0</v>
      </c>
      <c r="W435" s="29" t="str">
        <f t="shared" si="68"/>
        <v/>
      </c>
      <c r="X435" s="29" t="str">
        <f t="shared" si="63"/>
        <v/>
      </c>
      <c r="Y435" s="32" t="str">
        <f t="shared" si="64"/>
        <v/>
      </c>
      <c r="Z435" s="29" t="str">
        <f t="shared" si="65"/>
        <v/>
      </c>
      <c r="AA435" s="29" t="str">
        <f t="shared" si="69"/>
        <v/>
      </c>
      <c r="AB435" s="29" t="str">
        <f t="shared" si="66"/>
        <v/>
      </c>
      <c r="AC435" t="str">
        <f t="shared" si="67"/>
        <v/>
      </c>
    </row>
    <row r="436" spans="20:29" x14ac:dyDescent="0.3">
      <c r="T436" s="29">
        <f t="shared" si="60"/>
        <v>0</v>
      </c>
      <c r="U436" s="29">
        <f t="shared" si="61"/>
        <v>0</v>
      </c>
      <c r="V436" s="29">
        <f t="shared" si="62"/>
        <v>0</v>
      </c>
      <c r="W436" s="29" t="str">
        <f t="shared" si="68"/>
        <v/>
      </c>
      <c r="X436" s="29" t="str">
        <f t="shared" si="63"/>
        <v/>
      </c>
      <c r="Y436" s="32" t="str">
        <f t="shared" si="64"/>
        <v/>
      </c>
      <c r="Z436" s="29" t="str">
        <f t="shared" si="65"/>
        <v/>
      </c>
      <c r="AA436" s="29" t="str">
        <f t="shared" si="69"/>
        <v/>
      </c>
      <c r="AB436" s="29" t="str">
        <f t="shared" si="66"/>
        <v/>
      </c>
      <c r="AC436" t="str">
        <f t="shared" si="67"/>
        <v/>
      </c>
    </row>
    <row r="437" spans="20:29" x14ac:dyDescent="0.3">
      <c r="T437" s="29">
        <f t="shared" si="60"/>
        <v>0</v>
      </c>
      <c r="U437" s="29">
        <f t="shared" si="61"/>
        <v>0</v>
      </c>
      <c r="V437" s="29">
        <f t="shared" si="62"/>
        <v>0</v>
      </c>
      <c r="W437" s="29" t="str">
        <f t="shared" si="68"/>
        <v/>
      </c>
      <c r="X437" s="29" t="str">
        <f t="shared" si="63"/>
        <v/>
      </c>
      <c r="Y437" s="32" t="str">
        <f t="shared" si="64"/>
        <v/>
      </c>
      <c r="Z437" s="29" t="str">
        <f t="shared" si="65"/>
        <v/>
      </c>
      <c r="AA437" s="29" t="str">
        <f t="shared" si="69"/>
        <v/>
      </c>
      <c r="AB437" s="29" t="str">
        <f t="shared" si="66"/>
        <v/>
      </c>
      <c r="AC437" t="str">
        <f t="shared" si="67"/>
        <v/>
      </c>
    </row>
    <row r="438" spans="20:29" x14ac:dyDescent="0.3">
      <c r="T438" s="29">
        <f t="shared" si="60"/>
        <v>0</v>
      </c>
      <c r="U438" s="29">
        <f t="shared" si="61"/>
        <v>0</v>
      </c>
      <c r="V438" s="29">
        <f t="shared" si="62"/>
        <v>0</v>
      </c>
      <c r="W438" s="29" t="str">
        <f t="shared" si="68"/>
        <v/>
      </c>
      <c r="X438" s="29" t="str">
        <f t="shared" si="63"/>
        <v/>
      </c>
      <c r="Y438" s="32" t="str">
        <f t="shared" si="64"/>
        <v/>
      </c>
      <c r="Z438" s="29" t="str">
        <f t="shared" si="65"/>
        <v/>
      </c>
      <c r="AA438" s="29" t="str">
        <f t="shared" si="69"/>
        <v/>
      </c>
      <c r="AB438" s="29" t="str">
        <f t="shared" si="66"/>
        <v/>
      </c>
      <c r="AC438" t="str">
        <f t="shared" si="67"/>
        <v/>
      </c>
    </row>
    <row r="439" spans="20:29" x14ac:dyDescent="0.3">
      <c r="T439" s="29">
        <f t="shared" si="60"/>
        <v>0</v>
      </c>
      <c r="U439" s="29">
        <f t="shared" si="61"/>
        <v>0</v>
      </c>
      <c r="V439" s="29">
        <f t="shared" si="62"/>
        <v>0</v>
      </c>
      <c r="W439" s="29" t="str">
        <f t="shared" si="68"/>
        <v/>
      </c>
      <c r="X439" s="29" t="str">
        <f t="shared" si="63"/>
        <v/>
      </c>
      <c r="Y439" s="32" t="str">
        <f t="shared" si="64"/>
        <v/>
      </c>
      <c r="Z439" s="29" t="str">
        <f t="shared" si="65"/>
        <v/>
      </c>
      <c r="AA439" s="29" t="str">
        <f t="shared" si="69"/>
        <v/>
      </c>
      <c r="AB439" s="29" t="str">
        <f t="shared" si="66"/>
        <v/>
      </c>
      <c r="AC439" t="str">
        <f t="shared" si="67"/>
        <v/>
      </c>
    </row>
    <row r="440" spans="20:29" x14ac:dyDescent="0.3">
      <c r="T440" s="29">
        <f t="shared" si="60"/>
        <v>0</v>
      </c>
      <c r="U440" s="29">
        <f t="shared" si="61"/>
        <v>0</v>
      </c>
      <c r="V440" s="29">
        <f t="shared" si="62"/>
        <v>0</v>
      </c>
      <c r="W440" s="29" t="str">
        <f t="shared" si="68"/>
        <v/>
      </c>
      <c r="X440" s="29" t="str">
        <f t="shared" si="63"/>
        <v/>
      </c>
      <c r="Y440" s="32" t="str">
        <f t="shared" si="64"/>
        <v/>
      </c>
      <c r="Z440" s="29" t="str">
        <f t="shared" si="65"/>
        <v/>
      </c>
      <c r="AA440" s="29" t="str">
        <f t="shared" si="69"/>
        <v/>
      </c>
      <c r="AB440" s="29" t="str">
        <f t="shared" si="66"/>
        <v/>
      </c>
      <c r="AC440" t="str">
        <f t="shared" si="67"/>
        <v/>
      </c>
    </row>
    <row r="441" spans="20:29" x14ac:dyDescent="0.3">
      <c r="T441" s="29">
        <f t="shared" si="60"/>
        <v>0</v>
      </c>
      <c r="U441" s="29">
        <f t="shared" si="61"/>
        <v>0</v>
      </c>
      <c r="V441" s="29">
        <f t="shared" si="62"/>
        <v>0</v>
      </c>
      <c r="W441" s="29" t="str">
        <f t="shared" si="68"/>
        <v/>
      </c>
      <c r="X441" s="29" t="str">
        <f t="shared" si="63"/>
        <v/>
      </c>
      <c r="Y441" s="32" t="str">
        <f t="shared" si="64"/>
        <v/>
      </c>
      <c r="Z441" s="29" t="str">
        <f t="shared" si="65"/>
        <v/>
      </c>
      <c r="AA441" s="29" t="str">
        <f t="shared" si="69"/>
        <v/>
      </c>
      <c r="AB441" s="29" t="str">
        <f t="shared" si="66"/>
        <v/>
      </c>
      <c r="AC441" t="str">
        <f t="shared" si="67"/>
        <v/>
      </c>
    </row>
    <row r="442" spans="20:29" x14ac:dyDescent="0.3">
      <c r="T442" s="29">
        <f t="shared" si="60"/>
        <v>0</v>
      </c>
      <c r="U442" s="29">
        <f t="shared" si="61"/>
        <v>0</v>
      </c>
      <c r="V442" s="29">
        <f t="shared" si="62"/>
        <v>0</v>
      </c>
      <c r="W442" s="29" t="str">
        <f t="shared" si="68"/>
        <v/>
      </c>
      <c r="X442" s="29" t="str">
        <f t="shared" si="63"/>
        <v/>
      </c>
      <c r="Y442" s="32" t="str">
        <f t="shared" si="64"/>
        <v/>
      </c>
      <c r="Z442" s="29" t="str">
        <f t="shared" si="65"/>
        <v/>
      </c>
      <c r="AA442" s="29" t="str">
        <f t="shared" si="69"/>
        <v/>
      </c>
      <c r="AB442" s="29" t="str">
        <f t="shared" si="66"/>
        <v/>
      </c>
      <c r="AC442" t="str">
        <f t="shared" si="67"/>
        <v/>
      </c>
    </row>
    <row r="443" spans="20:29" x14ac:dyDescent="0.3">
      <c r="T443" s="29">
        <f t="shared" si="60"/>
        <v>0</v>
      </c>
      <c r="U443" s="29">
        <f t="shared" si="61"/>
        <v>0</v>
      </c>
      <c r="V443" s="29">
        <f t="shared" si="62"/>
        <v>0</v>
      </c>
      <c r="W443" s="29" t="str">
        <f t="shared" si="68"/>
        <v/>
      </c>
      <c r="X443" s="29" t="str">
        <f t="shared" si="63"/>
        <v/>
      </c>
      <c r="Y443" s="32" t="str">
        <f t="shared" si="64"/>
        <v/>
      </c>
      <c r="Z443" s="29" t="str">
        <f t="shared" si="65"/>
        <v/>
      </c>
      <c r="AA443" s="29" t="str">
        <f t="shared" si="69"/>
        <v/>
      </c>
      <c r="AB443" s="29" t="str">
        <f t="shared" si="66"/>
        <v/>
      </c>
      <c r="AC443" t="str">
        <f t="shared" si="67"/>
        <v/>
      </c>
    </row>
    <row r="444" spans="20:29" x14ac:dyDescent="0.3">
      <c r="T444" s="29">
        <f t="shared" si="60"/>
        <v>0</v>
      </c>
      <c r="U444" s="29">
        <f t="shared" si="61"/>
        <v>0</v>
      </c>
      <c r="V444" s="29">
        <f t="shared" si="62"/>
        <v>0</v>
      </c>
      <c r="W444" s="29" t="str">
        <f t="shared" si="68"/>
        <v/>
      </c>
      <c r="X444" s="29" t="str">
        <f t="shared" si="63"/>
        <v/>
      </c>
      <c r="Y444" s="32" t="str">
        <f t="shared" si="64"/>
        <v/>
      </c>
      <c r="Z444" s="29" t="str">
        <f t="shared" si="65"/>
        <v/>
      </c>
      <c r="AA444" s="29" t="str">
        <f t="shared" si="69"/>
        <v/>
      </c>
      <c r="AB444" s="29" t="str">
        <f t="shared" si="66"/>
        <v/>
      </c>
      <c r="AC444" t="str">
        <f t="shared" si="67"/>
        <v/>
      </c>
    </row>
    <row r="445" spans="20:29" x14ac:dyDescent="0.3">
      <c r="T445" s="29">
        <f t="shared" si="60"/>
        <v>0</v>
      </c>
      <c r="U445" s="29">
        <f t="shared" si="61"/>
        <v>0</v>
      </c>
      <c r="V445" s="29">
        <f t="shared" si="62"/>
        <v>0</v>
      </c>
      <c r="W445" s="29" t="str">
        <f t="shared" si="68"/>
        <v/>
      </c>
      <c r="X445" s="29" t="str">
        <f t="shared" si="63"/>
        <v/>
      </c>
      <c r="Y445" s="32" t="str">
        <f t="shared" si="64"/>
        <v/>
      </c>
      <c r="Z445" s="29" t="str">
        <f t="shared" si="65"/>
        <v/>
      </c>
      <c r="AA445" s="29" t="str">
        <f t="shared" si="69"/>
        <v/>
      </c>
      <c r="AB445" s="29" t="str">
        <f t="shared" si="66"/>
        <v/>
      </c>
      <c r="AC445" t="str">
        <f t="shared" si="67"/>
        <v/>
      </c>
    </row>
    <row r="446" spans="20:29" x14ac:dyDescent="0.3">
      <c r="T446" s="29">
        <f t="shared" si="60"/>
        <v>0</v>
      </c>
      <c r="U446" s="29">
        <f t="shared" si="61"/>
        <v>0</v>
      </c>
      <c r="V446" s="29">
        <f t="shared" si="62"/>
        <v>0</v>
      </c>
      <c r="W446" s="29" t="str">
        <f t="shared" si="68"/>
        <v/>
      </c>
      <c r="X446" s="29" t="str">
        <f t="shared" si="63"/>
        <v/>
      </c>
      <c r="Y446" s="32" t="str">
        <f t="shared" si="64"/>
        <v/>
      </c>
      <c r="Z446" s="29" t="str">
        <f t="shared" si="65"/>
        <v/>
      </c>
      <c r="AA446" s="29" t="str">
        <f t="shared" si="69"/>
        <v/>
      </c>
      <c r="AB446" s="29" t="str">
        <f t="shared" si="66"/>
        <v/>
      </c>
      <c r="AC446" t="str">
        <f t="shared" si="67"/>
        <v/>
      </c>
    </row>
    <row r="447" spans="20:29" x14ac:dyDescent="0.3">
      <c r="T447" s="29">
        <f t="shared" si="60"/>
        <v>0</v>
      </c>
      <c r="U447" s="29">
        <f t="shared" si="61"/>
        <v>0</v>
      </c>
      <c r="V447" s="29">
        <f t="shared" si="62"/>
        <v>0</v>
      </c>
      <c r="W447" s="29" t="str">
        <f t="shared" si="68"/>
        <v/>
      </c>
      <c r="X447" s="29" t="str">
        <f t="shared" si="63"/>
        <v/>
      </c>
      <c r="Y447" s="32" t="str">
        <f t="shared" si="64"/>
        <v/>
      </c>
      <c r="Z447" s="29" t="str">
        <f t="shared" si="65"/>
        <v/>
      </c>
      <c r="AA447" s="29" t="str">
        <f t="shared" si="69"/>
        <v/>
      </c>
      <c r="AB447" s="29" t="str">
        <f t="shared" si="66"/>
        <v/>
      </c>
      <c r="AC447" t="str">
        <f t="shared" si="67"/>
        <v/>
      </c>
    </row>
    <row r="448" spans="20:29" x14ac:dyDescent="0.3">
      <c r="T448" s="29">
        <f t="shared" si="60"/>
        <v>0</v>
      </c>
      <c r="U448" s="29">
        <f t="shared" si="61"/>
        <v>0</v>
      </c>
      <c r="V448" s="29">
        <f t="shared" si="62"/>
        <v>0</v>
      </c>
      <c r="W448" s="29" t="str">
        <f t="shared" si="68"/>
        <v/>
      </c>
      <c r="X448" s="29" t="str">
        <f t="shared" si="63"/>
        <v/>
      </c>
      <c r="Y448" s="32" t="str">
        <f t="shared" si="64"/>
        <v/>
      </c>
      <c r="Z448" s="29" t="str">
        <f t="shared" si="65"/>
        <v/>
      </c>
      <c r="AA448" s="29" t="str">
        <f t="shared" si="69"/>
        <v/>
      </c>
      <c r="AB448" s="29" t="str">
        <f t="shared" si="66"/>
        <v/>
      </c>
      <c r="AC448" t="str">
        <f t="shared" si="67"/>
        <v/>
      </c>
    </row>
    <row r="449" spans="20:29" x14ac:dyDescent="0.3">
      <c r="T449" s="29">
        <f t="shared" si="60"/>
        <v>0</v>
      </c>
      <c r="U449" s="29">
        <f t="shared" si="61"/>
        <v>0</v>
      </c>
      <c r="V449" s="29">
        <f t="shared" si="62"/>
        <v>0</v>
      </c>
      <c r="W449" s="29" t="str">
        <f t="shared" si="68"/>
        <v/>
      </c>
      <c r="X449" s="29" t="str">
        <f t="shared" si="63"/>
        <v/>
      </c>
      <c r="Y449" s="32" t="str">
        <f t="shared" si="64"/>
        <v/>
      </c>
      <c r="Z449" s="29" t="str">
        <f t="shared" si="65"/>
        <v/>
      </c>
      <c r="AA449" s="29" t="str">
        <f t="shared" si="69"/>
        <v/>
      </c>
      <c r="AB449" s="29" t="str">
        <f t="shared" si="66"/>
        <v/>
      </c>
      <c r="AC449" t="str">
        <f t="shared" si="67"/>
        <v/>
      </c>
    </row>
    <row r="450" spans="20:29" x14ac:dyDescent="0.3">
      <c r="T450" s="29">
        <f t="shared" si="60"/>
        <v>0</v>
      </c>
      <c r="U450" s="29">
        <f t="shared" si="61"/>
        <v>0</v>
      </c>
      <c r="V450" s="29">
        <f t="shared" si="62"/>
        <v>0</v>
      </c>
      <c r="W450" s="29" t="str">
        <f t="shared" si="68"/>
        <v/>
      </c>
      <c r="X450" s="29" t="str">
        <f t="shared" si="63"/>
        <v/>
      </c>
      <c r="Y450" s="32" t="str">
        <f t="shared" si="64"/>
        <v/>
      </c>
      <c r="Z450" s="29" t="str">
        <f t="shared" si="65"/>
        <v/>
      </c>
      <c r="AA450" s="29" t="str">
        <f t="shared" si="69"/>
        <v/>
      </c>
      <c r="AB450" s="29" t="str">
        <f t="shared" si="66"/>
        <v/>
      </c>
      <c r="AC450" t="str">
        <f t="shared" si="67"/>
        <v/>
      </c>
    </row>
    <row r="451" spans="20:29" x14ac:dyDescent="0.3">
      <c r="T451" s="29">
        <f t="shared" ref="T451:T514" si="70">+O451/1.08</f>
        <v>0</v>
      </c>
      <c r="U451" s="29">
        <f t="shared" ref="U451:U514" si="71">+T451*N451</f>
        <v>0</v>
      </c>
      <c r="V451" s="29">
        <f t="shared" ref="V451:V514" si="72">+SUMIF(B:B,B451,U:U)</f>
        <v>0</v>
      </c>
      <c r="W451" s="29" t="str">
        <f t="shared" si="68"/>
        <v/>
      </c>
      <c r="X451" s="29" t="str">
        <f t="shared" ref="X451:X514" si="73">+IF(W451&lt;&gt;0,W451,"")</f>
        <v/>
      </c>
      <c r="Y451" s="32" t="str">
        <f t="shared" ref="Y451:Y514" si="74">+IF(X451&lt;&gt;"",8,"")</f>
        <v/>
      </c>
      <c r="Z451" s="29" t="str">
        <f t="shared" ref="Z451:Z514" si="75">+IF(X451&lt;&gt;"","VND","")</f>
        <v/>
      </c>
      <c r="AA451" s="29" t="str">
        <f t="shared" si="69"/>
        <v/>
      </c>
      <c r="AB451" s="29" t="str">
        <f t="shared" ref="AB451:AB514" si="76">+IF(AA451&lt;&gt;0,AA451,"")</f>
        <v/>
      </c>
      <c r="AC451" t="str">
        <f t="shared" ref="AC451:AC514" si="77">+IF(X451&lt;&gt;"","TM/CK","")</f>
        <v/>
      </c>
    </row>
    <row r="452" spans="20:29" x14ac:dyDescent="0.3">
      <c r="T452" s="29">
        <f t="shared" si="70"/>
        <v>0</v>
      </c>
      <c r="U452" s="29">
        <f t="shared" si="71"/>
        <v>0</v>
      </c>
      <c r="V452" s="29">
        <f t="shared" si="72"/>
        <v>0</v>
      </c>
      <c r="W452" s="29" t="str">
        <f t="shared" ref="W452:W515" si="78">+IF(V452=V451,"",V452)</f>
        <v/>
      </c>
      <c r="X452" s="29" t="str">
        <f t="shared" si="73"/>
        <v/>
      </c>
      <c r="Y452" s="32" t="str">
        <f t="shared" si="74"/>
        <v/>
      </c>
      <c r="Z452" s="29" t="str">
        <f t="shared" si="75"/>
        <v/>
      </c>
      <c r="AA452" s="29" t="str">
        <f t="shared" ref="AA452:AA515" si="79">+IF(B452=B451,"",E452)</f>
        <v/>
      </c>
      <c r="AB452" s="29" t="str">
        <f t="shared" si="76"/>
        <v/>
      </c>
      <c r="AC452" t="str">
        <f t="shared" si="77"/>
        <v/>
      </c>
    </row>
    <row r="453" spans="20:29" x14ac:dyDescent="0.3">
      <c r="T453" s="29">
        <f t="shared" si="70"/>
        <v>0</v>
      </c>
      <c r="U453" s="29">
        <f t="shared" si="71"/>
        <v>0</v>
      </c>
      <c r="V453" s="29">
        <f t="shared" si="72"/>
        <v>0</v>
      </c>
      <c r="W453" s="29" t="str">
        <f t="shared" si="78"/>
        <v/>
      </c>
      <c r="X453" s="29" t="str">
        <f t="shared" si="73"/>
        <v/>
      </c>
      <c r="Y453" s="32" t="str">
        <f t="shared" si="74"/>
        <v/>
      </c>
      <c r="Z453" s="29" t="str">
        <f t="shared" si="75"/>
        <v/>
      </c>
      <c r="AA453" s="29" t="str">
        <f t="shared" si="79"/>
        <v/>
      </c>
      <c r="AB453" s="29" t="str">
        <f t="shared" si="76"/>
        <v/>
      </c>
      <c r="AC453" t="str">
        <f t="shared" si="77"/>
        <v/>
      </c>
    </row>
    <row r="454" spans="20:29" x14ac:dyDescent="0.3">
      <c r="T454" s="29">
        <f t="shared" si="70"/>
        <v>0</v>
      </c>
      <c r="U454" s="29">
        <f t="shared" si="71"/>
        <v>0</v>
      </c>
      <c r="V454" s="29">
        <f t="shared" si="72"/>
        <v>0</v>
      </c>
      <c r="W454" s="29" t="str">
        <f t="shared" si="78"/>
        <v/>
      </c>
      <c r="X454" s="29" t="str">
        <f t="shared" si="73"/>
        <v/>
      </c>
      <c r="Y454" s="32" t="str">
        <f t="shared" si="74"/>
        <v/>
      </c>
      <c r="Z454" s="29" t="str">
        <f t="shared" si="75"/>
        <v/>
      </c>
      <c r="AA454" s="29" t="str">
        <f t="shared" si="79"/>
        <v/>
      </c>
      <c r="AB454" s="29" t="str">
        <f t="shared" si="76"/>
        <v/>
      </c>
      <c r="AC454" t="str">
        <f t="shared" si="77"/>
        <v/>
      </c>
    </row>
    <row r="455" spans="20:29" x14ac:dyDescent="0.3">
      <c r="T455" s="29">
        <f t="shared" si="70"/>
        <v>0</v>
      </c>
      <c r="U455" s="29">
        <f t="shared" si="71"/>
        <v>0</v>
      </c>
      <c r="V455" s="29">
        <f t="shared" si="72"/>
        <v>0</v>
      </c>
      <c r="W455" s="29" t="str">
        <f t="shared" si="78"/>
        <v/>
      </c>
      <c r="X455" s="29" t="str">
        <f t="shared" si="73"/>
        <v/>
      </c>
      <c r="Y455" s="32" t="str">
        <f t="shared" si="74"/>
        <v/>
      </c>
      <c r="Z455" s="29" t="str">
        <f t="shared" si="75"/>
        <v/>
      </c>
      <c r="AA455" s="29" t="str">
        <f t="shared" si="79"/>
        <v/>
      </c>
      <c r="AB455" s="29" t="str">
        <f t="shared" si="76"/>
        <v/>
      </c>
      <c r="AC455" t="str">
        <f t="shared" si="77"/>
        <v/>
      </c>
    </row>
    <row r="456" spans="20:29" x14ac:dyDescent="0.3">
      <c r="T456" s="29">
        <f t="shared" si="70"/>
        <v>0</v>
      </c>
      <c r="U456" s="29">
        <f t="shared" si="71"/>
        <v>0</v>
      </c>
      <c r="V456" s="29">
        <f t="shared" si="72"/>
        <v>0</v>
      </c>
      <c r="W456" s="29" t="str">
        <f t="shared" si="78"/>
        <v/>
      </c>
      <c r="X456" s="29" t="str">
        <f t="shared" si="73"/>
        <v/>
      </c>
      <c r="Y456" s="32" t="str">
        <f t="shared" si="74"/>
        <v/>
      </c>
      <c r="Z456" s="29" t="str">
        <f t="shared" si="75"/>
        <v/>
      </c>
      <c r="AA456" s="29" t="str">
        <f t="shared" si="79"/>
        <v/>
      </c>
      <c r="AB456" s="29" t="str">
        <f t="shared" si="76"/>
        <v/>
      </c>
      <c r="AC456" t="str">
        <f t="shared" si="77"/>
        <v/>
      </c>
    </row>
    <row r="457" spans="20:29" x14ac:dyDescent="0.3">
      <c r="T457" s="29">
        <f t="shared" si="70"/>
        <v>0</v>
      </c>
      <c r="U457" s="29">
        <f t="shared" si="71"/>
        <v>0</v>
      </c>
      <c r="V457" s="29">
        <f t="shared" si="72"/>
        <v>0</v>
      </c>
      <c r="W457" s="29" t="str">
        <f t="shared" si="78"/>
        <v/>
      </c>
      <c r="X457" s="29" t="str">
        <f t="shared" si="73"/>
        <v/>
      </c>
      <c r="Y457" s="32" t="str">
        <f t="shared" si="74"/>
        <v/>
      </c>
      <c r="Z457" s="29" t="str">
        <f t="shared" si="75"/>
        <v/>
      </c>
      <c r="AA457" s="29" t="str">
        <f t="shared" si="79"/>
        <v/>
      </c>
      <c r="AB457" s="29" t="str">
        <f t="shared" si="76"/>
        <v/>
      </c>
      <c r="AC457" t="str">
        <f t="shared" si="77"/>
        <v/>
      </c>
    </row>
    <row r="458" spans="20:29" x14ac:dyDescent="0.3">
      <c r="T458" s="29">
        <f t="shared" si="70"/>
        <v>0</v>
      </c>
      <c r="U458" s="29">
        <f t="shared" si="71"/>
        <v>0</v>
      </c>
      <c r="V458" s="29">
        <f t="shared" si="72"/>
        <v>0</v>
      </c>
      <c r="W458" s="29" t="str">
        <f t="shared" si="78"/>
        <v/>
      </c>
      <c r="X458" s="29" t="str">
        <f t="shared" si="73"/>
        <v/>
      </c>
      <c r="Y458" s="32" t="str">
        <f t="shared" si="74"/>
        <v/>
      </c>
      <c r="Z458" s="29" t="str">
        <f t="shared" si="75"/>
        <v/>
      </c>
      <c r="AA458" s="29" t="str">
        <f t="shared" si="79"/>
        <v/>
      </c>
      <c r="AB458" s="29" t="str">
        <f t="shared" si="76"/>
        <v/>
      </c>
      <c r="AC458" t="str">
        <f t="shared" si="77"/>
        <v/>
      </c>
    </row>
    <row r="459" spans="20:29" x14ac:dyDescent="0.3">
      <c r="T459" s="29">
        <f t="shared" si="70"/>
        <v>0</v>
      </c>
      <c r="U459" s="29">
        <f t="shared" si="71"/>
        <v>0</v>
      </c>
      <c r="V459" s="29">
        <f t="shared" si="72"/>
        <v>0</v>
      </c>
      <c r="W459" s="29" t="str">
        <f t="shared" si="78"/>
        <v/>
      </c>
      <c r="X459" s="29" t="str">
        <f t="shared" si="73"/>
        <v/>
      </c>
      <c r="Y459" s="32" t="str">
        <f t="shared" si="74"/>
        <v/>
      </c>
      <c r="Z459" s="29" t="str">
        <f t="shared" si="75"/>
        <v/>
      </c>
      <c r="AA459" s="29" t="str">
        <f t="shared" si="79"/>
        <v/>
      </c>
      <c r="AB459" s="29" t="str">
        <f t="shared" si="76"/>
        <v/>
      </c>
      <c r="AC459" t="str">
        <f t="shared" si="77"/>
        <v/>
      </c>
    </row>
    <row r="460" spans="20:29" x14ac:dyDescent="0.3">
      <c r="T460" s="29">
        <f t="shared" si="70"/>
        <v>0</v>
      </c>
      <c r="U460" s="29">
        <f t="shared" si="71"/>
        <v>0</v>
      </c>
      <c r="V460" s="29">
        <f t="shared" si="72"/>
        <v>0</v>
      </c>
      <c r="W460" s="29" t="str">
        <f t="shared" si="78"/>
        <v/>
      </c>
      <c r="X460" s="29" t="str">
        <f t="shared" si="73"/>
        <v/>
      </c>
      <c r="Y460" s="32" t="str">
        <f t="shared" si="74"/>
        <v/>
      </c>
      <c r="Z460" s="29" t="str">
        <f t="shared" si="75"/>
        <v/>
      </c>
      <c r="AA460" s="29" t="str">
        <f t="shared" si="79"/>
        <v/>
      </c>
      <c r="AB460" s="29" t="str">
        <f t="shared" si="76"/>
        <v/>
      </c>
      <c r="AC460" t="str">
        <f t="shared" si="77"/>
        <v/>
      </c>
    </row>
    <row r="461" spans="20:29" x14ac:dyDescent="0.3">
      <c r="T461" s="29">
        <f t="shared" si="70"/>
        <v>0</v>
      </c>
      <c r="U461" s="29">
        <f t="shared" si="71"/>
        <v>0</v>
      </c>
      <c r="V461" s="29">
        <f t="shared" si="72"/>
        <v>0</v>
      </c>
      <c r="W461" s="29" t="str">
        <f t="shared" si="78"/>
        <v/>
      </c>
      <c r="X461" s="29" t="str">
        <f t="shared" si="73"/>
        <v/>
      </c>
      <c r="Y461" s="32" t="str">
        <f t="shared" si="74"/>
        <v/>
      </c>
      <c r="Z461" s="29" t="str">
        <f t="shared" si="75"/>
        <v/>
      </c>
      <c r="AA461" s="29" t="str">
        <f t="shared" si="79"/>
        <v/>
      </c>
      <c r="AB461" s="29" t="str">
        <f t="shared" si="76"/>
        <v/>
      </c>
      <c r="AC461" t="str">
        <f t="shared" si="77"/>
        <v/>
      </c>
    </row>
    <row r="462" spans="20:29" x14ac:dyDescent="0.3">
      <c r="T462" s="29">
        <f t="shared" si="70"/>
        <v>0</v>
      </c>
      <c r="U462" s="29">
        <f t="shared" si="71"/>
        <v>0</v>
      </c>
      <c r="V462" s="29">
        <f t="shared" si="72"/>
        <v>0</v>
      </c>
      <c r="W462" s="29" t="str">
        <f t="shared" si="78"/>
        <v/>
      </c>
      <c r="X462" s="29" t="str">
        <f t="shared" si="73"/>
        <v/>
      </c>
      <c r="Y462" s="32" t="str">
        <f t="shared" si="74"/>
        <v/>
      </c>
      <c r="Z462" s="29" t="str">
        <f t="shared" si="75"/>
        <v/>
      </c>
      <c r="AA462" s="29" t="str">
        <f t="shared" si="79"/>
        <v/>
      </c>
      <c r="AB462" s="29" t="str">
        <f t="shared" si="76"/>
        <v/>
      </c>
      <c r="AC462" t="str">
        <f t="shared" si="77"/>
        <v/>
      </c>
    </row>
    <row r="463" spans="20:29" x14ac:dyDescent="0.3">
      <c r="T463" s="29">
        <f t="shared" si="70"/>
        <v>0</v>
      </c>
      <c r="U463" s="29">
        <f t="shared" si="71"/>
        <v>0</v>
      </c>
      <c r="V463" s="29">
        <f t="shared" si="72"/>
        <v>0</v>
      </c>
      <c r="W463" s="29" t="str">
        <f t="shared" si="78"/>
        <v/>
      </c>
      <c r="X463" s="29" t="str">
        <f t="shared" si="73"/>
        <v/>
      </c>
      <c r="Y463" s="32" t="str">
        <f t="shared" si="74"/>
        <v/>
      </c>
      <c r="Z463" s="29" t="str">
        <f t="shared" si="75"/>
        <v/>
      </c>
      <c r="AA463" s="29" t="str">
        <f t="shared" si="79"/>
        <v/>
      </c>
      <c r="AB463" s="29" t="str">
        <f t="shared" si="76"/>
        <v/>
      </c>
      <c r="AC463" t="str">
        <f t="shared" si="77"/>
        <v/>
      </c>
    </row>
    <row r="464" spans="20:29" x14ac:dyDescent="0.3">
      <c r="T464" s="29">
        <f t="shared" si="70"/>
        <v>0</v>
      </c>
      <c r="U464" s="29">
        <f t="shared" si="71"/>
        <v>0</v>
      </c>
      <c r="V464" s="29">
        <f t="shared" si="72"/>
        <v>0</v>
      </c>
      <c r="W464" s="29" t="str">
        <f t="shared" si="78"/>
        <v/>
      </c>
      <c r="X464" s="29" t="str">
        <f t="shared" si="73"/>
        <v/>
      </c>
      <c r="Y464" s="32" t="str">
        <f t="shared" si="74"/>
        <v/>
      </c>
      <c r="Z464" s="29" t="str">
        <f t="shared" si="75"/>
        <v/>
      </c>
      <c r="AA464" s="29" t="str">
        <f t="shared" si="79"/>
        <v/>
      </c>
      <c r="AB464" s="29" t="str">
        <f t="shared" si="76"/>
        <v/>
      </c>
      <c r="AC464" t="str">
        <f t="shared" si="77"/>
        <v/>
      </c>
    </row>
    <row r="465" spans="20:29" x14ac:dyDescent="0.3">
      <c r="T465" s="29">
        <f t="shared" si="70"/>
        <v>0</v>
      </c>
      <c r="U465" s="29">
        <f t="shared" si="71"/>
        <v>0</v>
      </c>
      <c r="V465" s="29">
        <f t="shared" si="72"/>
        <v>0</v>
      </c>
      <c r="W465" s="29" t="str">
        <f t="shared" si="78"/>
        <v/>
      </c>
      <c r="X465" s="29" t="str">
        <f t="shared" si="73"/>
        <v/>
      </c>
      <c r="Y465" s="32" t="str">
        <f t="shared" si="74"/>
        <v/>
      </c>
      <c r="Z465" s="29" t="str">
        <f t="shared" si="75"/>
        <v/>
      </c>
      <c r="AA465" s="29" t="str">
        <f t="shared" si="79"/>
        <v/>
      </c>
      <c r="AB465" s="29" t="str">
        <f t="shared" si="76"/>
        <v/>
      </c>
      <c r="AC465" t="str">
        <f t="shared" si="77"/>
        <v/>
      </c>
    </row>
    <row r="466" spans="20:29" x14ac:dyDescent="0.3">
      <c r="T466" s="29">
        <f t="shared" si="70"/>
        <v>0</v>
      </c>
      <c r="U466" s="29">
        <f t="shared" si="71"/>
        <v>0</v>
      </c>
      <c r="V466" s="29">
        <f t="shared" si="72"/>
        <v>0</v>
      </c>
      <c r="W466" s="29" t="str">
        <f t="shared" si="78"/>
        <v/>
      </c>
      <c r="X466" s="29" t="str">
        <f t="shared" si="73"/>
        <v/>
      </c>
      <c r="Y466" s="32" t="str">
        <f t="shared" si="74"/>
        <v/>
      </c>
      <c r="Z466" s="29" t="str">
        <f t="shared" si="75"/>
        <v/>
      </c>
      <c r="AA466" s="29" t="str">
        <f t="shared" si="79"/>
        <v/>
      </c>
      <c r="AB466" s="29" t="str">
        <f t="shared" si="76"/>
        <v/>
      </c>
      <c r="AC466" t="str">
        <f t="shared" si="77"/>
        <v/>
      </c>
    </row>
    <row r="467" spans="20:29" x14ac:dyDescent="0.3">
      <c r="T467" s="29">
        <f t="shared" si="70"/>
        <v>0</v>
      </c>
      <c r="U467" s="29">
        <f t="shared" si="71"/>
        <v>0</v>
      </c>
      <c r="V467" s="29">
        <f t="shared" si="72"/>
        <v>0</v>
      </c>
      <c r="W467" s="29" t="str">
        <f t="shared" si="78"/>
        <v/>
      </c>
      <c r="X467" s="29" t="str">
        <f t="shared" si="73"/>
        <v/>
      </c>
      <c r="Y467" s="32" t="str">
        <f t="shared" si="74"/>
        <v/>
      </c>
      <c r="Z467" s="29" t="str">
        <f t="shared" si="75"/>
        <v/>
      </c>
      <c r="AA467" s="29" t="str">
        <f t="shared" si="79"/>
        <v/>
      </c>
      <c r="AB467" s="29" t="str">
        <f t="shared" si="76"/>
        <v/>
      </c>
      <c r="AC467" t="str">
        <f t="shared" si="77"/>
        <v/>
      </c>
    </row>
    <row r="468" spans="20:29" x14ac:dyDescent="0.3">
      <c r="T468" s="29">
        <f t="shared" si="70"/>
        <v>0</v>
      </c>
      <c r="U468" s="29">
        <f t="shared" si="71"/>
        <v>0</v>
      </c>
      <c r="V468" s="29">
        <f t="shared" si="72"/>
        <v>0</v>
      </c>
      <c r="W468" s="29" t="str">
        <f t="shared" si="78"/>
        <v/>
      </c>
      <c r="X468" s="29" t="str">
        <f t="shared" si="73"/>
        <v/>
      </c>
      <c r="Y468" s="32" t="str">
        <f t="shared" si="74"/>
        <v/>
      </c>
      <c r="Z468" s="29" t="str">
        <f t="shared" si="75"/>
        <v/>
      </c>
      <c r="AA468" s="29" t="str">
        <f t="shared" si="79"/>
        <v/>
      </c>
      <c r="AB468" s="29" t="str">
        <f t="shared" si="76"/>
        <v/>
      </c>
      <c r="AC468" t="str">
        <f t="shared" si="77"/>
        <v/>
      </c>
    </row>
    <row r="469" spans="20:29" x14ac:dyDescent="0.3">
      <c r="T469" s="29">
        <f t="shared" si="70"/>
        <v>0</v>
      </c>
      <c r="U469" s="29">
        <f t="shared" si="71"/>
        <v>0</v>
      </c>
      <c r="V469" s="29">
        <f t="shared" si="72"/>
        <v>0</v>
      </c>
      <c r="W469" s="29" t="str">
        <f t="shared" si="78"/>
        <v/>
      </c>
      <c r="X469" s="29" t="str">
        <f t="shared" si="73"/>
        <v/>
      </c>
      <c r="Y469" s="32" t="str">
        <f t="shared" si="74"/>
        <v/>
      </c>
      <c r="Z469" s="29" t="str">
        <f t="shared" si="75"/>
        <v/>
      </c>
      <c r="AA469" s="29" t="str">
        <f t="shared" si="79"/>
        <v/>
      </c>
      <c r="AB469" s="29" t="str">
        <f t="shared" si="76"/>
        <v/>
      </c>
      <c r="AC469" t="str">
        <f t="shared" si="77"/>
        <v/>
      </c>
    </row>
    <row r="470" spans="20:29" x14ac:dyDescent="0.3">
      <c r="T470" s="29">
        <f t="shared" si="70"/>
        <v>0</v>
      </c>
      <c r="U470" s="29">
        <f t="shared" si="71"/>
        <v>0</v>
      </c>
      <c r="V470" s="29">
        <f t="shared" si="72"/>
        <v>0</v>
      </c>
      <c r="W470" s="29" t="str">
        <f t="shared" si="78"/>
        <v/>
      </c>
      <c r="X470" s="29" t="str">
        <f t="shared" si="73"/>
        <v/>
      </c>
      <c r="Y470" s="32" t="str">
        <f t="shared" si="74"/>
        <v/>
      </c>
      <c r="Z470" s="29" t="str">
        <f t="shared" si="75"/>
        <v/>
      </c>
      <c r="AA470" s="29" t="str">
        <f t="shared" si="79"/>
        <v/>
      </c>
      <c r="AB470" s="29" t="str">
        <f t="shared" si="76"/>
        <v/>
      </c>
      <c r="AC470" t="str">
        <f t="shared" si="77"/>
        <v/>
      </c>
    </row>
    <row r="471" spans="20:29" x14ac:dyDescent="0.3">
      <c r="T471" s="29">
        <f t="shared" si="70"/>
        <v>0</v>
      </c>
      <c r="U471" s="29">
        <f t="shared" si="71"/>
        <v>0</v>
      </c>
      <c r="V471" s="29">
        <f t="shared" si="72"/>
        <v>0</v>
      </c>
      <c r="W471" s="29" t="str">
        <f t="shared" si="78"/>
        <v/>
      </c>
      <c r="X471" s="29" t="str">
        <f t="shared" si="73"/>
        <v/>
      </c>
      <c r="Y471" s="32" t="str">
        <f t="shared" si="74"/>
        <v/>
      </c>
      <c r="Z471" s="29" t="str">
        <f t="shared" si="75"/>
        <v/>
      </c>
      <c r="AA471" s="29" t="str">
        <f t="shared" si="79"/>
        <v/>
      </c>
      <c r="AB471" s="29" t="str">
        <f t="shared" si="76"/>
        <v/>
      </c>
      <c r="AC471" t="str">
        <f t="shared" si="77"/>
        <v/>
      </c>
    </row>
    <row r="472" spans="20:29" x14ac:dyDescent="0.3">
      <c r="T472" s="29">
        <f t="shared" si="70"/>
        <v>0</v>
      </c>
      <c r="U472" s="29">
        <f t="shared" si="71"/>
        <v>0</v>
      </c>
      <c r="V472" s="29">
        <f t="shared" si="72"/>
        <v>0</v>
      </c>
      <c r="W472" s="29" t="str">
        <f t="shared" si="78"/>
        <v/>
      </c>
      <c r="X472" s="29" t="str">
        <f t="shared" si="73"/>
        <v/>
      </c>
      <c r="Y472" s="32" t="str">
        <f t="shared" si="74"/>
        <v/>
      </c>
      <c r="Z472" s="29" t="str">
        <f t="shared" si="75"/>
        <v/>
      </c>
      <c r="AA472" s="29" t="str">
        <f t="shared" si="79"/>
        <v/>
      </c>
      <c r="AB472" s="29" t="str">
        <f t="shared" si="76"/>
        <v/>
      </c>
      <c r="AC472" t="str">
        <f t="shared" si="77"/>
        <v/>
      </c>
    </row>
    <row r="473" spans="20:29" x14ac:dyDescent="0.3">
      <c r="T473" s="29">
        <f t="shared" si="70"/>
        <v>0</v>
      </c>
      <c r="U473" s="29">
        <f t="shared" si="71"/>
        <v>0</v>
      </c>
      <c r="V473" s="29">
        <f t="shared" si="72"/>
        <v>0</v>
      </c>
      <c r="W473" s="29" t="str">
        <f t="shared" si="78"/>
        <v/>
      </c>
      <c r="X473" s="29" t="str">
        <f t="shared" si="73"/>
        <v/>
      </c>
      <c r="Y473" s="32" t="str">
        <f t="shared" si="74"/>
        <v/>
      </c>
      <c r="Z473" s="29" t="str">
        <f t="shared" si="75"/>
        <v/>
      </c>
      <c r="AA473" s="29" t="str">
        <f t="shared" si="79"/>
        <v/>
      </c>
      <c r="AB473" s="29" t="str">
        <f t="shared" si="76"/>
        <v/>
      </c>
      <c r="AC473" t="str">
        <f t="shared" si="77"/>
        <v/>
      </c>
    </row>
    <row r="474" spans="20:29" x14ac:dyDescent="0.3">
      <c r="T474" s="29">
        <f t="shared" si="70"/>
        <v>0</v>
      </c>
      <c r="U474" s="29">
        <f t="shared" si="71"/>
        <v>0</v>
      </c>
      <c r="V474" s="29">
        <f t="shared" si="72"/>
        <v>0</v>
      </c>
      <c r="W474" s="29" t="str">
        <f t="shared" si="78"/>
        <v/>
      </c>
      <c r="X474" s="29" t="str">
        <f t="shared" si="73"/>
        <v/>
      </c>
      <c r="Y474" s="32" t="str">
        <f t="shared" si="74"/>
        <v/>
      </c>
      <c r="Z474" s="29" t="str">
        <f t="shared" si="75"/>
        <v/>
      </c>
      <c r="AA474" s="29" t="str">
        <f t="shared" si="79"/>
        <v/>
      </c>
      <c r="AB474" s="29" t="str">
        <f t="shared" si="76"/>
        <v/>
      </c>
      <c r="AC474" t="str">
        <f t="shared" si="77"/>
        <v/>
      </c>
    </row>
    <row r="475" spans="20:29" x14ac:dyDescent="0.3">
      <c r="T475" s="29">
        <f t="shared" si="70"/>
        <v>0</v>
      </c>
      <c r="U475" s="29">
        <f t="shared" si="71"/>
        <v>0</v>
      </c>
      <c r="V475" s="29">
        <f t="shared" si="72"/>
        <v>0</v>
      </c>
      <c r="W475" s="29" t="str">
        <f t="shared" si="78"/>
        <v/>
      </c>
      <c r="X475" s="29" t="str">
        <f t="shared" si="73"/>
        <v/>
      </c>
      <c r="Y475" s="32" t="str">
        <f t="shared" si="74"/>
        <v/>
      </c>
      <c r="Z475" s="29" t="str">
        <f t="shared" si="75"/>
        <v/>
      </c>
      <c r="AA475" s="29" t="str">
        <f t="shared" si="79"/>
        <v/>
      </c>
      <c r="AB475" s="29" t="str">
        <f t="shared" si="76"/>
        <v/>
      </c>
      <c r="AC475" t="str">
        <f t="shared" si="77"/>
        <v/>
      </c>
    </row>
    <row r="476" spans="20:29" x14ac:dyDescent="0.3">
      <c r="T476" s="29">
        <f t="shared" si="70"/>
        <v>0</v>
      </c>
      <c r="U476" s="29">
        <f t="shared" si="71"/>
        <v>0</v>
      </c>
      <c r="V476" s="29">
        <f t="shared" si="72"/>
        <v>0</v>
      </c>
      <c r="W476" s="29" t="str">
        <f t="shared" si="78"/>
        <v/>
      </c>
      <c r="X476" s="29" t="str">
        <f t="shared" si="73"/>
        <v/>
      </c>
      <c r="Y476" s="32" t="str">
        <f t="shared" si="74"/>
        <v/>
      </c>
      <c r="Z476" s="29" t="str">
        <f t="shared" si="75"/>
        <v/>
      </c>
      <c r="AA476" s="29" t="str">
        <f t="shared" si="79"/>
        <v/>
      </c>
      <c r="AB476" s="29" t="str">
        <f t="shared" si="76"/>
        <v/>
      </c>
      <c r="AC476" t="str">
        <f t="shared" si="77"/>
        <v/>
      </c>
    </row>
    <row r="477" spans="20:29" x14ac:dyDescent="0.3">
      <c r="T477" s="29">
        <f t="shared" si="70"/>
        <v>0</v>
      </c>
      <c r="U477" s="29">
        <f t="shared" si="71"/>
        <v>0</v>
      </c>
      <c r="V477" s="29">
        <f t="shared" si="72"/>
        <v>0</v>
      </c>
      <c r="W477" s="29" t="str">
        <f t="shared" si="78"/>
        <v/>
      </c>
      <c r="X477" s="29" t="str">
        <f t="shared" si="73"/>
        <v/>
      </c>
      <c r="Y477" s="32" t="str">
        <f t="shared" si="74"/>
        <v/>
      </c>
      <c r="Z477" s="29" t="str">
        <f t="shared" si="75"/>
        <v/>
      </c>
      <c r="AA477" s="29" t="str">
        <f t="shared" si="79"/>
        <v/>
      </c>
      <c r="AB477" s="29" t="str">
        <f t="shared" si="76"/>
        <v/>
      </c>
      <c r="AC477" t="str">
        <f t="shared" si="77"/>
        <v/>
      </c>
    </row>
    <row r="478" spans="20:29" x14ac:dyDescent="0.3">
      <c r="T478" s="29">
        <f t="shared" si="70"/>
        <v>0</v>
      </c>
      <c r="U478" s="29">
        <f t="shared" si="71"/>
        <v>0</v>
      </c>
      <c r="V478" s="29">
        <f t="shared" si="72"/>
        <v>0</v>
      </c>
      <c r="W478" s="29" t="str">
        <f t="shared" si="78"/>
        <v/>
      </c>
      <c r="X478" s="29" t="str">
        <f t="shared" si="73"/>
        <v/>
      </c>
      <c r="Y478" s="32" t="str">
        <f t="shared" si="74"/>
        <v/>
      </c>
      <c r="Z478" s="29" t="str">
        <f t="shared" si="75"/>
        <v/>
      </c>
      <c r="AA478" s="29" t="str">
        <f t="shared" si="79"/>
        <v/>
      </c>
      <c r="AB478" s="29" t="str">
        <f t="shared" si="76"/>
        <v/>
      </c>
      <c r="AC478" t="str">
        <f t="shared" si="77"/>
        <v/>
      </c>
    </row>
    <row r="479" spans="20:29" x14ac:dyDescent="0.3">
      <c r="T479" s="29">
        <f t="shared" si="70"/>
        <v>0</v>
      </c>
      <c r="U479" s="29">
        <f t="shared" si="71"/>
        <v>0</v>
      </c>
      <c r="V479" s="29">
        <f t="shared" si="72"/>
        <v>0</v>
      </c>
      <c r="W479" s="29" t="str">
        <f t="shared" si="78"/>
        <v/>
      </c>
      <c r="X479" s="29" t="str">
        <f t="shared" si="73"/>
        <v/>
      </c>
      <c r="Y479" s="32" t="str">
        <f t="shared" si="74"/>
        <v/>
      </c>
      <c r="Z479" s="29" t="str">
        <f t="shared" si="75"/>
        <v/>
      </c>
      <c r="AA479" s="29" t="str">
        <f t="shared" si="79"/>
        <v/>
      </c>
      <c r="AB479" s="29" t="str">
        <f t="shared" si="76"/>
        <v/>
      </c>
      <c r="AC479" t="str">
        <f t="shared" si="77"/>
        <v/>
      </c>
    </row>
    <row r="480" spans="20:29" x14ac:dyDescent="0.3">
      <c r="T480" s="29">
        <f t="shared" si="70"/>
        <v>0</v>
      </c>
      <c r="U480" s="29">
        <f t="shared" si="71"/>
        <v>0</v>
      </c>
      <c r="V480" s="29">
        <f t="shared" si="72"/>
        <v>0</v>
      </c>
      <c r="W480" s="29" t="str">
        <f t="shared" si="78"/>
        <v/>
      </c>
      <c r="X480" s="29" t="str">
        <f t="shared" si="73"/>
        <v/>
      </c>
      <c r="Y480" s="32" t="str">
        <f t="shared" si="74"/>
        <v/>
      </c>
      <c r="Z480" s="29" t="str">
        <f t="shared" si="75"/>
        <v/>
      </c>
      <c r="AA480" s="29" t="str">
        <f t="shared" si="79"/>
        <v/>
      </c>
      <c r="AB480" s="29" t="str">
        <f t="shared" si="76"/>
        <v/>
      </c>
      <c r="AC480" t="str">
        <f t="shared" si="77"/>
        <v/>
      </c>
    </row>
    <row r="481" spans="20:29" x14ac:dyDescent="0.3">
      <c r="T481" s="29">
        <f t="shared" si="70"/>
        <v>0</v>
      </c>
      <c r="U481" s="29">
        <f t="shared" si="71"/>
        <v>0</v>
      </c>
      <c r="V481" s="29">
        <f t="shared" si="72"/>
        <v>0</v>
      </c>
      <c r="W481" s="29" t="str">
        <f t="shared" si="78"/>
        <v/>
      </c>
      <c r="X481" s="29" t="str">
        <f t="shared" si="73"/>
        <v/>
      </c>
      <c r="Y481" s="32" t="str">
        <f t="shared" si="74"/>
        <v/>
      </c>
      <c r="Z481" s="29" t="str">
        <f t="shared" si="75"/>
        <v/>
      </c>
      <c r="AA481" s="29" t="str">
        <f t="shared" si="79"/>
        <v/>
      </c>
      <c r="AB481" s="29" t="str">
        <f t="shared" si="76"/>
        <v/>
      </c>
      <c r="AC481" t="str">
        <f t="shared" si="77"/>
        <v/>
      </c>
    </row>
    <row r="482" spans="20:29" x14ac:dyDescent="0.3">
      <c r="T482" s="29">
        <f t="shared" si="70"/>
        <v>0</v>
      </c>
      <c r="U482" s="29">
        <f t="shared" si="71"/>
        <v>0</v>
      </c>
      <c r="V482" s="29">
        <f t="shared" si="72"/>
        <v>0</v>
      </c>
      <c r="W482" s="29" t="str">
        <f t="shared" si="78"/>
        <v/>
      </c>
      <c r="X482" s="29" t="str">
        <f t="shared" si="73"/>
        <v/>
      </c>
      <c r="Y482" s="32" t="str">
        <f t="shared" si="74"/>
        <v/>
      </c>
      <c r="Z482" s="29" t="str">
        <f t="shared" si="75"/>
        <v/>
      </c>
      <c r="AA482" s="29" t="str">
        <f t="shared" si="79"/>
        <v/>
      </c>
      <c r="AB482" s="29" t="str">
        <f t="shared" si="76"/>
        <v/>
      </c>
      <c r="AC482" t="str">
        <f t="shared" si="77"/>
        <v/>
      </c>
    </row>
    <row r="483" spans="20:29" x14ac:dyDescent="0.3">
      <c r="T483" s="29">
        <f t="shared" si="70"/>
        <v>0</v>
      </c>
      <c r="U483" s="29">
        <f t="shared" si="71"/>
        <v>0</v>
      </c>
      <c r="V483" s="29">
        <f t="shared" si="72"/>
        <v>0</v>
      </c>
      <c r="W483" s="29" t="str">
        <f t="shared" si="78"/>
        <v/>
      </c>
      <c r="X483" s="29" t="str">
        <f t="shared" si="73"/>
        <v/>
      </c>
      <c r="Y483" s="32" t="str">
        <f t="shared" si="74"/>
        <v/>
      </c>
      <c r="Z483" s="29" t="str">
        <f t="shared" si="75"/>
        <v/>
      </c>
      <c r="AA483" s="29" t="str">
        <f t="shared" si="79"/>
        <v/>
      </c>
      <c r="AB483" s="29" t="str">
        <f t="shared" si="76"/>
        <v/>
      </c>
      <c r="AC483" t="str">
        <f t="shared" si="77"/>
        <v/>
      </c>
    </row>
    <row r="484" spans="20:29" x14ac:dyDescent="0.3">
      <c r="T484" s="29">
        <f t="shared" si="70"/>
        <v>0</v>
      </c>
      <c r="U484" s="29">
        <f t="shared" si="71"/>
        <v>0</v>
      </c>
      <c r="V484" s="29">
        <f t="shared" si="72"/>
        <v>0</v>
      </c>
      <c r="W484" s="29" t="str">
        <f t="shared" si="78"/>
        <v/>
      </c>
      <c r="X484" s="29" t="str">
        <f t="shared" si="73"/>
        <v/>
      </c>
      <c r="Y484" s="32" t="str">
        <f t="shared" si="74"/>
        <v/>
      </c>
      <c r="Z484" s="29" t="str">
        <f t="shared" si="75"/>
        <v/>
      </c>
      <c r="AA484" s="29" t="str">
        <f t="shared" si="79"/>
        <v/>
      </c>
      <c r="AB484" s="29" t="str">
        <f t="shared" si="76"/>
        <v/>
      </c>
      <c r="AC484" t="str">
        <f t="shared" si="77"/>
        <v/>
      </c>
    </row>
    <row r="485" spans="20:29" x14ac:dyDescent="0.3">
      <c r="T485" s="29">
        <f t="shared" si="70"/>
        <v>0</v>
      </c>
      <c r="U485" s="29">
        <f t="shared" si="71"/>
        <v>0</v>
      </c>
      <c r="V485" s="29">
        <f t="shared" si="72"/>
        <v>0</v>
      </c>
      <c r="W485" s="29" t="str">
        <f t="shared" si="78"/>
        <v/>
      </c>
      <c r="X485" s="29" t="str">
        <f t="shared" si="73"/>
        <v/>
      </c>
      <c r="Y485" s="32" t="str">
        <f t="shared" si="74"/>
        <v/>
      </c>
      <c r="Z485" s="29" t="str">
        <f t="shared" si="75"/>
        <v/>
      </c>
      <c r="AA485" s="29" t="str">
        <f t="shared" si="79"/>
        <v/>
      </c>
      <c r="AB485" s="29" t="str">
        <f t="shared" si="76"/>
        <v/>
      </c>
      <c r="AC485" t="str">
        <f t="shared" si="77"/>
        <v/>
      </c>
    </row>
    <row r="486" spans="20:29" x14ac:dyDescent="0.3">
      <c r="T486" s="29">
        <f t="shared" si="70"/>
        <v>0</v>
      </c>
      <c r="U486" s="29">
        <f t="shared" si="71"/>
        <v>0</v>
      </c>
      <c r="V486" s="29">
        <f t="shared" si="72"/>
        <v>0</v>
      </c>
      <c r="W486" s="29" t="str">
        <f t="shared" si="78"/>
        <v/>
      </c>
      <c r="X486" s="29" t="str">
        <f t="shared" si="73"/>
        <v/>
      </c>
      <c r="Y486" s="32" t="str">
        <f t="shared" si="74"/>
        <v/>
      </c>
      <c r="Z486" s="29" t="str">
        <f t="shared" si="75"/>
        <v/>
      </c>
      <c r="AA486" s="29" t="str">
        <f t="shared" si="79"/>
        <v/>
      </c>
      <c r="AB486" s="29" t="str">
        <f t="shared" si="76"/>
        <v/>
      </c>
      <c r="AC486" t="str">
        <f t="shared" si="77"/>
        <v/>
      </c>
    </row>
    <row r="487" spans="20:29" x14ac:dyDescent="0.3">
      <c r="T487" s="29">
        <f t="shared" si="70"/>
        <v>0</v>
      </c>
      <c r="U487" s="29">
        <f t="shared" si="71"/>
        <v>0</v>
      </c>
      <c r="V487" s="29">
        <f t="shared" si="72"/>
        <v>0</v>
      </c>
      <c r="W487" s="29" t="str">
        <f t="shared" si="78"/>
        <v/>
      </c>
      <c r="X487" s="29" t="str">
        <f t="shared" si="73"/>
        <v/>
      </c>
      <c r="Y487" s="32" t="str">
        <f t="shared" si="74"/>
        <v/>
      </c>
      <c r="Z487" s="29" t="str">
        <f t="shared" si="75"/>
        <v/>
      </c>
      <c r="AA487" s="29" t="str">
        <f t="shared" si="79"/>
        <v/>
      </c>
      <c r="AB487" s="29" t="str">
        <f t="shared" si="76"/>
        <v/>
      </c>
      <c r="AC487" t="str">
        <f t="shared" si="77"/>
        <v/>
      </c>
    </row>
    <row r="488" spans="20:29" x14ac:dyDescent="0.3">
      <c r="T488" s="29">
        <f t="shared" si="70"/>
        <v>0</v>
      </c>
      <c r="U488" s="29">
        <f t="shared" si="71"/>
        <v>0</v>
      </c>
      <c r="V488" s="29">
        <f t="shared" si="72"/>
        <v>0</v>
      </c>
      <c r="W488" s="29" t="str">
        <f t="shared" si="78"/>
        <v/>
      </c>
      <c r="X488" s="29" t="str">
        <f t="shared" si="73"/>
        <v/>
      </c>
      <c r="Y488" s="32" t="str">
        <f t="shared" si="74"/>
        <v/>
      </c>
      <c r="Z488" s="29" t="str">
        <f t="shared" si="75"/>
        <v/>
      </c>
      <c r="AA488" s="29" t="str">
        <f t="shared" si="79"/>
        <v/>
      </c>
      <c r="AB488" s="29" t="str">
        <f t="shared" si="76"/>
        <v/>
      </c>
      <c r="AC488" t="str">
        <f t="shared" si="77"/>
        <v/>
      </c>
    </row>
    <row r="489" spans="20:29" x14ac:dyDescent="0.3">
      <c r="T489" s="29">
        <f t="shared" si="70"/>
        <v>0</v>
      </c>
      <c r="U489" s="29">
        <f t="shared" si="71"/>
        <v>0</v>
      </c>
      <c r="V489" s="29">
        <f t="shared" si="72"/>
        <v>0</v>
      </c>
      <c r="W489" s="29" t="str">
        <f t="shared" si="78"/>
        <v/>
      </c>
      <c r="X489" s="29" t="str">
        <f t="shared" si="73"/>
        <v/>
      </c>
      <c r="Y489" s="32" t="str">
        <f t="shared" si="74"/>
        <v/>
      </c>
      <c r="Z489" s="29" t="str">
        <f t="shared" si="75"/>
        <v/>
      </c>
      <c r="AA489" s="29" t="str">
        <f t="shared" si="79"/>
        <v/>
      </c>
      <c r="AB489" s="29" t="str">
        <f t="shared" si="76"/>
        <v/>
      </c>
      <c r="AC489" t="str">
        <f t="shared" si="77"/>
        <v/>
      </c>
    </row>
    <row r="490" spans="20:29" x14ac:dyDescent="0.3">
      <c r="T490" s="29">
        <f t="shared" si="70"/>
        <v>0</v>
      </c>
      <c r="U490" s="29">
        <f t="shared" si="71"/>
        <v>0</v>
      </c>
      <c r="V490" s="29">
        <f t="shared" si="72"/>
        <v>0</v>
      </c>
      <c r="W490" s="29" t="str">
        <f t="shared" si="78"/>
        <v/>
      </c>
      <c r="X490" s="29" t="str">
        <f t="shared" si="73"/>
        <v/>
      </c>
      <c r="Y490" s="32" t="str">
        <f t="shared" si="74"/>
        <v/>
      </c>
      <c r="Z490" s="29" t="str">
        <f t="shared" si="75"/>
        <v/>
      </c>
      <c r="AA490" s="29" t="str">
        <f t="shared" si="79"/>
        <v/>
      </c>
      <c r="AB490" s="29" t="str">
        <f t="shared" si="76"/>
        <v/>
      </c>
      <c r="AC490" t="str">
        <f t="shared" si="77"/>
        <v/>
      </c>
    </row>
    <row r="491" spans="20:29" x14ac:dyDescent="0.3">
      <c r="T491" s="29">
        <f t="shared" si="70"/>
        <v>0</v>
      </c>
      <c r="U491" s="29">
        <f t="shared" si="71"/>
        <v>0</v>
      </c>
      <c r="V491" s="29">
        <f t="shared" si="72"/>
        <v>0</v>
      </c>
      <c r="W491" s="29" t="str">
        <f t="shared" si="78"/>
        <v/>
      </c>
      <c r="X491" s="29" t="str">
        <f t="shared" si="73"/>
        <v/>
      </c>
      <c r="Y491" s="32" t="str">
        <f t="shared" si="74"/>
        <v/>
      </c>
      <c r="Z491" s="29" t="str">
        <f t="shared" si="75"/>
        <v/>
      </c>
      <c r="AA491" s="29" t="str">
        <f t="shared" si="79"/>
        <v/>
      </c>
      <c r="AB491" s="29" t="str">
        <f t="shared" si="76"/>
        <v/>
      </c>
      <c r="AC491" t="str">
        <f t="shared" si="77"/>
        <v/>
      </c>
    </row>
    <row r="492" spans="20:29" x14ac:dyDescent="0.3">
      <c r="T492" s="29">
        <f t="shared" si="70"/>
        <v>0</v>
      </c>
      <c r="U492" s="29">
        <f t="shared" si="71"/>
        <v>0</v>
      </c>
      <c r="V492" s="29">
        <f t="shared" si="72"/>
        <v>0</v>
      </c>
      <c r="W492" s="29" t="str">
        <f t="shared" si="78"/>
        <v/>
      </c>
      <c r="X492" s="29" t="str">
        <f t="shared" si="73"/>
        <v/>
      </c>
      <c r="Y492" s="32" t="str">
        <f t="shared" si="74"/>
        <v/>
      </c>
      <c r="Z492" s="29" t="str">
        <f t="shared" si="75"/>
        <v/>
      </c>
      <c r="AA492" s="29" t="str">
        <f t="shared" si="79"/>
        <v/>
      </c>
      <c r="AB492" s="29" t="str">
        <f t="shared" si="76"/>
        <v/>
      </c>
      <c r="AC492" t="str">
        <f t="shared" si="77"/>
        <v/>
      </c>
    </row>
    <row r="493" spans="20:29" x14ac:dyDescent="0.3">
      <c r="T493" s="29">
        <f t="shared" si="70"/>
        <v>0</v>
      </c>
      <c r="U493" s="29">
        <f t="shared" si="71"/>
        <v>0</v>
      </c>
      <c r="V493" s="29">
        <f t="shared" si="72"/>
        <v>0</v>
      </c>
      <c r="W493" s="29" t="str">
        <f t="shared" si="78"/>
        <v/>
      </c>
      <c r="X493" s="29" t="str">
        <f t="shared" si="73"/>
        <v/>
      </c>
      <c r="Y493" s="32" t="str">
        <f t="shared" si="74"/>
        <v/>
      </c>
      <c r="Z493" s="29" t="str">
        <f t="shared" si="75"/>
        <v/>
      </c>
      <c r="AA493" s="29" t="str">
        <f t="shared" si="79"/>
        <v/>
      </c>
      <c r="AB493" s="29" t="str">
        <f t="shared" si="76"/>
        <v/>
      </c>
      <c r="AC493" t="str">
        <f t="shared" si="77"/>
        <v/>
      </c>
    </row>
    <row r="494" spans="20:29" x14ac:dyDescent="0.3">
      <c r="T494" s="29">
        <f t="shared" si="70"/>
        <v>0</v>
      </c>
      <c r="U494" s="29">
        <f t="shared" si="71"/>
        <v>0</v>
      </c>
      <c r="V494" s="29">
        <f t="shared" si="72"/>
        <v>0</v>
      </c>
      <c r="W494" s="29" t="str">
        <f t="shared" si="78"/>
        <v/>
      </c>
      <c r="X494" s="29" t="str">
        <f t="shared" si="73"/>
        <v/>
      </c>
      <c r="Y494" s="32" t="str">
        <f t="shared" si="74"/>
        <v/>
      </c>
      <c r="Z494" s="29" t="str">
        <f t="shared" si="75"/>
        <v/>
      </c>
      <c r="AA494" s="29" t="str">
        <f t="shared" si="79"/>
        <v/>
      </c>
      <c r="AB494" s="29" t="str">
        <f t="shared" si="76"/>
        <v/>
      </c>
      <c r="AC494" t="str">
        <f t="shared" si="77"/>
        <v/>
      </c>
    </row>
    <row r="495" spans="20:29" x14ac:dyDescent="0.3">
      <c r="T495" s="29">
        <f t="shared" si="70"/>
        <v>0</v>
      </c>
      <c r="U495" s="29">
        <f t="shared" si="71"/>
        <v>0</v>
      </c>
      <c r="V495" s="29">
        <f t="shared" si="72"/>
        <v>0</v>
      </c>
      <c r="W495" s="29" t="str">
        <f t="shared" si="78"/>
        <v/>
      </c>
      <c r="X495" s="29" t="str">
        <f t="shared" si="73"/>
        <v/>
      </c>
      <c r="Y495" s="32" t="str">
        <f t="shared" si="74"/>
        <v/>
      </c>
      <c r="Z495" s="29" t="str">
        <f t="shared" si="75"/>
        <v/>
      </c>
      <c r="AA495" s="29" t="str">
        <f t="shared" si="79"/>
        <v/>
      </c>
      <c r="AB495" s="29" t="str">
        <f t="shared" si="76"/>
        <v/>
      </c>
      <c r="AC495" t="str">
        <f t="shared" si="77"/>
        <v/>
      </c>
    </row>
    <row r="496" spans="20:29" x14ac:dyDescent="0.3">
      <c r="T496" s="29">
        <f t="shared" si="70"/>
        <v>0</v>
      </c>
      <c r="U496" s="29">
        <f t="shared" si="71"/>
        <v>0</v>
      </c>
      <c r="V496" s="29">
        <f t="shared" si="72"/>
        <v>0</v>
      </c>
      <c r="W496" s="29" t="str">
        <f t="shared" si="78"/>
        <v/>
      </c>
      <c r="X496" s="29" t="str">
        <f t="shared" si="73"/>
        <v/>
      </c>
      <c r="Y496" s="32" t="str">
        <f t="shared" si="74"/>
        <v/>
      </c>
      <c r="Z496" s="29" t="str">
        <f t="shared" si="75"/>
        <v/>
      </c>
      <c r="AA496" s="29" t="str">
        <f t="shared" si="79"/>
        <v/>
      </c>
      <c r="AB496" s="29" t="str">
        <f t="shared" si="76"/>
        <v/>
      </c>
      <c r="AC496" t="str">
        <f t="shared" si="77"/>
        <v/>
      </c>
    </row>
    <row r="497" spans="20:29" x14ac:dyDescent="0.3">
      <c r="T497" s="29">
        <f t="shared" si="70"/>
        <v>0</v>
      </c>
      <c r="U497" s="29">
        <f t="shared" si="71"/>
        <v>0</v>
      </c>
      <c r="V497" s="29">
        <f t="shared" si="72"/>
        <v>0</v>
      </c>
      <c r="W497" s="29" t="str">
        <f t="shared" si="78"/>
        <v/>
      </c>
      <c r="X497" s="29" t="str">
        <f t="shared" si="73"/>
        <v/>
      </c>
      <c r="Y497" s="32" t="str">
        <f t="shared" si="74"/>
        <v/>
      </c>
      <c r="Z497" s="29" t="str">
        <f t="shared" si="75"/>
        <v/>
      </c>
      <c r="AA497" s="29" t="str">
        <f t="shared" si="79"/>
        <v/>
      </c>
      <c r="AB497" s="29" t="str">
        <f t="shared" si="76"/>
        <v/>
      </c>
      <c r="AC497" t="str">
        <f t="shared" si="77"/>
        <v/>
      </c>
    </row>
    <row r="498" spans="20:29" x14ac:dyDescent="0.3">
      <c r="T498" s="29">
        <f t="shared" si="70"/>
        <v>0</v>
      </c>
      <c r="U498" s="29">
        <f t="shared" si="71"/>
        <v>0</v>
      </c>
      <c r="V498" s="29">
        <f t="shared" si="72"/>
        <v>0</v>
      </c>
      <c r="W498" s="29" t="str">
        <f t="shared" si="78"/>
        <v/>
      </c>
      <c r="X498" s="29" t="str">
        <f t="shared" si="73"/>
        <v/>
      </c>
      <c r="Y498" s="32" t="str">
        <f t="shared" si="74"/>
        <v/>
      </c>
      <c r="Z498" s="29" t="str">
        <f t="shared" si="75"/>
        <v/>
      </c>
      <c r="AA498" s="29" t="str">
        <f t="shared" si="79"/>
        <v/>
      </c>
      <c r="AB498" s="29" t="str">
        <f t="shared" si="76"/>
        <v/>
      </c>
      <c r="AC498" t="str">
        <f t="shared" si="77"/>
        <v/>
      </c>
    </row>
    <row r="499" spans="20:29" x14ac:dyDescent="0.3">
      <c r="T499" s="29">
        <f t="shared" si="70"/>
        <v>0</v>
      </c>
      <c r="U499" s="29">
        <f t="shared" si="71"/>
        <v>0</v>
      </c>
      <c r="V499" s="29">
        <f t="shared" si="72"/>
        <v>0</v>
      </c>
      <c r="W499" s="29" t="str">
        <f t="shared" si="78"/>
        <v/>
      </c>
      <c r="X499" s="29" t="str">
        <f t="shared" si="73"/>
        <v/>
      </c>
      <c r="Y499" s="32" t="str">
        <f t="shared" si="74"/>
        <v/>
      </c>
      <c r="Z499" s="29" t="str">
        <f t="shared" si="75"/>
        <v/>
      </c>
      <c r="AA499" s="29" t="str">
        <f t="shared" si="79"/>
        <v/>
      </c>
      <c r="AB499" s="29" t="str">
        <f t="shared" si="76"/>
        <v/>
      </c>
      <c r="AC499" t="str">
        <f t="shared" si="77"/>
        <v/>
      </c>
    </row>
    <row r="500" spans="20:29" x14ac:dyDescent="0.3">
      <c r="T500" s="29">
        <f t="shared" si="70"/>
        <v>0</v>
      </c>
      <c r="U500" s="29">
        <f t="shared" si="71"/>
        <v>0</v>
      </c>
      <c r="V500" s="29">
        <f t="shared" si="72"/>
        <v>0</v>
      </c>
      <c r="W500" s="29" t="str">
        <f t="shared" si="78"/>
        <v/>
      </c>
      <c r="X500" s="29" t="str">
        <f t="shared" si="73"/>
        <v/>
      </c>
      <c r="Y500" s="32" t="str">
        <f t="shared" si="74"/>
        <v/>
      </c>
      <c r="Z500" s="29" t="str">
        <f t="shared" si="75"/>
        <v/>
      </c>
      <c r="AA500" s="29" t="str">
        <f t="shared" si="79"/>
        <v/>
      </c>
      <c r="AB500" s="29" t="str">
        <f t="shared" si="76"/>
        <v/>
      </c>
      <c r="AC500" t="str">
        <f t="shared" si="77"/>
        <v/>
      </c>
    </row>
    <row r="501" spans="20:29" x14ac:dyDescent="0.3">
      <c r="T501" s="29">
        <f t="shared" si="70"/>
        <v>0</v>
      </c>
      <c r="U501" s="29">
        <f t="shared" si="71"/>
        <v>0</v>
      </c>
      <c r="V501" s="29">
        <f t="shared" si="72"/>
        <v>0</v>
      </c>
      <c r="W501" s="29" t="str">
        <f t="shared" si="78"/>
        <v/>
      </c>
      <c r="X501" s="29" t="str">
        <f t="shared" si="73"/>
        <v/>
      </c>
      <c r="Y501" s="32" t="str">
        <f t="shared" si="74"/>
        <v/>
      </c>
      <c r="Z501" s="29" t="str">
        <f t="shared" si="75"/>
        <v/>
      </c>
      <c r="AA501" s="29" t="str">
        <f t="shared" si="79"/>
        <v/>
      </c>
      <c r="AB501" s="29" t="str">
        <f t="shared" si="76"/>
        <v/>
      </c>
      <c r="AC501" t="str">
        <f t="shared" si="77"/>
        <v/>
      </c>
    </row>
    <row r="502" spans="20:29" x14ac:dyDescent="0.3">
      <c r="T502" s="29">
        <f t="shared" si="70"/>
        <v>0</v>
      </c>
      <c r="U502" s="29">
        <f t="shared" si="71"/>
        <v>0</v>
      </c>
      <c r="V502" s="29">
        <f t="shared" si="72"/>
        <v>0</v>
      </c>
      <c r="W502" s="29" t="str">
        <f t="shared" si="78"/>
        <v/>
      </c>
      <c r="X502" s="29" t="str">
        <f t="shared" si="73"/>
        <v/>
      </c>
      <c r="Y502" s="32" t="str">
        <f t="shared" si="74"/>
        <v/>
      </c>
      <c r="Z502" s="29" t="str">
        <f t="shared" si="75"/>
        <v/>
      </c>
      <c r="AA502" s="29" t="str">
        <f t="shared" si="79"/>
        <v/>
      </c>
      <c r="AB502" s="29" t="str">
        <f t="shared" si="76"/>
        <v/>
      </c>
      <c r="AC502" t="str">
        <f t="shared" si="77"/>
        <v/>
      </c>
    </row>
    <row r="503" spans="20:29" x14ac:dyDescent="0.3">
      <c r="T503" s="29">
        <f t="shared" si="70"/>
        <v>0</v>
      </c>
      <c r="U503" s="29">
        <f t="shared" si="71"/>
        <v>0</v>
      </c>
      <c r="V503" s="29">
        <f t="shared" si="72"/>
        <v>0</v>
      </c>
      <c r="W503" s="29" t="str">
        <f t="shared" si="78"/>
        <v/>
      </c>
      <c r="X503" s="29" t="str">
        <f t="shared" si="73"/>
        <v/>
      </c>
      <c r="Y503" s="32" t="str">
        <f t="shared" si="74"/>
        <v/>
      </c>
      <c r="Z503" s="29" t="str">
        <f t="shared" si="75"/>
        <v/>
      </c>
      <c r="AA503" s="29" t="str">
        <f t="shared" si="79"/>
        <v/>
      </c>
      <c r="AB503" s="29" t="str">
        <f t="shared" si="76"/>
        <v/>
      </c>
      <c r="AC503" t="str">
        <f t="shared" si="77"/>
        <v/>
      </c>
    </row>
    <row r="504" spans="20:29" x14ac:dyDescent="0.3">
      <c r="T504" s="29">
        <f t="shared" si="70"/>
        <v>0</v>
      </c>
      <c r="U504" s="29">
        <f t="shared" si="71"/>
        <v>0</v>
      </c>
      <c r="V504" s="29">
        <f t="shared" si="72"/>
        <v>0</v>
      </c>
      <c r="W504" s="29" t="str">
        <f t="shared" si="78"/>
        <v/>
      </c>
      <c r="X504" s="29" t="str">
        <f t="shared" si="73"/>
        <v/>
      </c>
      <c r="Y504" s="32" t="str">
        <f t="shared" si="74"/>
        <v/>
      </c>
      <c r="Z504" s="29" t="str">
        <f t="shared" si="75"/>
        <v/>
      </c>
      <c r="AA504" s="29" t="str">
        <f t="shared" si="79"/>
        <v/>
      </c>
      <c r="AB504" s="29" t="str">
        <f t="shared" si="76"/>
        <v/>
      </c>
      <c r="AC504" t="str">
        <f t="shared" si="77"/>
        <v/>
      </c>
    </row>
    <row r="505" spans="20:29" x14ac:dyDescent="0.3">
      <c r="T505" s="29">
        <f t="shared" si="70"/>
        <v>0</v>
      </c>
      <c r="U505" s="29">
        <f t="shared" si="71"/>
        <v>0</v>
      </c>
      <c r="V505" s="29">
        <f t="shared" si="72"/>
        <v>0</v>
      </c>
      <c r="W505" s="29" t="str">
        <f t="shared" si="78"/>
        <v/>
      </c>
      <c r="X505" s="29" t="str">
        <f t="shared" si="73"/>
        <v/>
      </c>
      <c r="Y505" s="32" t="str">
        <f t="shared" si="74"/>
        <v/>
      </c>
      <c r="Z505" s="29" t="str">
        <f t="shared" si="75"/>
        <v/>
      </c>
      <c r="AA505" s="29" t="str">
        <f t="shared" si="79"/>
        <v/>
      </c>
      <c r="AB505" s="29" t="str">
        <f t="shared" si="76"/>
        <v/>
      </c>
      <c r="AC505" t="str">
        <f t="shared" si="77"/>
        <v/>
      </c>
    </row>
    <row r="506" spans="20:29" x14ac:dyDescent="0.3">
      <c r="T506" s="29">
        <f t="shared" si="70"/>
        <v>0</v>
      </c>
      <c r="U506" s="29">
        <f t="shared" si="71"/>
        <v>0</v>
      </c>
      <c r="V506" s="29">
        <f t="shared" si="72"/>
        <v>0</v>
      </c>
      <c r="W506" s="29" t="str">
        <f t="shared" si="78"/>
        <v/>
      </c>
      <c r="X506" s="29" t="str">
        <f t="shared" si="73"/>
        <v/>
      </c>
      <c r="Y506" s="32" t="str">
        <f t="shared" si="74"/>
        <v/>
      </c>
      <c r="Z506" s="29" t="str">
        <f t="shared" si="75"/>
        <v/>
      </c>
      <c r="AA506" s="29" t="str">
        <f t="shared" si="79"/>
        <v/>
      </c>
      <c r="AB506" s="29" t="str">
        <f t="shared" si="76"/>
        <v/>
      </c>
      <c r="AC506" t="str">
        <f t="shared" si="77"/>
        <v/>
      </c>
    </row>
    <row r="507" spans="20:29" x14ac:dyDescent="0.3">
      <c r="T507" s="29">
        <f t="shared" si="70"/>
        <v>0</v>
      </c>
      <c r="U507" s="29">
        <f t="shared" si="71"/>
        <v>0</v>
      </c>
      <c r="V507" s="29">
        <f t="shared" si="72"/>
        <v>0</v>
      </c>
      <c r="W507" s="29" t="str">
        <f t="shared" si="78"/>
        <v/>
      </c>
      <c r="X507" s="29" t="str">
        <f t="shared" si="73"/>
        <v/>
      </c>
      <c r="Y507" s="32" t="str">
        <f t="shared" si="74"/>
        <v/>
      </c>
      <c r="Z507" s="29" t="str">
        <f t="shared" si="75"/>
        <v/>
      </c>
      <c r="AA507" s="29" t="str">
        <f t="shared" si="79"/>
        <v/>
      </c>
      <c r="AB507" s="29" t="str">
        <f t="shared" si="76"/>
        <v/>
      </c>
      <c r="AC507" t="str">
        <f t="shared" si="77"/>
        <v/>
      </c>
    </row>
    <row r="508" spans="20:29" x14ac:dyDescent="0.3">
      <c r="T508" s="29">
        <f t="shared" si="70"/>
        <v>0</v>
      </c>
      <c r="U508" s="29">
        <f t="shared" si="71"/>
        <v>0</v>
      </c>
      <c r="V508" s="29">
        <f t="shared" si="72"/>
        <v>0</v>
      </c>
      <c r="W508" s="29" t="str">
        <f t="shared" si="78"/>
        <v/>
      </c>
      <c r="X508" s="29" t="str">
        <f t="shared" si="73"/>
        <v/>
      </c>
      <c r="Y508" s="32" t="str">
        <f t="shared" si="74"/>
        <v/>
      </c>
      <c r="Z508" s="29" t="str">
        <f t="shared" si="75"/>
        <v/>
      </c>
      <c r="AA508" s="29" t="str">
        <f t="shared" si="79"/>
        <v/>
      </c>
      <c r="AB508" s="29" t="str">
        <f t="shared" si="76"/>
        <v/>
      </c>
      <c r="AC508" t="str">
        <f t="shared" si="77"/>
        <v/>
      </c>
    </row>
    <row r="509" spans="20:29" x14ac:dyDescent="0.3">
      <c r="T509" s="29">
        <f t="shared" si="70"/>
        <v>0</v>
      </c>
      <c r="U509" s="29">
        <f t="shared" si="71"/>
        <v>0</v>
      </c>
      <c r="V509" s="29">
        <f t="shared" si="72"/>
        <v>0</v>
      </c>
      <c r="W509" s="29" t="str">
        <f t="shared" si="78"/>
        <v/>
      </c>
      <c r="X509" s="29" t="str">
        <f t="shared" si="73"/>
        <v/>
      </c>
      <c r="Y509" s="32" t="str">
        <f t="shared" si="74"/>
        <v/>
      </c>
      <c r="Z509" s="29" t="str">
        <f t="shared" si="75"/>
        <v/>
      </c>
      <c r="AA509" s="29" t="str">
        <f t="shared" si="79"/>
        <v/>
      </c>
      <c r="AB509" s="29" t="str">
        <f t="shared" si="76"/>
        <v/>
      </c>
      <c r="AC509" t="str">
        <f t="shared" si="77"/>
        <v/>
      </c>
    </row>
    <row r="510" spans="20:29" x14ac:dyDescent="0.3">
      <c r="T510" s="29">
        <f t="shared" si="70"/>
        <v>0</v>
      </c>
      <c r="U510" s="29">
        <f t="shared" si="71"/>
        <v>0</v>
      </c>
      <c r="V510" s="29">
        <f t="shared" si="72"/>
        <v>0</v>
      </c>
      <c r="W510" s="29" t="str">
        <f t="shared" si="78"/>
        <v/>
      </c>
      <c r="X510" s="29" t="str">
        <f t="shared" si="73"/>
        <v/>
      </c>
      <c r="Y510" s="32" t="str">
        <f t="shared" si="74"/>
        <v/>
      </c>
      <c r="Z510" s="29" t="str">
        <f t="shared" si="75"/>
        <v/>
      </c>
      <c r="AA510" s="29" t="str">
        <f t="shared" si="79"/>
        <v/>
      </c>
      <c r="AB510" s="29" t="str">
        <f t="shared" si="76"/>
        <v/>
      </c>
      <c r="AC510" t="str">
        <f t="shared" si="77"/>
        <v/>
      </c>
    </row>
    <row r="511" spans="20:29" x14ac:dyDescent="0.3">
      <c r="T511" s="29">
        <f t="shared" si="70"/>
        <v>0</v>
      </c>
      <c r="U511" s="29">
        <f t="shared" si="71"/>
        <v>0</v>
      </c>
      <c r="V511" s="29">
        <f t="shared" si="72"/>
        <v>0</v>
      </c>
      <c r="W511" s="29" t="str">
        <f t="shared" si="78"/>
        <v/>
      </c>
      <c r="X511" s="29" t="str">
        <f t="shared" si="73"/>
        <v/>
      </c>
      <c r="Y511" s="32" t="str">
        <f t="shared" si="74"/>
        <v/>
      </c>
      <c r="Z511" s="29" t="str">
        <f t="shared" si="75"/>
        <v/>
      </c>
      <c r="AA511" s="29" t="str">
        <f t="shared" si="79"/>
        <v/>
      </c>
      <c r="AB511" s="29" t="str">
        <f t="shared" si="76"/>
        <v/>
      </c>
      <c r="AC511" t="str">
        <f t="shared" si="77"/>
        <v/>
      </c>
    </row>
    <row r="512" spans="20:29" x14ac:dyDescent="0.3">
      <c r="T512" s="29">
        <f t="shared" si="70"/>
        <v>0</v>
      </c>
      <c r="U512" s="29">
        <f t="shared" si="71"/>
        <v>0</v>
      </c>
      <c r="V512" s="29">
        <f t="shared" si="72"/>
        <v>0</v>
      </c>
      <c r="W512" s="29" t="str">
        <f t="shared" si="78"/>
        <v/>
      </c>
      <c r="X512" s="29" t="str">
        <f t="shared" si="73"/>
        <v/>
      </c>
      <c r="Y512" s="32" t="str">
        <f t="shared" si="74"/>
        <v/>
      </c>
      <c r="Z512" s="29" t="str">
        <f t="shared" si="75"/>
        <v/>
      </c>
      <c r="AA512" s="29" t="str">
        <f t="shared" si="79"/>
        <v/>
      </c>
      <c r="AB512" s="29" t="str">
        <f t="shared" si="76"/>
        <v/>
      </c>
      <c r="AC512" t="str">
        <f t="shared" si="77"/>
        <v/>
      </c>
    </row>
    <row r="513" spans="20:29" x14ac:dyDescent="0.3">
      <c r="T513" s="29">
        <f t="shared" si="70"/>
        <v>0</v>
      </c>
      <c r="U513" s="29">
        <f t="shared" si="71"/>
        <v>0</v>
      </c>
      <c r="V513" s="29">
        <f t="shared" si="72"/>
        <v>0</v>
      </c>
      <c r="W513" s="29" t="str">
        <f t="shared" si="78"/>
        <v/>
      </c>
      <c r="X513" s="29" t="str">
        <f t="shared" si="73"/>
        <v/>
      </c>
      <c r="Y513" s="32" t="str">
        <f t="shared" si="74"/>
        <v/>
      </c>
      <c r="Z513" s="29" t="str">
        <f t="shared" si="75"/>
        <v/>
      </c>
      <c r="AA513" s="29" t="str">
        <f t="shared" si="79"/>
        <v/>
      </c>
      <c r="AB513" s="29" t="str">
        <f t="shared" si="76"/>
        <v/>
      </c>
      <c r="AC513" t="str">
        <f t="shared" si="77"/>
        <v/>
      </c>
    </row>
    <row r="514" spans="20:29" x14ac:dyDescent="0.3">
      <c r="T514" s="29">
        <f t="shared" si="70"/>
        <v>0</v>
      </c>
      <c r="U514" s="29">
        <f t="shared" si="71"/>
        <v>0</v>
      </c>
      <c r="V514" s="29">
        <f t="shared" si="72"/>
        <v>0</v>
      </c>
      <c r="W514" s="29" t="str">
        <f t="shared" si="78"/>
        <v/>
      </c>
      <c r="X514" s="29" t="str">
        <f t="shared" si="73"/>
        <v/>
      </c>
      <c r="Y514" s="32" t="str">
        <f t="shared" si="74"/>
        <v/>
      </c>
      <c r="Z514" s="29" t="str">
        <f t="shared" si="75"/>
        <v/>
      </c>
      <c r="AA514" s="29" t="str">
        <f t="shared" si="79"/>
        <v/>
      </c>
      <c r="AB514" s="29" t="str">
        <f t="shared" si="76"/>
        <v/>
      </c>
      <c r="AC514" t="str">
        <f t="shared" si="77"/>
        <v/>
      </c>
    </row>
    <row r="515" spans="20:29" x14ac:dyDescent="0.3">
      <c r="T515" s="29">
        <f t="shared" ref="T515:T578" si="80">+O515/1.08</f>
        <v>0</v>
      </c>
      <c r="U515" s="29">
        <f t="shared" ref="U515:U578" si="81">+T515*N515</f>
        <v>0</v>
      </c>
      <c r="V515" s="29">
        <f t="shared" ref="V515:V578" si="82">+SUMIF(B:B,B515,U:U)</f>
        <v>0</v>
      </c>
      <c r="W515" s="29" t="str">
        <f t="shared" si="78"/>
        <v/>
      </c>
      <c r="X515" s="29" t="str">
        <f t="shared" ref="X515:X578" si="83">+IF(W515&lt;&gt;0,W515,"")</f>
        <v/>
      </c>
      <c r="Y515" s="32" t="str">
        <f t="shared" ref="Y515:Y578" si="84">+IF(X515&lt;&gt;"",8,"")</f>
        <v/>
      </c>
      <c r="Z515" s="29" t="str">
        <f t="shared" ref="Z515:Z578" si="85">+IF(X515&lt;&gt;"","VND","")</f>
        <v/>
      </c>
      <c r="AA515" s="29" t="str">
        <f t="shared" si="79"/>
        <v/>
      </c>
      <c r="AB515" s="29" t="str">
        <f t="shared" ref="AB515:AB578" si="86">+IF(AA515&lt;&gt;0,AA515,"")</f>
        <v/>
      </c>
      <c r="AC515" t="str">
        <f t="shared" ref="AC515:AC578" si="87">+IF(X515&lt;&gt;"","TM/CK","")</f>
        <v/>
      </c>
    </row>
    <row r="516" spans="20:29" x14ac:dyDescent="0.3">
      <c r="T516" s="29">
        <f t="shared" si="80"/>
        <v>0</v>
      </c>
      <c r="U516" s="29">
        <f t="shared" si="81"/>
        <v>0</v>
      </c>
      <c r="V516" s="29">
        <f t="shared" si="82"/>
        <v>0</v>
      </c>
      <c r="W516" s="29" t="str">
        <f t="shared" ref="W516:W579" si="88">+IF(V516=V515,"",V516)</f>
        <v/>
      </c>
      <c r="X516" s="29" t="str">
        <f t="shared" si="83"/>
        <v/>
      </c>
      <c r="Y516" s="32" t="str">
        <f t="shared" si="84"/>
        <v/>
      </c>
      <c r="Z516" s="29" t="str">
        <f t="shared" si="85"/>
        <v/>
      </c>
      <c r="AA516" s="29" t="str">
        <f t="shared" ref="AA516:AA579" si="89">+IF(B516=B515,"",E516)</f>
        <v/>
      </c>
      <c r="AB516" s="29" t="str">
        <f t="shared" si="86"/>
        <v/>
      </c>
      <c r="AC516" t="str">
        <f t="shared" si="87"/>
        <v/>
      </c>
    </row>
    <row r="517" spans="20:29" x14ac:dyDescent="0.3">
      <c r="T517" s="29">
        <f t="shared" si="80"/>
        <v>0</v>
      </c>
      <c r="U517" s="29">
        <f t="shared" si="81"/>
        <v>0</v>
      </c>
      <c r="V517" s="29">
        <f t="shared" si="82"/>
        <v>0</v>
      </c>
      <c r="W517" s="29" t="str">
        <f t="shared" si="88"/>
        <v/>
      </c>
      <c r="X517" s="29" t="str">
        <f t="shared" si="83"/>
        <v/>
      </c>
      <c r="Y517" s="32" t="str">
        <f t="shared" si="84"/>
        <v/>
      </c>
      <c r="Z517" s="29" t="str">
        <f t="shared" si="85"/>
        <v/>
      </c>
      <c r="AA517" s="29" t="str">
        <f t="shared" si="89"/>
        <v/>
      </c>
      <c r="AB517" s="29" t="str">
        <f t="shared" si="86"/>
        <v/>
      </c>
      <c r="AC517" t="str">
        <f t="shared" si="87"/>
        <v/>
      </c>
    </row>
    <row r="518" spans="20:29" x14ac:dyDescent="0.3">
      <c r="T518" s="29">
        <f t="shared" si="80"/>
        <v>0</v>
      </c>
      <c r="U518" s="29">
        <f t="shared" si="81"/>
        <v>0</v>
      </c>
      <c r="V518" s="29">
        <f t="shared" si="82"/>
        <v>0</v>
      </c>
      <c r="W518" s="29" t="str">
        <f t="shared" si="88"/>
        <v/>
      </c>
      <c r="X518" s="29" t="str">
        <f t="shared" si="83"/>
        <v/>
      </c>
      <c r="Y518" s="32" t="str">
        <f t="shared" si="84"/>
        <v/>
      </c>
      <c r="Z518" s="29" t="str">
        <f t="shared" si="85"/>
        <v/>
      </c>
      <c r="AA518" s="29" t="str">
        <f t="shared" si="89"/>
        <v/>
      </c>
      <c r="AB518" s="29" t="str">
        <f t="shared" si="86"/>
        <v/>
      </c>
      <c r="AC518" t="str">
        <f t="shared" si="87"/>
        <v/>
      </c>
    </row>
    <row r="519" spans="20:29" x14ac:dyDescent="0.3">
      <c r="T519" s="29">
        <f t="shared" si="80"/>
        <v>0</v>
      </c>
      <c r="U519" s="29">
        <f t="shared" si="81"/>
        <v>0</v>
      </c>
      <c r="V519" s="29">
        <f t="shared" si="82"/>
        <v>0</v>
      </c>
      <c r="W519" s="29" t="str">
        <f t="shared" si="88"/>
        <v/>
      </c>
      <c r="X519" s="29" t="str">
        <f t="shared" si="83"/>
        <v/>
      </c>
      <c r="Y519" s="32" t="str">
        <f t="shared" si="84"/>
        <v/>
      </c>
      <c r="Z519" s="29" t="str">
        <f t="shared" si="85"/>
        <v/>
      </c>
      <c r="AA519" s="29" t="str">
        <f t="shared" si="89"/>
        <v/>
      </c>
      <c r="AB519" s="29" t="str">
        <f t="shared" si="86"/>
        <v/>
      </c>
      <c r="AC519" t="str">
        <f t="shared" si="87"/>
        <v/>
      </c>
    </row>
    <row r="520" spans="20:29" x14ac:dyDescent="0.3">
      <c r="T520" s="29">
        <f t="shared" si="80"/>
        <v>0</v>
      </c>
      <c r="U520" s="29">
        <f t="shared" si="81"/>
        <v>0</v>
      </c>
      <c r="V520" s="29">
        <f t="shared" si="82"/>
        <v>0</v>
      </c>
      <c r="W520" s="29" t="str">
        <f t="shared" si="88"/>
        <v/>
      </c>
      <c r="X520" s="29" t="str">
        <f t="shared" si="83"/>
        <v/>
      </c>
      <c r="Y520" s="32" t="str">
        <f t="shared" si="84"/>
        <v/>
      </c>
      <c r="Z520" s="29" t="str">
        <f t="shared" si="85"/>
        <v/>
      </c>
      <c r="AA520" s="29" t="str">
        <f t="shared" si="89"/>
        <v/>
      </c>
      <c r="AB520" s="29" t="str">
        <f t="shared" si="86"/>
        <v/>
      </c>
      <c r="AC520" t="str">
        <f t="shared" si="87"/>
        <v/>
      </c>
    </row>
    <row r="521" spans="20:29" x14ac:dyDescent="0.3">
      <c r="T521" s="29">
        <f t="shared" si="80"/>
        <v>0</v>
      </c>
      <c r="U521" s="29">
        <f t="shared" si="81"/>
        <v>0</v>
      </c>
      <c r="V521" s="29">
        <f t="shared" si="82"/>
        <v>0</v>
      </c>
      <c r="W521" s="29" t="str">
        <f t="shared" si="88"/>
        <v/>
      </c>
      <c r="X521" s="29" t="str">
        <f t="shared" si="83"/>
        <v/>
      </c>
      <c r="Y521" s="32" t="str">
        <f t="shared" si="84"/>
        <v/>
      </c>
      <c r="Z521" s="29" t="str">
        <f t="shared" si="85"/>
        <v/>
      </c>
      <c r="AA521" s="29" t="str">
        <f t="shared" si="89"/>
        <v/>
      </c>
      <c r="AB521" s="29" t="str">
        <f t="shared" si="86"/>
        <v/>
      </c>
      <c r="AC521" t="str">
        <f t="shared" si="87"/>
        <v/>
      </c>
    </row>
    <row r="522" spans="20:29" x14ac:dyDescent="0.3">
      <c r="T522" s="29">
        <f t="shared" si="80"/>
        <v>0</v>
      </c>
      <c r="U522" s="29">
        <f t="shared" si="81"/>
        <v>0</v>
      </c>
      <c r="V522" s="29">
        <f t="shared" si="82"/>
        <v>0</v>
      </c>
      <c r="W522" s="29" t="str">
        <f t="shared" si="88"/>
        <v/>
      </c>
      <c r="X522" s="29" t="str">
        <f t="shared" si="83"/>
        <v/>
      </c>
      <c r="Y522" s="32" t="str">
        <f t="shared" si="84"/>
        <v/>
      </c>
      <c r="Z522" s="29" t="str">
        <f t="shared" si="85"/>
        <v/>
      </c>
      <c r="AA522" s="29" t="str">
        <f t="shared" si="89"/>
        <v/>
      </c>
      <c r="AB522" s="29" t="str">
        <f t="shared" si="86"/>
        <v/>
      </c>
      <c r="AC522" t="str">
        <f t="shared" si="87"/>
        <v/>
      </c>
    </row>
    <row r="523" spans="20:29" x14ac:dyDescent="0.3">
      <c r="T523" s="29">
        <f t="shared" si="80"/>
        <v>0</v>
      </c>
      <c r="U523" s="29">
        <f t="shared" si="81"/>
        <v>0</v>
      </c>
      <c r="V523" s="29">
        <f t="shared" si="82"/>
        <v>0</v>
      </c>
      <c r="W523" s="29" t="str">
        <f t="shared" si="88"/>
        <v/>
      </c>
      <c r="X523" s="29" t="str">
        <f t="shared" si="83"/>
        <v/>
      </c>
      <c r="Y523" s="32" t="str">
        <f t="shared" si="84"/>
        <v/>
      </c>
      <c r="Z523" s="29" t="str">
        <f t="shared" si="85"/>
        <v/>
      </c>
      <c r="AA523" s="29" t="str">
        <f t="shared" si="89"/>
        <v/>
      </c>
      <c r="AB523" s="29" t="str">
        <f t="shared" si="86"/>
        <v/>
      </c>
      <c r="AC523" t="str">
        <f t="shared" si="87"/>
        <v/>
      </c>
    </row>
    <row r="524" spans="20:29" x14ac:dyDescent="0.3">
      <c r="T524" s="29">
        <f t="shared" si="80"/>
        <v>0</v>
      </c>
      <c r="U524" s="29">
        <f t="shared" si="81"/>
        <v>0</v>
      </c>
      <c r="V524" s="29">
        <f t="shared" si="82"/>
        <v>0</v>
      </c>
      <c r="W524" s="29" t="str">
        <f t="shared" si="88"/>
        <v/>
      </c>
      <c r="X524" s="29" t="str">
        <f t="shared" si="83"/>
        <v/>
      </c>
      <c r="Y524" s="32" t="str">
        <f t="shared" si="84"/>
        <v/>
      </c>
      <c r="Z524" s="29" t="str">
        <f t="shared" si="85"/>
        <v/>
      </c>
      <c r="AA524" s="29" t="str">
        <f t="shared" si="89"/>
        <v/>
      </c>
      <c r="AB524" s="29" t="str">
        <f t="shared" si="86"/>
        <v/>
      </c>
      <c r="AC524" t="str">
        <f t="shared" si="87"/>
        <v/>
      </c>
    </row>
    <row r="525" spans="20:29" x14ac:dyDescent="0.3">
      <c r="T525" s="29">
        <f t="shared" si="80"/>
        <v>0</v>
      </c>
      <c r="U525" s="29">
        <f t="shared" si="81"/>
        <v>0</v>
      </c>
      <c r="V525" s="29">
        <f t="shared" si="82"/>
        <v>0</v>
      </c>
      <c r="W525" s="29" t="str">
        <f t="shared" si="88"/>
        <v/>
      </c>
      <c r="X525" s="29" t="str">
        <f t="shared" si="83"/>
        <v/>
      </c>
      <c r="Y525" s="32" t="str">
        <f t="shared" si="84"/>
        <v/>
      </c>
      <c r="Z525" s="29" t="str">
        <f t="shared" si="85"/>
        <v/>
      </c>
      <c r="AA525" s="29" t="str">
        <f t="shared" si="89"/>
        <v/>
      </c>
      <c r="AB525" s="29" t="str">
        <f t="shared" si="86"/>
        <v/>
      </c>
      <c r="AC525" t="str">
        <f t="shared" si="87"/>
        <v/>
      </c>
    </row>
    <row r="526" spans="20:29" x14ac:dyDescent="0.3">
      <c r="T526" s="29">
        <f t="shared" si="80"/>
        <v>0</v>
      </c>
      <c r="U526" s="29">
        <f t="shared" si="81"/>
        <v>0</v>
      </c>
      <c r="V526" s="29">
        <f t="shared" si="82"/>
        <v>0</v>
      </c>
      <c r="W526" s="29" t="str">
        <f t="shared" si="88"/>
        <v/>
      </c>
      <c r="X526" s="29" t="str">
        <f t="shared" si="83"/>
        <v/>
      </c>
      <c r="Y526" s="32" t="str">
        <f t="shared" si="84"/>
        <v/>
      </c>
      <c r="Z526" s="29" t="str">
        <f t="shared" si="85"/>
        <v/>
      </c>
      <c r="AA526" s="29" t="str">
        <f t="shared" si="89"/>
        <v/>
      </c>
      <c r="AB526" s="29" t="str">
        <f t="shared" si="86"/>
        <v/>
      </c>
      <c r="AC526" t="str">
        <f t="shared" si="87"/>
        <v/>
      </c>
    </row>
    <row r="527" spans="20:29" x14ac:dyDescent="0.3">
      <c r="T527" s="29">
        <f t="shared" si="80"/>
        <v>0</v>
      </c>
      <c r="U527" s="29">
        <f t="shared" si="81"/>
        <v>0</v>
      </c>
      <c r="V527" s="29">
        <f t="shared" si="82"/>
        <v>0</v>
      </c>
      <c r="W527" s="29" t="str">
        <f t="shared" si="88"/>
        <v/>
      </c>
      <c r="X527" s="29" t="str">
        <f t="shared" si="83"/>
        <v/>
      </c>
      <c r="Y527" s="32" t="str">
        <f t="shared" si="84"/>
        <v/>
      </c>
      <c r="Z527" s="29" t="str">
        <f t="shared" si="85"/>
        <v/>
      </c>
      <c r="AA527" s="29" t="str">
        <f t="shared" si="89"/>
        <v/>
      </c>
      <c r="AB527" s="29" t="str">
        <f t="shared" si="86"/>
        <v/>
      </c>
      <c r="AC527" t="str">
        <f t="shared" si="87"/>
        <v/>
      </c>
    </row>
    <row r="528" spans="20:29" x14ac:dyDescent="0.3">
      <c r="T528" s="29">
        <f t="shared" si="80"/>
        <v>0</v>
      </c>
      <c r="U528" s="29">
        <f t="shared" si="81"/>
        <v>0</v>
      </c>
      <c r="V528" s="29">
        <f t="shared" si="82"/>
        <v>0</v>
      </c>
      <c r="W528" s="29" t="str">
        <f t="shared" si="88"/>
        <v/>
      </c>
      <c r="X528" s="29" t="str">
        <f t="shared" si="83"/>
        <v/>
      </c>
      <c r="Y528" s="32" t="str">
        <f t="shared" si="84"/>
        <v/>
      </c>
      <c r="Z528" s="29" t="str">
        <f t="shared" si="85"/>
        <v/>
      </c>
      <c r="AA528" s="29" t="str">
        <f t="shared" si="89"/>
        <v/>
      </c>
      <c r="AB528" s="29" t="str">
        <f t="shared" si="86"/>
        <v/>
      </c>
      <c r="AC528" t="str">
        <f t="shared" si="87"/>
        <v/>
      </c>
    </row>
    <row r="529" spans="20:29" x14ac:dyDescent="0.3">
      <c r="T529" s="29">
        <f t="shared" si="80"/>
        <v>0</v>
      </c>
      <c r="U529" s="29">
        <f t="shared" si="81"/>
        <v>0</v>
      </c>
      <c r="V529" s="29">
        <f t="shared" si="82"/>
        <v>0</v>
      </c>
      <c r="W529" s="29" t="str">
        <f t="shared" si="88"/>
        <v/>
      </c>
      <c r="X529" s="29" t="str">
        <f t="shared" si="83"/>
        <v/>
      </c>
      <c r="Y529" s="32" t="str">
        <f t="shared" si="84"/>
        <v/>
      </c>
      <c r="Z529" s="29" t="str">
        <f t="shared" si="85"/>
        <v/>
      </c>
      <c r="AA529" s="29" t="str">
        <f t="shared" si="89"/>
        <v/>
      </c>
      <c r="AB529" s="29" t="str">
        <f t="shared" si="86"/>
        <v/>
      </c>
      <c r="AC529" t="str">
        <f t="shared" si="87"/>
        <v/>
      </c>
    </row>
    <row r="530" spans="20:29" x14ac:dyDescent="0.3">
      <c r="T530" s="29">
        <f t="shared" si="80"/>
        <v>0</v>
      </c>
      <c r="U530" s="29">
        <f t="shared" si="81"/>
        <v>0</v>
      </c>
      <c r="V530" s="29">
        <f t="shared" si="82"/>
        <v>0</v>
      </c>
      <c r="W530" s="29" t="str">
        <f t="shared" si="88"/>
        <v/>
      </c>
      <c r="X530" s="29" t="str">
        <f t="shared" si="83"/>
        <v/>
      </c>
      <c r="Y530" s="32" t="str">
        <f t="shared" si="84"/>
        <v/>
      </c>
      <c r="Z530" s="29" t="str">
        <f t="shared" si="85"/>
        <v/>
      </c>
      <c r="AA530" s="29" t="str">
        <f t="shared" si="89"/>
        <v/>
      </c>
      <c r="AB530" s="29" t="str">
        <f t="shared" si="86"/>
        <v/>
      </c>
      <c r="AC530" t="str">
        <f t="shared" si="87"/>
        <v/>
      </c>
    </row>
    <row r="531" spans="20:29" x14ac:dyDescent="0.3">
      <c r="T531" s="29">
        <f t="shared" si="80"/>
        <v>0</v>
      </c>
      <c r="U531" s="29">
        <f t="shared" si="81"/>
        <v>0</v>
      </c>
      <c r="V531" s="29">
        <f t="shared" si="82"/>
        <v>0</v>
      </c>
      <c r="W531" s="29" t="str">
        <f t="shared" si="88"/>
        <v/>
      </c>
      <c r="X531" s="29" t="str">
        <f t="shared" si="83"/>
        <v/>
      </c>
      <c r="Y531" s="32" t="str">
        <f t="shared" si="84"/>
        <v/>
      </c>
      <c r="Z531" s="29" t="str">
        <f t="shared" si="85"/>
        <v/>
      </c>
      <c r="AA531" s="29" t="str">
        <f t="shared" si="89"/>
        <v/>
      </c>
      <c r="AB531" s="29" t="str">
        <f t="shared" si="86"/>
        <v/>
      </c>
      <c r="AC531" t="str">
        <f t="shared" si="87"/>
        <v/>
      </c>
    </row>
    <row r="532" spans="20:29" x14ac:dyDescent="0.3">
      <c r="T532" s="29">
        <f t="shared" si="80"/>
        <v>0</v>
      </c>
      <c r="U532" s="29">
        <f t="shared" si="81"/>
        <v>0</v>
      </c>
      <c r="V532" s="29">
        <f t="shared" si="82"/>
        <v>0</v>
      </c>
      <c r="W532" s="29" t="str">
        <f t="shared" si="88"/>
        <v/>
      </c>
      <c r="X532" s="29" t="str">
        <f t="shared" si="83"/>
        <v/>
      </c>
      <c r="Y532" s="32" t="str">
        <f t="shared" si="84"/>
        <v/>
      </c>
      <c r="Z532" s="29" t="str">
        <f t="shared" si="85"/>
        <v/>
      </c>
      <c r="AA532" s="29" t="str">
        <f t="shared" si="89"/>
        <v/>
      </c>
      <c r="AB532" s="29" t="str">
        <f t="shared" si="86"/>
        <v/>
      </c>
      <c r="AC532" t="str">
        <f t="shared" si="87"/>
        <v/>
      </c>
    </row>
    <row r="533" spans="20:29" x14ac:dyDescent="0.3">
      <c r="T533" s="29">
        <f t="shared" si="80"/>
        <v>0</v>
      </c>
      <c r="U533" s="29">
        <f t="shared" si="81"/>
        <v>0</v>
      </c>
      <c r="V533" s="29">
        <f t="shared" si="82"/>
        <v>0</v>
      </c>
      <c r="W533" s="29" t="str">
        <f t="shared" si="88"/>
        <v/>
      </c>
      <c r="X533" s="29" t="str">
        <f t="shared" si="83"/>
        <v/>
      </c>
      <c r="Y533" s="32" t="str">
        <f t="shared" si="84"/>
        <v/>
      </c>
      <c r="Z533" s="29" t="str">
        <f t="shared" si="85"/>
        <v/>
      </c>
      <c r="AA533" s="29" t="str">
        <f t="shared" si="89"/>
        <v/>
      </c>
      <c r="AB533" s="29" t="str">
        <f t="shared" si="86"/>
        <v/>
      </c>
      <c r="AC533" t="str">
        <f t="shared" si="87"/>
        <v/>
      </c>
    </row>
    <row r="534" spans="20:29" x14ac:dyDescent="0.3">
      <c r="T534" s="29">
        <f t="shared" si="80"/>
        <v>0</v>
      </c>
      <c r="U534" s="29">
        <f t="shared" si="81"/>
        <v>0</v>
      </c>
      <c r="V534" s="29">
        <f t="shared" si="82"/>
        <v>0</v>
      </c>
      <c r="W534" s="29" t="str">
        <f t="shared" si="88"/>
        <v/>
      </c>
      <c r="X534" s="29" t="str">
        <f t="shared" si="83"/>
        <v/>
      </c>
      <c r="Y534" s="32" t="str">
        <f t="shared" si="84"/>
        <v/>
      </c>
      <c r="Z534" s="29" t="str">
        <f t="shared" si="85"/>
        <v/>
      </c>
      <c r="AA534" s="29" t="str">
        <f t="shared" si="89"/>
        <v/>
      </c>
      <c r="AB534" s="29" t="str">
        <f t="shared" si="86"/>
        <v/>
      </c>
      <c r="AC534" t="str">
        <f t="shared" si="87"/>
        <v/>
      </c>
    </row>
    <row r="535" spans="20:29" x14ac:dyDescent="0.3">
      <c r="T535" s="29">
        <f t="shared" si="80"/>
        <v>0</v>
      </c>
      <c r="U535" s="29">
        <f t="shared" si="81"/>
        <v>0</v>
      </c>
      <c r="V535" s="29">
        <f t="shared" si="82"/>
        <v>0</v>
      </c>
      <c r="W535" s="29" t="str">
        <f t="shared" si="88"/>
        <v/>
      </c>
      <c r="X535" s="29" t="str">
        <f t="shared" si="83"/>
        <v/>
      </c>
      <c r="Y535" s="32" t="str">
        <f t="shared" si="84"/>
        <v/>
      </c>
      <c r="Z535" s="29" t="str">
        <f t="shared" si="85"/>
        <v/>
      </c>
      <c r="AA535" s="29" t="str">
        <f t="shared" si="89"/>
        <v/>
      </c>
      <c r="AB535" s="29" t="str">
        <f t="shared" si="86"/>
        <v/>
      </c>
      <c r="AC535" t="str">
        <f t="shared" si="87"/>
        <v/>
      </c>
    </row>
    <row r="536" spans="20:29" x14ac:dyDescent="0.3">
      <c r="T536" s="29">
        <f t="shared" si="80"/>
        <v>0</v>
      </c>
      <c r="U536" s="29">
        <f t="shared" si="81"/>
        <v>0</v>
      </c>
      <c r="V536" s="29">
        <f t="shared" si="82"/>
        <v>0</v>
      </c>
      <c r="W536" s="29" t="str">
        <f t="shared" si="88"/>
        <v/>
      </c>
      <c r="X536" s="29" t="str">
        <f t="shared" si="83"/>
        <v/>
      </c>
      <c r="Y536" s="32" t="str">
        <f t="shared" si="84"/>
        <v/>
      </c>
      <c r="Z536" s="29" t="str">
        <f t="shared" si="85"/>
        <v/>
      </c>
      <c r="AA536" s="29" t="str">
        <f t="shared" si="89"/>
        <v/>
      </c>
      <c r="AB536" s="29" t="str">
        <f t="shared" si="86"/>
        <v/>
      </c>
      <c r="AC536" t="str">
        <f t="shared" si="87"/>
        <v/>
      </c>
    </row>
    <row r="537" spans="20:29" x14ac:dyDescent="0.3">
      <c r="T537" s="29">
        <f t="shared" si="80"/>
        <v>0</v>
      </c>
      <c r="U537" s="29">
        <f t="shared" si="81"/>
        <v>0</v>
      </c>
      <c r="V537" s="29">
        <f t="shared" si="82"/>
        <v>0</v>
      </c>
      <c r="W537" s="29" t="str">
        <f t="shared" si="88"/>
        <v/>
      </c>
      <c r="X537" s="29" t="str">
        <f t="shared" si="83"/>
        <v/>
      </c>
      <c r="Y537" s="32" t="str">
        <f t="shared" si="84"/>
        <v/>
      </c>
      <c r="Z537" s="29" t="str">
        <f t="shared" si="85"/>
        <v/>
      </c>
      <c r="AA537" s="29" t="str">
        <f t="shared" si="89"/>
        <v/>
      </c>
      <c r="AB537" s="29" t="str">
        <f t="shared" si="86"/>
        <v/>
      </c>
      <c r="AC537" t="str">
        <f t="shared" si="87"/>
        <v/>
      </c>
    </row>
    <row r="538" spans="20:29" x14ac:dyDescent="0.3">
      <c r="T538" s="29">
        <f t="shared" si="80"/>
        <v>0</v>
      </c>
      <c r="U538" s="29">
        <f t="shared" si="81"/>
        <v>0</v>
      </c>
      <c r="V538" s="29">
        <f t="shared" si="82"/>
        <v>0</v>
      </c>
      <c r="W538" s="29" t="str">
        <f t="shared" si="88"/>
        <v/>
      </c>
      <c r="X538" s="29" t="str">
        <f t="shared" si="83"/>
        <v/>
      </c>
      <c r="Y538" s="32" t="str">
        <f t="shared" si="84"/>
        <v/>
      </c>
      <c r="Z538" s="29" t="str">
        <f t="shared" si="85"/>
        <v/>
      </c>
      <c r="AA538" s="29" t="str">
        <f t="shared" si="89"/>
        <v/>
      </c>
      <c r="AB538" s="29" t="str">
        <f t="shared" si="86"/>
        <v/>
      </c>
      <c r="AC538" t="str">
        <f t="shared" si="87"/>
        <v/>
      </c>
    </row>
    <row r="539" spans="20:29" x14ac:dyDescent="0.3">
      <c r="T539" s="29">
        <f t="shared" si="80"/>
        <v>0</v>
      </c>
      <c r="U539" s="29">
        <f t="shared" si="81"/>
        <v>0</v>
      </c>
      <c r="V539" s="29">
        <f t="shared" si="82"/>
        <v>0</v>
      </c>
      <c r="W539" s="29" t="str">
        <f t="shared" si="88"/>
        <v/>
      </c>
      <c r="X539" s="29" t="str">
        <f t="shared" si="83"/>
        <v/>
      </c>
      <c r="Y539" s="32" t="str">
        <f t="shared" si="84"/>
        <v/>
      </c>
      <c r="Z539" s="29" t="str">
        <f t="shared" si="85"/>
        <v/>
      </c>
      <c r="AA539" s="29" t="str">
        <f t="shared" si="89"/>
        <v/>
      </c>
      <c r="AB539" s="29" t="str">
        <f t="shared" si="86"/>
        <v/>
      </c>
      <c r="AC539" t="str">
        <f t="shared" si="87"/>
        <v/>
      </c>
    </row>
    <row r="540" spans="20:29" x14ac:dyDescent="0.3">
      <c r="T540" s="29">
        <f t="shared" si="80"/>
        <v>0</v>
      </c>
      <c r="U540" s="29">
        <f t="shared" si="81"/>
        <v>0</v>
      </c>
      <c r="V540" s="29">
        <f t="shared" si="82"/>
        <v>0</v>
      </c>
      <c r="W540" s="29" t="str">
        <f t="shared" si="88"/>
        <v/>
      </c>
      <c r="X540" s="29" t="str">
        <f t="shared" si="83"/>
        <v/>
      </c>
      <c r="Y540" s="32" t="str">
        <f t="shared" si="84"/>
        <v/>
      </c>
      <c r="Z540" s="29" t="str">
        <f t="shared" si="85"/>
        <v/>
      </c>
      <c r="AA540" s="29" t="str">
        <f t="shared" si="89"/>
        <v/>
      </c>
      <c r="AB540" s="29" t="str">
        <f t="shared" si="86"/>
        <v/>
      </c>
      <c r="AC540" t="str">
        <f t="shared" si="87"/>
        <v/>
      </c>
    </row>
    <row r="541" spans="20:29" x14ac:dyDescent="0.3">
      <c r="T541" s="29">
        <f t="shared" si="80"/>
        <v>0</v>
      </c>
      <c r="U541" s="29">
        <f t="shared" si="81"/>
        <v>0</v>
      </c>
      <c r="V541" s="29">
        <f t="shared" si="82"/>
        <v>0</v>
      </c>
      <c r="W541" s="29" t="str">
        <f t="shared" si="88"/>
        <v/>
      </c>
      <c r="X541" s="29" t="str">
        <f t="shared" si="83"/>
        <v/>
      </c>
      <c r="Y541" s="32" t="str">
        <f t="shared" si="84"/>
        <v/>
      </c>
      <c r="Z541" s="29" t="str">
        <f t="shared" si="85"/>
        <v/>
      </c>
      <c r="AA541" s="29" t="str">
        <f t="shared" si="89"/>
        <v/>
      </c>
      <c r="AB541" s="29" t="str">
        <f t="shared" si="86"/>
        <v/>
      </c>
      <c r="AC541" t="str">
        <f t="shared" si="87"/>
        <v/>
      </c>
    </row>
    <row r="542" spans="20:29" x14ac:dyDescent="0.3">
      <c r="T542" s="29">
        <f t="shared" si="80"/>
        <v>0</v>
      </c>
      <c r="U542" s="29">
        <f t="shared" si="81"/>
        <v>0</v>
      </c>
      <c r="V542" s="29">
        <f t="shared" si="82"/>
        <v>0</v>
      </c>
      <c r="W542" s="29" t="str">
        <f t="shared" si="88"/>
        <v/>
      </c>
      <c r="X542" s="29" t="str">
        <f t="shared" si="83"/>
        <v/>
      </c>
      <c r="Y542" s="32" t="str">
        <f t="shared" si="84"/>
        <v/>
      </c>
      <c r="Z542" s="29" t="str">
        <f t="shared" si="85"/>
        <v/>
      </c>
      <c r="AA542" s="29" t="str">
        <f t="shared" si="89"/>
        <v/>
      </c>
      <c r="AB542" s="29" t="str">
        <f t="shared" si="86"/>
        <v/>
      </c>
      <c r="AC542" t="str">
        <f t="shared" si="87"/>
        <v/>
      </c>
    </row>
    <row r="543" spans="20:29" x14ac:dyDescent="0.3">
      <c r="T543" s="29">
        <f t="shared" si="80"/>
        <v>0</v>
      </c>
      <c r="U543" s="29">
        <f t="shared" si="81"/>
        <v>0</v>
      </c>
      <c r="V543" s="29">
        <f t="shared" si="82"/>
        <v>0</v>
      </c>
      <c r="W543" s="29" t="str">
        <f t="shared" si="88"/>
        <v/>
      </c>
      <c r="X543" s="29" t="str">
        <f t="shared" si="83"/>
        <v/>
      </c>
      <c r="Y543" s="32" t="str">
        <f t="shared" si="84"/>
        <v/>
      </c>
      <c r="Z543" s="29" t="str">
        <f t="shared" si="85"/>
        <v/>
      </c>
      <c r="AA543" s="29" t="str">
        <f t="shared" si="89"/>
        <v/>
      </c>
      <c r="AB543" s="29" t="str">
        <f t="shared" si="86"/>
        <v/>
      </c>
      <c r="AC543" t="str">
        <f t="shared" si="87"/>
        <v/>
      </c>
    </row>
    <row r="544" spans="20:29" x14ac:dyDescent="0.3">
      <c r="T544" s="29">
        <f t="shared" si="80"/>
        <v>0</v>
      </c>
      <c r="U544" s="29">
        <f t="shared" si="81"/>
        <v>0</v>
      </c>
      <c r="V544" s="29">
        <f t="shared" si="82"/>
        <v>0</v>
      </c>
      <c r="W544" s="29" t="str">
        <f t="shared" si="88"/>
        <v/>
      </c>
      <c r="X544" s="29" t="str">
        <f t="shared" si="83"/>
        <v/>
      </c>
      <c r="Y544" s="32" t="str">
        <f t="shared" si="84"/>
        <v/>
      </c>
      <c r="Z544" s="29" t="str">
        <f t="shared" si="85"/>
        <v/>
      </c>
      <c r="AA544" s="29" t="str">
        <f t="shared" si="89"/>
        <v/>
      </c>
      <c r="AB544" s="29" t="str">
        <f t="shared" si="86"/>
        <v/>
      </c>
      <c r="AC544" t="str">
        <f t="shared" si="87"/>
        <v/>
      </c>
    </row>
    <row r="545" spans="20:29" x14ac:dyDescent="0.3">
      <c r="T545" s="29">
        <f t="shared" si="80"/>
        <v>0</v>
      </c>
      <c r="U545" s="29">
        <f t="shared" si="81"/>
        <v>0</v>
      </c>
      <c r="V545" s="29">
        <f t="shared" si="82"/>
        <v>0</v>
      </c>
      <c r="W545" s="29" t="str">
        <f t="shared" si="88"/>
        <v/>
      </c>
      <c r="X545" s="29" t="str">
        <f t="shared" si="83"/>
        <v/>
      </c>
      <c r="Y545" s="32" t="str">
        <f t="shared" si="84"/>
        <v/>
      </c>
      <c r="Z545" s="29" t="str">
        <f t="shared" si="85"/>
        <v/>
      </c>
      <c r="AA545" s="29" t="str">
        <f t="shared" si="89"/>
        <v/>
      </c>
      <c r="AB545" s="29" t="str">
        <f t="shared" si="86"/>
        <v/>
      </c>
      <c r="AC545" t="str">
        <f t="shared" si="87"/>
        <v/>
      </c>
    </row>
    <row r="546" spans="20:29" x14ac:dyDescent="0.3">
      <c r="T546" s="29">
        <f t="shared" si="80"/>
        <v>0</v>
      </c>
      <c r="U546" s="29">
        <f t="shared" si="81"/>
        <v>0</v>
      </c>
      <c r="V546" s="29">
        <f t="shared" si="82"/>
        <v>0</v>
      </c>
      <c r="W546" s="29" t="str">
        <f t="shared" si="88"/>
        <v/>
      </c>
      <c r="X546" s="29" t="str">
        <f t="shared" si="83"/>
        <v/>
      </c>
      <c r="Y546" s="32" t="str">
        <f t="shared" si="84"/>
        <v/>
      </c>
      <c r="Z546" s="29" t="str">
        <f t="shared" si="85"/>
        <v/>
      </c>
      <c r="AA546" s="29" t="str">
        <f t="shared" si="89"/>
        <v/>
      </c>
      <c r="AB546" s="29" t="str">
        <f t="shared" si="86"/>
        <v/>
      </c>
      <c r="AC546" t="str">
        <f t="shared" si="87"/>
        <v/>
      </c>
    </row>
    <row r="547" spans="20:29" x14ac:dyDescent="0.3">
      <c r="T547" s="29">
        <f t="shared" si="80"/>
        <v>0</v>
      </c>
      <c r="U547" s="29">
        <f t="shared" si="81"/>
        <v>0</v>
      </c>
      <c r="V547" s="29">
        <f t="shared" si="82"/>
        <v>0</v>
      </c>
      <c r="W547" s="29" t="str">
        <f t="shared" si="88"/>
        <v/>
      </c>
      <c r="X547" s="29" t="str">
        <f t="shared" si="83"/>
        <v/>
      </c>
      <c r="Y547" s="32" t="str">
        <f t="shared" si="84"/>
        <v/>
      </c>
      <c r="Z547" s="29" t="str">
        <f t="shared" si="85"/>
        <v/>
      </c>
      <c r="AA547" s="29" t="str">
        <f t="shared" si="89"/>
        <v/>
      </c>
      <c r="AB547" s="29" t="str">
        <f t="shared" si="86"/>
        <v/>
      </c>
      <c r="AC547" t="str">
        <f t="shared" si="87"/>
        <v/>
      </c>
    </row>
    <row r="548" spans="20:29" x14ac:dyDescent="0.3">
      <c r="T548" s="29">
        <f t="shared" si="80"/>
        <v>0</v>
      </c>
      <c r="U548" s="29">
        <f t="shared" si="81"/>
        <v>0</v>
      </c>
      <c r="V548" s="29">
        <f t="shared" si="82"/>
        <v>0</v>
      </c>
      <c r="W548" s="29" t="str">
        <f t="shared" si="88"/>
        <v/>
      </c>
      <c r="X548" s="29" t="str">
        <f t="shared" si="83"/>
        <v/>
      </c>
      <c r="Y548" s="32" t="str">
        <f t="shared" si="84"/>
        <v/>
      </c>
      <c r="Z548" s="29" t="str">
        <f t="shared" si="85"/>
        <v/>
      </c>
      <c r="AA548" s="29" t="str">
        <f t="shared" si="89"/>
        <v/>
      </c>
      <c r="AB548" s="29" t="str">
        <f t="shared" si="86"/>
        <v/>
      </c>
      <c r="AC548" t="str">
        <f t="shared" si="87"/>
        <v/>
      </c>
    </row>
    <row r="549" spans="20:29" x14ac:dyDescent="0.3">
      <c r="T549" s="29">
        <f t="shared" si="80"/>
        <v>0</v>
      </c>
      <c r="U549" s="29">
        <f t="shared" si="81"/>
        <v>0</v>
      </c>
      <c r="V549" s="29">
        <f t="shared" si="82"/>
        <v>0</v>
      </c>
      <c r="W549" s="29" t="str">
        <f t="shared" si="88"/>
        <v/>
      </c>
      <c r="X549" s="29" t="str">
        <f t="shared" si="83"/>
        <v/>
      </c>
      <c r="Y549" s="32" t="str">
        <f t="shared" si="84"/>
        <v/>
      </c>
      <c r="Z549" s="29" t="str">
        <f t="shared" si="85"/>
        <v/>
      </c>
      <c r="AA549" s="29" t="str">
        <f t="shared" si="89"/>
        <v/>
      </c>
      <c r="AB549" s="29" t="str">
        <f t="shared" si="86"/>
        <v/>
      </c>
      <c r="AC549" t="str">
        <f t="shared" si="87"/>
        <v/>
      </c>
    </row>
    <row r="550" spans="20:29" x14ac:dyDescent="0.3">
      <c r="T550" s="29">
        <f t="shared" si="80"/>
        <v>0</v>
      </c>
      <c r="U550" s="29">
        <f t="shared" si="81"/>
        <v>0</v>
      </c>
      <c r="V550" s="29">
        <f t="shared" si="82"/>
        <v>0</v>
      </c>
      <c r="W550" s="29" t="str">
        <f t="shared" si="88"/>
        <v/>
      </c>
      <c r="X550" s="29" t="str">
        <f t="shared" si="83"/>
        <v/>
      </c>
      <c r="Y550" s="32" t="str">
        <f t="shared" si="84"/>
        <v/>
      </c>
      <c r="Z550" s="29" t="str">
        <f t="shared" si="85"/>
        <v/>
      </c>
      <c r="AA550" s="29" t="str">
        <f t="shared" si="89"/>
        <v/>
      </c>
      <c r="AB550" s="29" t="str">
        <f t="shared" si="86"/>
        <v/>
      </c>
      <c r="AC550" t="str">
        <f t="shared" si="87"/>
        <v/>
      </c>
    </row>
    <row r="551" spans="20:29" x14ac:dyDescent="0.3">
      <c r="T551" s="29">
        <f t="shared" si="80"/>
        <v>0</v>
      </c>
      <c r="U551" s="29">
        <f t="shared" si="81"/>
        <v>0</v>
      </c>
      <c r="V551" s="29">
        <f t="shared" si="82"/>
        <v>0</v>
      </c>
      <c r="W551" s="29" t="str">
        <f t="shared" si="88"/>
        <v/>
      </c>
      <c r="X551" s="29" t="str">
        <f t="shared" si="83"/>
        <v/>
      </c>
      <c r="Y551" s="32" t="str">
        <f t="shared" si="84"/>
        <v/>
      </c>
      <c r="Z551" s="29" t="str">
        <f t="shared" si="85"/>
        <v/>
      </c>
      <c r="AA551" s="29" t="str">
        <f t="shared" si="89"/>
        <v/>
      </c>
      <c r="AB551" s="29" t="str">
        <f t="shared" si="86"/>
        <v/>
      </c>
      <c r="AC551" t="str">
        <f t="shared" si="87"/>
        <v/>
      </c>
    </row>
    <row r="552" spans="20:29" x14ac:dyDescent="0.3">
      <c r="T552" s="29">
        <f t="shared" si="80"/>
        <v>0</v>
      </c>
      <c r="U552" s="29">
        <f t="shared" si="81"/>
        <v>0</v>
      </c>
      <c r="V552" s="29">
        <f t="shared" si="82"/>
        <v>0</v>
      </c>
      <c r="W552" s="29" t="str">
        <f t="shared" si="88"/>
        <v/>
      </c>
      <c r="X552" s="29" t="str">
        <f t="shared" si="83"/>
        <v/>
      </c>
      <c r="Y552" s="32" t="str">
        <f t="shared" si="84"/>
        <v/>
      </c>
      <c r="Z552" s="29" t="str">
        <f t="shared" si="85"/>
        <v/>
      </c>
      <c r="AA552" s="29" t="str">
        <f t="shared" si="89"/>
        <v/>
      </c>
      <c r="AB552" s="29" t="str">
        <f t="shared" si="86"/>
        <v/>
      </c>
      <c r="AC552" t="str">
        <f t="shared" si="87"/>
        <v/>
      </c>
    </row>
    <row r="553" spans="20:29" x14ac:dyDescent="0.3">
      <c r="T553" s="29">
        <f t="shared" si="80"/>
        <v>0</v>
      </c>
      <c r="U553" s="29">
        <f t="shared" si="81"/>
        <v>0</v>
      </c>
      <c r="V553" s="29">
        <f t="shared" si="82"/>
        <v>0</v>
      </c>
      <c r="W553" s="29" t="str">
        <f t="shared" si="88"/>
        <v/>
      </c>
      <c r="X553" s="29" t="str">
        <f t="shared" si="83"/>
        <v/>
      </c>
      <c r="Y553" s="32" t="str">
        <f t="shared" si="84"/>
        <v/>
      </c>
      <c r="Z553" s="29" t="str">
        <f t="shared" si="85"/>
        <v/>
      </c>
      <c r="AA553" s="29" t="str">
        <f t="shared" si="89"/>
        <v/>
      </c>
      <c r="AB553" s="29" t="str">
        <f t="shared" si="86"/>
        <v/>
      </c>
      <c r="AC553" t="str">
        <f t="shared" si="87"/>
        <v/>
      </c>
    </row>
    <row r="554" spans="20:29" x14ac:dyDescent="0.3">
      <c r="T554" s="29">
        <f t="shared" si="80"/>
        <v>0</v>
      </c>
      <c r="U554" s="29">
        <f t="shared" si="81"/>
        <v>0</v>
      </c>
      <c r="V554" s="29">
        <f t="shared" si="82"/>
        <v>0</v>
      </c>
      <c r="W554" s="29" t="str">
        <f t="shared" si="88"/>
        <v/>
      </c>
      <c r="X554" s="29" t="str">
        <f t="shared" si="83"/>
        <v/>
      </c>
      <c r="Y554" s="32" t="str">
        <f t="shared" si="84"/>
        <v/>
      </c>
      <c r="Z554" s="29" t="str">
        <f t="shared" si="85"/>
        <v/>
      </c>
      <c r="AA554" s="29" t="str">
        <f t="shared" si="89"/>
        <v/>
      </c>
      <c r="AB554" s="29" t="str">
        <f t="shared" si="86"/>
        <v/>
      </c>
      <c r="AC554" t="str">
        <f t="shared" si="87"/>
        <v/>
      </c>
    </row>
    <row r="555" spans="20:29" x14ac:dyDescent="0.3">
      <c r="T555" s="29">
        <f t="shared" si="80"/>
        <v>0</v>
      </c>
      <c r="U555" s="29">
        <f t="shared" si="81"/>
        <v>0</v>
      </c>
      <c r="V555" s="29">
        <f t="shared" si="82"/>
        <v>0</v>
      </c>
      <c r="W555" s="29" t="str">
        <f t="shared" si="88"/>
        <v/>
      </c>
      <c r="X555" s="29" t="str">
        <f t="shared" si="83"/>
        <v/>
      </c>
      <c r="Y555" s="32" t="str">
        <f t="shared" si="84"/>
        <v/>
      </c>
      <c r="Z555" s="29" t="str">
        <f t="shared" si="85"/>
        <v/>
      </c>
      <c r="AA555" s="29" t="str">
        <f t="shared" si="89"/>
        <v/>
      </c>
      <c r="AB555" s="29" t="str">
        <f t="shared" si="86"/>
        <v/>
      </c>
      <c r="AC555" t="str">
        <f t="shared" si="87"/>
        <v/>
      </c>
    </row>
    <row r="556" spans="20:29" x14ac:dyDescent="0.3">
      <c r="T556" s="29">
        <f t="shared" si="80"/>
        <v>0</v>
      </c>
      <c r="U556" s="29">
        <f t="shared" si="81"/>
        <v>0</v>
      </c>
      <c r="V556" s="29">
        <f t="shared" si="82"/>
        <v>0</v>
      </c>
      <c r="W556" s="29" t="str">
        <f t="shared" si="88"/>
        <v/>
      </c>
      <c r="X556" s="29" t="str">
        <f t="shared" si="83"/>
        <v/>
      </c>
      <c r="Y556" s="32" t="str">
        <f t="shared" si="84"/>
        <v/>
      </c>
      <c r="Z556" s="29" t="str">
        <f t="shared" si="85"/>
        <v/>
      </c>
      <c r="AA556" s="29" t="str">
        <f t="shared" si="89"/>
        <v/>
      </c>
      <c r="AB556" s="29" t="str">
        <f t="shared" si="86"/>
        <v/>
      </c>
      <c r="AC556" t="str">
        <f t="shared" si="87"/>
        <v/>
      </c>
    </row>
    <row r="557" spans="20:29" x14ac:dyDescent="0.3">
      <c r="T557" s="29">
        <f t="shared" si="80"/>
        <v>0</v>
      </c>
      <c r="U557" s="29">
        <f t="shared" si="81"/>
        <v>0</v>
      </c>
      <c r="V557" s="29">
        <f t="shared" si="82"/>
        <v>0</v>
      </c>
      <c r="W557" s="29" t="str">
        <f t="shared" si="88"/>
        <v/>
      </c>
      <c r="X557" s="29" t="str">
        <f t="shared" si="83"/>
        <v/>
      </c>
      <c r="Y557" s="32" t="str">
        <f t="shared" si="84"/>
        <v/>
      </c>
      <c r="Z557" s="29" t="str">
        <f t="shared" si="85"/>
        <v/>
      </c>
      <c r="AA557" s="29" t="str">
        <f t="shared" si="89"/>
        <v/>
      </c>
      <c r="AB557" s="29" t="str">
        <f t="shared" si="86"/>
        <v/>
      </c>
      <c r="AC557" t="str">
        <f t="shared" si="87"/>
        <v/>
      </c>
    </row>
    <row r="558" spans="20:29" x14ac:dyDescent="0.3">
      <c r="T558" s="29">
        <f t="shared" si="80"/>
        <v>0</v>
      </c>
      <c r="U558" s="29">
        <f t="shared" si="81"/>
        <v>0</v>
      </c>
      <c r="V558" s="29">
        <f t="shared" si="82"/>
        <v>0</v>
      </c>
      <c r="W558" s="29" t="str">
        <f t="shared" si="88"/>
        <v/>
      </c>
      <c r="X558" s="29" t="str">
        <f t="shared" si="83"/>
        <v/>
      </c>
      <c r="Y558" s="32" t="str">
        <f t="shared" si="84"/>
        <v/>
      </c>
      <c r="Z558" s="29" t="str">
        <f t="shared" si="85"/>
        <v/>
      </c>
      <c r="AA558" s="29" t="str">
        <f t="shared" si="89"/>
        <v/>
      </c>
      <c r="AB558" s="29" t="str">
        <f t="shared" si="86"/>
        <v/>
      </c>
      <c r="AC558" t="str">
        <f t="shared" si="87"/>
        <v/>
      </c>
    </row>
    <row r="559" spans="20:29" x14ac:dyDescent="0.3">
      <c r="T559" s="29">
        <f t="shared" si="80"/>
        <v>0</v>
      </c>
      <c r="U559" s="29">
        <f t="shared" si="81"/>
        <v>0</v>
      </c>
      <c r="V559" s="29">
        <f t="shared" si="82"/>
        <v>0</v>
      </c>
      <c r="W559" s="29" t="str">
        <f t="shared" si="88"/>
        <v/>
      </c>
      <c r="X559" s="29" t="str">
        <f t="shared" si="83"/>
        <v/>
      </c>
      <c r="Y559" s="32" t="str">
        <f t="shared" si="84"/>
        <v/>
      </c>
      <c r="Z559" s="29" t="str">
        <f t="shared" si="85"/>
        <v/>
      </c>
      <c r="AA559" s="29" t="str">
        <f t="shared" si="89"/>
        <v/>
      </c>
      <c r="AB559" s="29" t="str">
        <f t="shared" si="86"/>
        <v/>
      </c>
      <c r="AC559" t="str">
        <f t="shared" si="87"/>
        <v/>
      </c>
    </row>
    <row r="560" spans="20:29" x14ac:dyDescent="0.3">
      <c r="T560" s="29">
        <f t="shared" si="80"/>
        <v>0</v>
      </c>
      <c r="U560" s="29">
        <f t="shared" si="81"/>
        <v>0</v>
      </c>
      <c r="V560" s="29">
        <f t="shared" si="82"/>
        <v>0</v>
      </c>
      <c r="W560" s="29" t="str">
        <f t="shared" si="88"/>
        <v/>
      </c>
      <c r="X560" s="29" t="str">
        <f t="shared" si="83"/>
        <v/>
      </c>
      <c r="Y560" s="32" t="str">
        <f t="shared" si="84"/>
        <v/>
      </c>
      <c r="Z560" s="29" t="str">
        <f t="shared" si="85"/>
        <v/>
      </c>
      <c r="AA560" s="29" t="str">
        <f t="shared" si="89"/>
        <v/>
      </c>
      <c r="AB560" s="29" t="str">
        <f t="shared" si="86"/>
        <v/>
      </c>
      <c r="AC560" t="str">
        <f t="shared" si="87"/>
        <v/>
      </c>
    </row>
    <row r="561" spans="20:29" x14ac:dyDescent="0.3">
      <c r="T561" s="29">
        <f t="shared" si="80"/>
        <v>0</v>
      </c>
      <c r="U561" s="29">
        <f t="shared" si="81"/>
        <v>0</v>
      </c>
      <c r="V561" s="29">
        <f t="shared" si="82"/>
        <v>0</v>
      </c>
      <c r="W561" s="29" t="str">
        <f t="shared" si="88"/>
        <v/>
      </c>
      <c r="X561" s="29" t="str">
        <f t="shared" si="83"/>
        <v/>
      </c>
      <c r="Y561" s="32" t="str">
        <f t="shared" si="84"/>
        <v/>
      </c>
      <c r="Z561" s="29" t="str">
        <f t="shared" si="85"/>
        <v/>
      </c>
      <c r="AA561" s="29" t="str">
        <f t="shared" si="89"/>
        <v/>
      </c>
      <c r="AB561" s="29" t="str">
        <f t="shared" si="86"/>
        <v/>
      </c>
      <c r="AC561" t="str">
        <f t="shared" si="87"/>
        <v/>
      </c>
    </row>
    <row r="562" spans="20:29" x14ac:dyDescent="0.3">
      <c r="T562" s="29">
        <f t="shared" si="80"/>
        <v>0</v>
      </c>
      <c r="U562" s="29">
        <f t="shared" si="81"/>
        <v>0</v>
      </c>
      <c r="V562" s="29">
        <f t="shared" si="82"/>
        <v>0</v>
      </c>
      <c r="W562" s="29" t="str">
        <f t="shared" si="88"/>
        <v/>
      </c>
      <c r="X562" s="29" t="str">
        <f t="shared" si="83"/>
        <v/>
      </c>
      <c r="Y562" s="32" t="str">
        <f t="shared" si="84"/>
        <v/>
      </c>
      <c r="Z562" s="29" t="str">
        <f t="shared" si="85"/>
        <v/>
      </c>
      <c r="AA562" s="29" t="str">
        <f t="shared" si="89"/>
        <v/>
      </c>
      <c r="AB562" s="29" t="str">
        <f t="shared" si="86"/>
        <v/>
      </c>
      <c r="AC562" t="str">
        <f t="shared" si="87"/>
        <v/>
      </c>
    </row>
    <row r="563" spans="20:29" x14ac:dyDescent="0.3">
      <c r="T563" s="29">
        <f t="shared" si="80"/>
        <v>0</v>
      </c>
      <c r="U563" s="29">
        <f t="shared" si="81"/>
        <v>0</v>
      </c>
      <c r="V563" s="29">
        <f t="shared" si="82"/>
        <v>0</v>
      </c>
      <c r="W563" s="29" t="str">
        <f t="shared" si="88"/>
        <v/>
      </c>
      <c r="X563" s="29" t="str">
        <f t="shared" si="83"/>
        <v/>
      </c>
      <c r="Y563" s="32" t="str">
        <f t="shared" si="84"/>
        <v/>
      </c>
      <c r="Z563" s="29" t="str">
        <f t="shared" si="85"/>
        <v/>
      </c>
      <c r="AA563" s="29" t="str">
        <f t="shared" si="89"/>
        <v/>
      </c>
      <c r="AB563" s="29" t="str">
        <f t="shared" si="86"/>
        <v/>
      </c>
      <c r="AC563" t="str">
        <f t="shared" si="87"/>
        <v/>
      </c>
    </row>
    <row r="564" spans="20:29" x14ac:dyDescent="0.3">
      <c r="T564" s="29">
        <f t="shared" si="80"/>
        <v>0</v>
      </c>
      <c r="U564" s="29">
        <f t="shared" si="81"/>
        <v>0</v>
      </c>
      <c r="V564" s="29">
        <f t="shared" si="82"/>
        <v>0</v>
      </c>
      <c r="W564" s="29" t="str">
        <f t="shared" si="88"/>
        <v/>
      </c>
      <c r="X564" s="29" t="str">
        <f t="shared" si="83"/>
        <v/>
      </c>
      <c r="Y564" s="32" t="str">
        <f t="shared" si="84"/>
        <v/>
      </c>
      <c r="Z564" s="29" t="str">
        <f t="shared" si="85"/>
        <v/>
      </c>
      <c r="AA564" s="29" t="str">
        <f t="shared" si="89"/>
        <v/>
      </c>
      <c r="AB564" s="29" t="str">
        <f t="shared" si="86"/>
        <v/>
      </c>
      <c r="AC564" t="str">
        <f t="shared" si="87"/>
        <v/>
      </c>
    </row>
    <row r="565" spans="20:29" x14ac:dyDescent="0.3">
      <c r="T565" s="29">
        <f t="shared" si="80"/>
        <v>0</v>
      </c>
      <c r="U565" s="29">
        <f t="shared" si="81"/>
        <v>0</v>
      </c>
      <c r="V565" s="29">
        <f t="shared" si="82"/>
        <v>0</v>
      </c>
      <c r="W565" s="29" t="str">
        <f t="shared" si="88"/>
        <v/>
      </c>
      <c r="X565" s="29" t="str">
        <f t="shared" si="83"/>
        <v/>
      </c>
      <c r="Y565" s="32" t="str">
        <f t="shared" si="84"/>
        <v/>
      </c>
      <c r="Z565" s="29" t="str">
        <f t="shared" si="85"/>
        <v/>
      </c>
      <c r="AA565" s="29" t="str">
        <f t="shared" si="89"/>
        <v/>
      </c>
      <c r="AB565" s="29" t="str">
        <f t="shared" si="86"/>
        <v/>
      </c>
      <c r="AC565" t="str">
        <f t="shared" si="87"/>
        <v/>
      </c>
    </row>
    <row r="566" spans="20:29" x14ac:dyDescent="0.3">
      <c r="T566" s="29">
        <f t="shared" si="80"/>
        <v>0</v>
      </c>
      <c r="U566" s="29">
        <f t="shared" si="81"/>
        <v>0</v>
      </c>
      <c r="V566" s="29">
        <f t="shared" si="82"/>
        <v>0</v>
      </c>
      <c r="W566" s="29" t="str">
        <f t="shared" si="88"/>
        <v/>
      </c>
      <c r="X566" s="29" t="str">
        <f t="shared" si="83"/>
        <v/>
      </c>
      <c r="Y566" s="32" t="str">
        <f t="shared" si="84"/>
        <v/>
      </c>
      <c r="Z566" s="29" t="str">
        <f t="shared" si="85"/>
        <v/>
      </c>
      <c r="AA566" s="29" t="str">
        <f t="shared" si="89"/>
        <v/>
      </c>
      <c r="AB566" s="29" t="str">
        <f t="shared" si="86"/>
        <v/>
      </c>
      <c r="AC566" t="str">
        <f t="shared" si="87"/>
        <v/>
      </c>
    </row>
    <row r="567" spans="20:29" x14ac:dyDescent="0.3">
      <c r="T567" s="29">
        <f t="shared" si="80"/>
        <v>0</v>
      </c>
      <c r="U567" s="29">
        <f t="shared" si="81"/>
        <v>0</v>
      </c>
      <c r="V567" s="29">
        <f t="shared" si="82"/>
        <v>0</v>
      </c>
      <c r="W567" s="29" t="str">
        <f t="shared" si="88"/>
        <v/>
      </c>
      <c r="X567" s="29" t="str">
        <f t="shared" si="83"/>
        <v/>
      </c>
      <c r="Y567" s="32" t="str">
        <f t="shared" si="84"/>
        <v/>
      </c>
      <c r="Z567" s="29" t="str">
        <f t="shared" si="85"/>
        <v/>
      </c>
      <c r="AA567" s="29" t="str">
        <f t="shared" si="89"/>
        <v/>
      </c>
      <c r="AB567" s="29" t="str">
        <f t="shared" si="86"/>
        <v/>
      </c>
      <c r="AC567" t="str">
        <f t="shared" si="87"/>
        <v/>
      </c>
    </row>
    <row r="568" spans="20:29" x14ac:dyDescent="0.3">
      <c r="T568" s="29">
        <f t="shared" si="80"/>
        <v>0</v>
      </c>
      <c r="U568" s="29">
        <f t="shared" si="81"/>
        <v>0</v>
      </c>
      <c r="V568" s="29">
        <f t="shared" si="82"/>
        <v>0</v>
      </c>
      <c r="W568" s="29" t="str">
        <f t="shared" si="88"/>
        <v/>
      </c>
      <c r="X568" s="29" t="str">
        <f t="shared" si="83"/>
        <v/>
      </c>
      <c r="Y568" s="32" t="str">
        <f t="shared" si="84"/>
        <v/>
      </c>
      <c r="Z568" s="29" t="str">
        <f t="shared" si="85"/>
        <v/>
      </c>
      <c r="AA568" s="29" t="str">
        <f t="shared" si="89"/>
        <v/>
      </c>
      <c r="AB568" s="29" t="str">
        <f t="shared" si="86"/>
        <v/>
      </c>
      <c r="AC568" t="str">
        <f t="shared" si="87"/>
        <v/>
      </c>
    </row>
    <row r="569" spans="20:29" x14ac:dyDescent="0.3">
      <c r="T569" s="29">
        <f t="shared" si="80"/>
        <v>0</v>
      </c>
      <c r="U569" s="29">
        <f t="shared" si="81"/>
        <v>0</v>
      </c>
      <c r="V569" s="29">
        <f t="shared" si="82"/>
        <v>0</v>
      </c>
      <c r="W569" s="29" t="str">
        <f t="shared" si="88"/>
        <v/>
      </c>
      <c r="X569" s="29" t="str">
        <f t="shared" si="83"/>
        <v/>
      </c>
      <c r="Y569" s="32" t="str">
        <f t="shared" si="84"/>
        <v/>
      </c>
      <c r="Z569" s="29" t="str">
        <f t="shared" si="85"/>
        <v/>
      </c>
      <c r="AA569" s="29" t="str">
        <f t="shared" si="89"/>
        <v/>
      </c>
      <c r="AB569" s="29" t="str">
        <f t="shared" si="86"/>
        <v/>
      </c>
      <c r="AC569" t="str">
        <f t="shared" si="87"/>
        <v/>
      </c>
    </row>
    <row r="570" spans="20:29" x14ac:dyDescent="0.3">
      <c r="T570" s="29">
        <f t="shared" si="80"/>
        <v>0</v>
      </c>
      <c r="U570" s="29">
        <f t="shared" si="81"/>
        <v>0</v>
      </c>
      <c r="V570" s="29">
        <f t="shared" si="82"/>
        <v>0</v>
      </c>
      <c r="W570" s="29" t="str">
        <f t="shared" si="88"/>
        <v/>
      </c>
      <c r="X570" s="29" t="str">
        <f t="shared" si="83"/>
        <v/>
      </c>
      <c r="Y570" s="32" t="str">
        <f t="shared" si="84"/>
        <v/>
      </c>
      <c r="Z570" s="29" t="str">
        <f t="shared" si="85"/>
        <v/>
      </c>
      <c r="AA570" s="29" t="str">
        <f t="shared" si="89"/>
        <v/>
      </c>
      <c r="AB570" s="29" t="str">
        <f t="shared" si="86"/>
        <v/>
      </c>
      <c r="AC570" t="str">
        <f t="shared" si="87"/>
        <v/>
      </c>
    </row>
    <row r="571" spans="20:29" x14ac:dyDescent="0.3">
      <c r="T571" s="29">
        <f t="shared" si="80"/>
        <v>0</v>
      </c>
      <c r="U571" s="29">
        <f t="shared" si="81"/>
        <v>0</v>
      </c>
      <c r="V571" s="29">
        <f t="shared" si="82"/>
        <v>0</v>
      </c>
      <c r="W571" s="29" t="str">
        <f t="shared" si="88"/>
        <v/>
      </c>
      <c r="X571" s="29" t="str">
        <f t="shared" si="83"/>
        <v/>
      </c>
      <c r="Y571" s="32" t="str">
        <f t="shared" si="84"/>
        <v/>
      </c>
      <c r="Z571" s="29" t="str">
        <f t="shared" si="85"/>
        <v/>
      </c>
      <c r="AA571" s="29" t="str">
        <f t="shared" si="89"/>
        <v/>
      </c>
      <c r="AB571" s="29" t="str">
        <f t="shared" si="86"/>
        <v/>
      </c>
      <c r="AC571" t="str">
        <f t="shared" si="87"/>
        <v/>
      </c>
    </row>
    <row r="572" spans="20:29" x14ac:dyDescent="0.3">
      <c r="T572" s="29">
        <f t="shared" si="80"/>
        <v>0</v>
      </c>
      <c r="U572" s="29">
        <f t="shared" si="81"/>
        <v>0</v>
      </c>
      <c r="V572" s="29">
        <f t="shared" si="82"/>
        <v>0</v>
      </c>
      <c r="W572" s="29" t="str">
        <f t="shared" si="88"/>
        <v/>
      </c>
      <c r="X572" s="29" t="str">
        <f t="shared" si="83"/>
        <v/>
      </c>
      <c r="Y572" s="32" t="str">
        <f t="shared" si="84"/>
        <v/>
      </c>
      <c r="Z572" s="29" t="str">
        <f t="shared" si="85"/>
        <v/>
      </c>
      <c r="AA572" s="29" t="str">
        <f t="shared" si="89"/>
        <v/>
      </c>
      <c r="AB572" s="29" t="str">
        <f t="shared" si="86"/>
        <v/>
      </c>
      <c r="AC572" t="str">
        <f t="shared" si="87"/>
        <v/>
      </c>
    </row>
    <row r="573" spans="20:29" x14ac:dyDescent="0.3">
      <c r="T573" s="29">
        <f t="shared" si="80"/>
        <v>0</v>
      </c>
      <c r="U573" s="29">
        <f t="shared" si="81"/>
        <v>0</v>
      </c>
      <c r="V573" s="29">
        <f t="shared" si="82"/>
        <v>0</v>
      </c>
      <c r="W573" s="29" t="str">
        <f t="shared" si="88"/>
        <v/>
      </c>
      <c r="X573" s="29" t="str">
        <f t="shared" si="83"/>
        <v/>
      </c>
      <c r="Y573" s="32" t="str">
        <f t="shared" si="84"/>
        <v/>
      </c>
      <c r="Z573" s="29" t="str">
        <f t="shared" si="85"/>
        <v/>
      </c>
      <c r="AA573" s="29" t="str">
        <f t="shared" si="89"/>
        <v/>
      </c>
      <c r="AB573" s="29" t="str">
        <f t="shared" si="86"/>
        <v/>
      </c>
      <c r="AC573" t="str">
        <f t="shared" si="87"/>
        <v/>
      </c>
    </row>
    <row r="574" spans="20:29" x14ac:dyDescent="0.3">
      <c r="T574" s="29">
        <f t="shared" si="80"/>
        <v>0</v>
      </c>
      <c r="U574" s="29">
        <f t="shared" si="81"/>
        <v>0</v>
      </c>
      <c r="V574" s="29">
        <f t="shared" si="82"/>
        <v>0</v>
      </c>
      <c r="W574" s="29" t="str">
        <f t="shared" si="88"/>
        <v/>
      </c>
      <c r="X574" s="29" t="str">
        <f t="shared" si="83"/>
        <v/>
      </c>
      <c r="Y574" s="32" t="str">
        <f t="shared" si="84"/>
        <v/>
      </c>
      <c r="Z574" s="29" t="str">
        <f t="shared" si="85"/>
        <v/>
      </c>
      <c r="AA574" s="29" t="str">
        <f t="shared" si="89"/>
        <v/>
      </c>
      <c r="AB574" s="29" t="str">
        <f t="shared" si="86"/>
        <v/>
      </c>
      <c r="AC574" t="str">
        <f t="shared" si="87"/>
        <v/>
      </c>
    </row>
    <row r="575" spans="20:29" x14ac:dyDescent="0.3">
      <c r="T575" s="29">
        <f t="shared" si="80"/>
        <v>0</v>
      </c>
      <c r="U575" s="29">
        <f t="shared" si="81"/>
        <v>0</v>
      </c>
      <c r="V575" s="29">
        <f t="shared" si="82"/>
        <v>0</v>
      </c>
      <c r="W575" s="29" t="str">
        <f t="shared" si="88"/>
        <v/>
      </c>
      <c r="X575" s="29" t="str">
        <f t="shared" si="83"/>
        <v/>
      </c>
      <c r="Y575" s="32" t="str">
        <f t="shared" si="84"/>
        <v/>
      </c>
      <c r="Z575" s="29" t="str">
        <f t="shared" si="85"/>
        <v/>
      </c>
      <c r="AA575" s="29" t="str">
        <f t="shared" si="89"/>
        <v/>
      </c>
      <c r="AB575" s="29" t="str">
        <f t="shared" si="86"/>
        <v/>
      </c>
      <c r="AC575" t="str">
        <f t="shared" si="87"/>
        <v/>
      </c>
    </row>
    <row r="576" spans="20:29" x14ac:dyDescent="0.3">
      <c r="T576" s="29">
        <f t="shared" si="80"/>
        <v>0</v>
      </c>
      <c r="U576" s="29">
        <f t="shared" si="81"/>
        <v>0</v>
      </c>
      <c r="V576" s="29">
        <f t="shared" si="82"/>
        <v>0</v>
      </c>
      <c r="W576" s="29" t="str">
        <f t="shared" si="88"/>
        <v/>
      </c>
      <c r="X576" s="29" t="str">
        <f t="shared" si="83"/>
        <v/>
      </c>
      <c r="Y576" s="32" t="str">
        <f t="shared" si="84"/>
        <v/>
      </c>
      <c r="Z576" s="29" t="str">
        <f t="shared" si="85"/>
        <v/>
      </c>
      <c r="AA576" s="29" t="str">
        <f t="shared" si="89"/>
        <v/>
      </c>
      <c r="AB576" s="29" t="str">
        <f t="shared" si="86"/>
        <v/>
      </c>
      <c r="AC576" t="str">
        <f t="shared" si="87"/>
        <v/>
      </c>
    </row>
    <row r="577" spans="20:29" x14ac:dyDescent="0.3">
      <c r="T577" s="29">
        <f t="shared" si="80"/>
        <v>0</v>
      </c>
      <c r="U577" s="29">
        <f t="shared" si="81"/>
        <v>0</v>
      </c>
      <c r="V577" s="29">
        <f t="shared" si="82"/>
        <v>0</v>
      </c>
      <c r="W577" s="29" t="str">
        <f t="shared" si="88"/>
        <v/>
      </c>
      <c r="X577" s="29" t="str">
        <f t="shared" si="83"/>
        <v/>
      </c>
      <c r="Y577" s="32" t="str">
        <f t="shared" si="84"/>
        <v/>
      </c>
      <c r="Z577" s="29" t="str">
        <f t="shared" si="85"/>
        <v/>
      </c>
      <c r="AA577" s="29" t="str">
        <f t="shared" si="89"/>
        <v/>
      </c>
      <c r="AB577" s="29" t="str">
        <f t="shared" si="86"/>
        <v/>
      </c>
      <c r="AC577" t="str">
        <f t="shared" si="87"/>
        <v/>
      </c>
    </row>
    <row r="578" spans="20:29" x14ac:dyDescent="0.3">
      <c r="T578" s="29">
        <f t="shared" si="80"/>
        <v>0</v>
      </c>
      <c r="U578" s="29">
        <f t="shared" si="81"/>
        <v>0</v>
      </c>
      <c r="V578" s="29">
        <f t="shared" si="82"/>
        <v>0</v>
      </c>
      <c r="W578" s="29" t="str">
        <f t="shared" si="88"/>
        <v/>
      </c>
      <c r="X578" s="29" t="str">
        <f t="shared" si="83"/>
        <v/>
      </c>
      <c r="Y578" s="32" t="str">
        <f t="shared" si="84"/>
        <v/>
      </c>
      <c r="Z578" s="29" t="str">
        <f t="shared" si="85"/>
        <v/>
      </c>
      <c r="AA578" s="29" t="str">
        <f t="shared" si="89"/>
        <v/>
      </c>
      <c r="AB578" s="29" t="str">
        <f t="shared" si="86"/>
        <v/>
      </c>
      <c r="AC578" t="str">
        <f t="shared" si="87"/>
        <v/>
      </c>
    </row>
    <row r="579" spans="20:29" x14ac:dyDescent="0.3">
      <c r="T579" s="29">
        <f t="shared" ref="T579:T642" si="90">+O579/1.08</f>
        <v>0</v>
      </c>
      <c r="U579" s="29">
        <f t="shared" ref="U579:U642" si="91">+T579*N579</f>
        <v>0</v>
      </c>
      <c r="V579" s="29">
        <f t="shared" ref="V579:V642" si="92">+SUMIF(B:B,B579,U:U)</f>
        <v>0</v>
      </c>
      <c r="W579" s="29" t="str">
        <f t="shared" si="88"/>
        <v/>
      </c>
      <c r="X579" s="29" t="str">
        <f t="shared" ref="X579:X642" si="93">+IF(W579&lt;&gt;0,W579,"")</f>
        <v/>
      </c>
      <c r="Y579" s="32" t="str">
        <f t="shared" ref="Y579:Y642" si="94">+IF(X579&lt;&gt;"",8,"")</f>
        <v/>
      </c>
      <c r="Z579" s="29" t="str">
        <f t="shared" ref="Z579:Z642" si="95">+IF(X579&lt;&gt;"","VND","")</f>
        <v/>
      </c>
      <c r="AA579" s="29" t="str">
        <f t="shared" si="89"/>
        <v/>
      </c>
      <c r="AB579" s="29" t="str">
        <f t="shared" ref="AB579:AB642" si="96">+IF(AA579&lt;&gt;0,AA579,"")</f>
        <v/>
      </c>
      <c r="AC579" t="str">
        <f t="shared" ref="AC579:AC642" si="97">+IF(X579&lt;&gt;"","TM/CK","")</f>
        <v/>
      </c>
    </row>
    <row r="580" spans="20:29" x14ac:dyDescent="0.3">
      <c r="T580" s="29">
        <f t="shared" si="90"/>
        <v>0</v>
      </c>
      <c r="U580" s="29">
        <f t="shared" si="91"/>
        <v>0</v>
      </c>
      <c r="V580" s="29">
        <f t="shared" si="92"/>
        <v>0</v>
      </c>
      <c r="W580" s="29" t="str">
        <f t="shared" ref="W580:W643" si="98">+IF(V580=V579,"",V580)</f>
        <v/>
      </c>
      <c r="X580" s="29" t="str">
        <f t="shared" si="93"/>
        <v/>
      </c>
      <c r="Y580" s="32" t="str">
        <f t="shared" si="94"/>
        <v/>
      </c>
      <c r="Z580" s="29" t="str">
        <f t="shared" si="95"/>
        <v/>
      </c>
      <c r="AA580" s="29" t="str">
        <f t="shared" ref="AA580:AA643" si="99">+IF(B580=B579,"",E580)</f>
        <v/>
      </c>
      <c r="AB580" s="29" t="str">
        <f t="shared" si="96"/>
        <v/>
      </c>
      <c r="AC580" t="str">
        <f t="shared" si="97"/>
        <v/>
      </c>
    </row>
    <row r="581" spans="20:29" x14ac:dyDescent="0.3">
      <c r="T581" s="29">
        <f t="shared" si="90"/>
        <v>0</v>
      </c>
      <c r="U581" s="29">
        <f t="shared" si="91"/>
        <v>0</v>
      </c>
      <c r="V581" s="29">
        <f t="shared" si="92"/>
        <v>0</v>
      </c>
      <c r="W581" s="29" t="str">
        <f t="shared" si="98"/>
        <v/>
      </c>
      <c r="X581" s="29" t="str">
        <f t="shared" si="93"/>
        <v/>
      </c>
      <c r="Y581" s="32" t="str">
        <f t="shared" si="94"/>
        <v/>
      </c>
      <c r="Z581" s="29" t="str">
        <f t="shared" si="95"/>
        <v/>
      </c>
      <c r="AA581" s="29" t="str">
        <f t="shared" si="99"/>
        <v/>
      </c>
      <c r="AB581" s="29" t="str">
        <f t="shared" si="96"/>
        <v/>
      </c>
      <c r="AC581" t="str">
        <f t="shared" si="97"/>
        <v/>
      </c>
    </row>
    <row r="582" spans="20:29" x14ac:dyDescent="0.3">
      <c r="T582" s="29">
        <f t="shared" si="90"/>
        <v>0</v>
      </c>
      <c r="U582" s="29">
        <f t="shared" si="91"/>
        <v>0</v>
      </c>
      <c r="V582" s="29">
        <f t="shared" si="92"/>
        <v>0</v>
      </c>
      <c r="W582" s="29" t="str">
        <f t="shared" si="98"/>
        <v/>
      </c>
      <c r="X582" s="29" t="str">
        <f t="shared" si="93"/>
        <v/>
      </c>
      <c r="Y582" s="32" t="str">
        <f t="shared" si="94"/>
        <v/>
      </c>
      <c r="Z582" s="29" t="str">
        <f t="shared" si="95"/>
        <v/>
      </c>
      <c r="AA582" s="29" t="str">
        <f t="shared" si="99"/>
        <v/>
      </c>
      <c r="AB582" s="29" t="str">
        <f t="shared" si="96"/>
        <v/>
      </c>
      <c r="AC582" t="str">
        <f t="shared" si="97"/>
        <v/>
      </c>
    </row>
    <row r="583" spans="20:29" x14ac:dyDescent="0.3">
      <c r="T583" s="29">
        <f t="shared" si="90"/>
        <v>0</v>
      </c>
      <c r="U583" s="29">
        <f t="shared" si="91"/>
        <v>0</v>
      </c>
      <c r="V583" s="29">
        <f t="shared" si="92"/>
        <v>0</v>
      </c>
      <c r="W583" s="29" t="str">
        <f t="shared" si="98"/>
        <v/>
      </c>
      <c r="X583" s="29" t="str">
        <f t="shared" si="93"/>
        <v/>
      </c>
      <c r="Y583" s="32" t="str">
        <f t="shared" si="94"/>
        <v/>
      </c>
      <c r="Z583" s="29" t="str">
        <f t="shared" si="95"/>
        <v/>
      </c>
      <c r="AA583" s="29" t="str">
        <f t="shared" si="99"/>
        <v/>
      </c>
      <c r="AB583" s="29" t="str">
        <f t="shared" si="96"/>
        <v/>
      </c>
      <c r="AC583" t="str">
        <f t="shared" si="97"/>
        <v/>
      </c>
    </row>
    <row r="584" spans="20:29" x14ac:dyDescent="0.3">
      <c r="T584" s="29">
        <f t="shared" si="90"/>
        <v>0</v>
      </c>
      <c r="U584" s="29">
        <f t="shared" si="91"/>
        <v>0</v>
      </c>
      <c r="V584" s="29">
        <f t="shared" si="92"/>
        <v>0</v>
      </c>
      <c r="W584" s="29" t="str">
        <f t="shared" si="98"/>
        <v/>
      </c>
      <c r="X584" s="29" t="str">
        <f t="shared" si="93"/>
        <v/>
      </c>
      <c r="Y584" s="32" t="str">
        <f t="shared" si="94"/>
        <v/>
      </c>
      <c r="Z584" s="29" t="str">
        <f t="shared" si="95"/>
        <v/>
      </c>
      <c r="AA584" s="29" t="str">
        <f t="shared" si="99"/>
        <v/>
      </c>
      <c r="AB584" s="29" t="str">
        <f t="shared" si="96"/>
        <v/>
      </c>
      <c r="AC584" t="str">
        <f t="shared" si="97"/>
        <v/>
      </c>
    </row>
    <row r="585" spans="20:29" x14ac:dyDescent="0.3">
      <c r="T585" s="29">
        <f t="shared" si="90"/>
        <v>0</v>
      </c>
      <c r="U585" s="29">
        <f t="shared" si="91"/>
        <v>0</v>
      </c>
      <c r="V585" s="29">
        <f t="shared" si="92"/>
        <v>0</v>
      </c>
      <c r="W585" s="29" t="str">
        <f t="shared" si="98"/>
        <v/>
      </c>
      <c r="X585" s="29" t="str">
        <f t="shared" si="93"/>
        <v/>
      </c>
      <c r="Y585" s="32" t="str">
        <f t="shared" si="94"/>
        <v/>
      </c>
      <c r="Z585" s="29" t="str">
        <f t="shared" si="95"/>
        <v/>
      </c>
      <c r="AA585" s="29" t="str">
        <f t="shared" si="99"/>
        <v/>
      </c>
      <c r="AB585" s="29" t="str">
        <f t="shared" si="96"/>
        <v/>
      </c>
      <c r="AC585" t="str">
        <f t="shared" si="97"/>
        <v/>
      </c>
    </row>
    <row r="586" spans="20:29" x14ac:dyDescent="0.3">
      <c r="T586" s="29">
        <f t="shared" si="90"/>
        <v>0</v>
      </c>
      <c r="U586" s="29">
        <f t="shared" si="91"/>
        <v>0</v>
      </c>
      <c r="V586" s="29">
        <f t="shared" si="92"/>
        <v>0</v>
      </c>
      <c r="W586" s="29" t="str">
        <f t="shared" si="98"/>
        <v/>
      </c>
      <c r="X586" s="29" t="str">
        <f t="shared" si="93"/>
        <v/>
      </c>
      <c r="Y586" s="32" t="str">
        <f t="shared" si="94"/>
        <v/>
      </c>
      <c r="Z586" s="29" t="str">
        <f t="shared" si="95"/>
        <v/>
      </c>
      <c r="AA586" s="29" t="str">
        <f t="shared" si="99"/>
        <v/>
      </c>
      <c r="AB586" s="29" t="str">
        <f t="shared" si="96"/>
        <v/>
      </c>
      <c r="AC586" t="str">
        <f t="shared" si="97"/>
        <v/>
      </c>
    </row>
    <row r="587" spans="20:29" x14ac:dyDescent="0.3">
      <c r="T587" s="29">
        <f t="shared" si="90"/>
        <v>0</v>
      </c>
      <c r="U587" s="29">
        <f t="shared" si="91"/>
        <v>0</v>
      </c>
      <c r="V587" s="29">
        <f t="shared" si="92"/>
        <v>0</v>
      </c>
      <c r="W587" s="29" t="str">
        <f t="shared" si="98"/>
        <v/>
      </c>
      <c r="X587" s="29" t="str">
        <f t="shared" si="93"/>
        <v/>
      </c>
      <c r="Y587" s="32" t="str">
        <f t="shared" si="94"/>
        <v/>
      </c>
      <c r="Z587" s="29" t="str">
        <f t="shared" si="95"/>
        <v/>
      </c>
      <c r="AA587" s="29" t="str">
        <f t="shared" si="99"/>
        <v/>
      </c>
      <c r="AB587" s="29" t="str">
        <f t="shared" si="96"/>
        <v/>
      </c>
      <c r="AC587" t="str">
        <f t="shared" si="97"/>
        <v/>
      </c>
    </row>
    <row r="588" spans="20:29" x14ac:dyDescent="0.3">
      <c r="T588" s="29">
        <f t="shared" si="90"/>
        <v>0</v>
      </c>
      <c r="U588" s="29">
        <f t="shared" si="91"/>
        <v>0</v>
      </c>
      <c r="V588" s="29">
        <f t="shared" si="92"/>
        <v>0</v>
      </c>
      <c r="W588" s="29" t="str">
        <f t="shared" si="98"/>
        <v/>
      </c>
      <c r="X588" s="29" t="str">
        <f t="shared" si="93"/>
        <v/>
      </c>
      <c r="Y588" s="32" t="str">
        <f t="shared" si="94"/>
        <v/>
      </c>
      <c r="Z588" s="29" t="str">
        <f t="shared" si="95"/>
        <v/>
      </c>
      <c r="AA588" s="29" t="str">
        <f t="shared" si="99"/>
        <v/>
      </c>
      <c r="AB588" s="29" t="str">
        <f t="shared" si="96"/>
        <v/>
      </c>
      <c r="AC588" t="str">
        <f t="shared" si="97"/>
        <v/>
      </c>
    </row>
    <row r="589" spans="20:29" x14ac:dyDescent="0.3">
      <c r="T589" s="29">
        <f t="shared" si="90"/>
        <v>0</v>
      </c>
      <c r="U589" s="29">
        <f t="shared" si="91"/>
        <v>0</v>
      </c>
      <c r="V589" s="29">
        <f t="shared" si="92"/>
        <v>0</v>
      </c>
      <c r="W589" s="29" t="str">
        <f t="shared" si="98"/>
        <v/>
      </c>
      <c r="X589" s="29" t="str">
        <f t="shared" si="93"/>
        <v/>
      </c>
      <c r="Y589" s="32" t="str">
        <f t="shared" si="94"/>
        <v/>
      </c>
      <c r="Z589" s="29" t="str">
        <f t="shared" si="95"/>
        <v/>
      </c>
      <c r="AA589" s="29" t="str">
        <f t="shared" si="99"/>
        <v/>
      </c>
      <c r="AB589" s="29" t="str">
        <f t="shared" si="96"/>
        <v/>
      </c>
      <c r="AC589" t="str">
        <f t="shared" si="97"/>
        <v/>
      </c>
    </row>
    <row r="590" spans="20:29" x14ac:dyDescent="0.3">
      <c r="T590" s="29">
        <f t="shared" si="90"/>
        <v>0</v>
      </c>
      <c r="U590" s="29">
        <f t="shared" si="91"/>
        <v>0</v>
      </c>
      <c r="V590" s="29">
        <f t="shared" si="92"/>
        <v>0</v>
      </c>
      <c r="W590" s="29" t="str">
        <f t="shared" si="98"/>
        <v/>
      </c>
      <c r="X590" s="29" t="str">
        <f t="shared" si="93"/>
        <v/>
      </c>
      <c r="Y590" s="32" t="str">
        <f t="shared" si="94"/>
        <v/>
      </c>
      <c r="Z590" s="29" t="str">
        <f t="shared" si="95"/>
        <v/>
      </c>
      <c r="AA590" s="29" t="str">
        <f t="shared" si="99"/>
        <v/>
      </c>
      <c r="AB590" s="29" t="str">
        <f t="shared" si="96"/>
        <v/>
      </c>
      <c r="AC590" t="str">
        <f t="shared" si="97"/>
        <v/>
      </c>
    </row>
    <row r="591" spans="20:29" x14ac:dyDescent="0.3">
      <c r="T591" s="29">
        <f t="shared" si="90"/>
        <v>0</v>
      </c>
      <c r="U591" s="29">
        <f t="shared" si="91"/>
        <v>0</v>
      </c>
      <c r="V591" s="29">
        <f t="shared" si="92"/>
        <v>0</v>
      </c>
      <c r="W591" s="29" t="str">
        <f t="shared" si="98"/>
        <v/>
      </c>
      <c r="X591" s="29" t="str">
        <f t="shared" si="93"/>
        <v/>
      </c>
      <c r="Y591" s="32" t="str">
        <f t="shared" si="94"/>
        <v/>
      </c>
      <c r="Z591" s="29" t="str">
        <f t="shared" si="95"/>
        <v/>
      </c>
      <c r="AA591" s="29" t="str">
        <f t="shared" si="99"/>
        <v/>
      </c>
      <c r="AB591" s="29" t="str">
        <f t="shared" si="96"/>
        <v/>
      </c>
      <c r="AC591" t="str">
        <f t="shared" si="97"/>
        <v/>
      </c>
    </row>
    <row r="592" spans="20:29" x14ac:dyDescent="0.3">
      <c r="T592" s="29">
        <f t="shared" si="90"/>
        <v>0</v>
      </c>
      <c r="U592" s="29">
        <f t="shared" si="91"/>
        <v>0</v>
      </c>
      <c r="V592" s="29">
        <f t="shared" si="92"/>
        <v>0</v>
      </c>
      <c r="W592" s="29" t="str">
        <f t="shared" si="98"/>
        <v/>
      </c>
      <c r="X592" s="29" t="str">
        <f t="shared" si="93"/>
        <v/>
      </c>
      <c r="Y592" s="32" t="str">
        <f t="shared" si="94"/>
        <v/>
      </c>
      <c r="Z592" s="29" t="str">
        <f t="shared" si="95"/>
        <v/>
      </c>
      <c r="AA592" s="29" t="str">
        <f t="shared" si="99"/>
        <v/>
      </c>
      <c r="AB592" s="29" t="str">
        <f t="shared" si="96"/>
        <v/>
      </c>
      <c r="AC592" t="str">
        <f t="shared" si="97"/>
        <v/>
      </c>
    </row>
    <row r="593" spans="20:29" x14ac:dyDescent="0.3">
      <c r="T593" s="29">
        <f t="shared" si="90"/>
        <v>0</v>
      </c>
      <c r="U593" s="29">
        <f t="shared" si="91"/>
        <v>0</v>
      </c>
      <c r="V593" s="29">
        <f t="shared" si="92"/>
        <v>0</v>
      </c>
      <c r="W593" s="29" t="str">
        <f t="shared" si="98"/>
        <v/>
      </c>
      <c r="X593" s="29" t="str">
        <f t="shared" si="93"/>
        <v/>
      </c>
      <c r="Y593" s="32" t="str">
        <f t="shared" si="94"/>
        <v/>
      </c>
      <c r="Z593" s="29" t="str">
        <f t="shared" si="95"/>
        <v/>
      </c>
      <c r="AA593" s="29" t="str">
        <f t="shared" si="99"/>
        <v/>
      </c>
      <c r="AB593" s="29" t="str">
        <f t="shared" si="96"/>
        <v/>
      </c>
      <c r="AC593" t="str">
        <f t="shared" si="97"/>
        <v/>
      </c>
    </row>
    <row r="594" spans="20:29" x14ac:dyDescent="0.3">
      <c r="T594" s="29">
        <f t="shared" si="90"/>
        <v>0</v>
      </c>
      <c r="U594" s="29">
        <f t="shared" si="91"/>
        <v>0</v>
      </c>
      <c r="V594" s="29">
        <f t="shared" si="92"/>
        <v>0</v>
      </c>
      <c r="W594" s="29" t="str">
        <f t="shared" si="98"/>
        <v/>
      </c>
      <c r="X594" s="29" t="str">
        <f t="shared" si="93"/>
        <v/>
      </c>
      <c r="Y594" s="32" t="str">
        <f t="shared" si="94"/>
        <v/>
      </c>
      <c r="Z594" s="29" t="str">
        <f t="shared" si="95"/>
        <v/>
      </c>
      <c r="AA594" s="29" t="str">
        <f t="shared" si="99"/>
        <v/>
      </c>
      <c r="AB594" s="29" t="str">
        <f t="shared" si="96"/>
        <v/>
      </c>
      <c r="AC594" t="str">
        <f t="shared" si="97"/>
        <v/>
      </c>
    </row>
    <row r="595" spans="20:29" x14ac:dyDescent="0.3">
      <c r="T595" s="29">
        <f t="shared" si="90"/>
        <v>0</v>
      </c>
      <c r="U595" s="29">
        <f t="shared" si="91"/>
        <v>0</v>
      </c>
      <c r="V595" s="29">
        <f t="shared" si="92"/>
        <v>0</v>
      </c>
      <c r="W595" s="29" t="str">
        <f t="shared" si="98"/>
        <v/>
      </c>
      <c r="X595" s="29" t="str">
        <f t="shared" si="93"/>
        <v/>
      </c>
      <c r="Y595" s="32" t="str">
        <f t="shared" si="94"/>
        <v/>
      </c>
      <c r="Z595" s="29" t="str">
        <f t="shared" si="95"/>
        <v/>
      </c>
      <c r="AA595" s="29" t="str">
        <f t="shared" si="99"/>
        <v/>
      </c>
      <c r="AB595" s="29" t="str">
        <f t="shared" si="96"/>
        <v/>
      </c>
      <c r="AC595" t="str">
        <f t="shared" si="97"/>
        <v/>
      </c>
    </row>
    <row r="596" spans="20:29" x14ac:dyDescent="0.3">
      <c r="T596" s="29">
        <f t="shared" si="90"/>
        <v>0</v>
      </c>
      <c r="U596" s="29">
        <f t="shared" si="91"/>
        <v>0</v>
      </c>
      <c r="V596" s="29">
        <f t="shared" si="92"/>
        <v>0</v>
      </c>
      <c r="W596" s="29" t="str">
        <f t="shared" si="98"/>
        <v/>
      </c>
      <c r="X596" s="29" t="str">
        <f t="shared" si="93"/>
        <v/>
      </c>
      <c r="Y596" s="32" t="str">
        <f t="shared" si="94"/>
        <v/>
      </c>
      <c r="Z596" s="29" t="str">
        <f t="shared" si="95"/>
        <v/>
      </c>
      <c r="AA596" s="29" t="str">
        <f t="shared" si="99"/>
        <v/>
      </c>
      <c r="AB596" s="29" t="str">
        <f t="shared" si="96"/>
        <v/>
      </c>
      <c r="AC596" t="str">
        <f t="shared" si="97"/>
        <v/>
      </c>
    </row>
    <row r="597" spans="20:29" x14ac:dyDescent="0.3">
      <c r="T597" s="29">
        <f t="shared" si="90"/>
        <v>0</v>
      </c>
      <c r="U597" s="29">
        <f t="shared" si="91"/>
        <v>0</v>
      </c>
      <c r="V597" s="29">
        <f t="shared" si="92"/>
        <v>0</v>
      </c>
      <c r="W597" s="29" t="str">
        <f t="shared" si="98"/>
        <v/>
      </c>
      <c r="X597" s="29" t="str">
        <f t="shared" si="93"/>
        <v/>
      </c>
      <c r="Y597" s="32" t="str">
        <f t="shared" si="94"/>
        <v/>
      </c>
      <c r="Z597" s="29" t="str">
        <f t="shared" si="95"/>
        <v/>
      </c>
      <c r="AA597" s="29" t="str">
        <f t="shared" si="99"/>
        <v/>
      </c>
      <c r="AB597" s="29" t="str">
        <f t="shared" si="96"/>
        <v/>
      </c>
      <c r="AC597" t="str">
        <f t="shared" si="97"/>
        <v/>
      </c>
    </row>
    <row r="598" spans="20:29" x14ac:dyDescent="0.3">
      <c r="T598" s="29">
        <f t="shared" si="90"/>
        <v>0</v>
      </c>
      <c r="U598" s="29">
        <f t="shared" si="91"/>
        <v>0</v>
      </c>
      <c r="V598" s="29">
        <f t="shared" si="92"/>
        <v>0</v>
      </c>
      <c r="W598" s="29" t="str">
        <f t="shared" si="98"/>
        <v/>
      </c>
      <c r="X598" s="29" t="str">
        <f t="shared" si="93"/>
        <v/>
      </c>
      <c r="Y598" s="32" t="str">
        <f t="shared" si="94"/>
        <v/>
      </c>
      <c r="Z598" s="29" t="str">
        <f t="shared" si="95"/>
        <v/>
      </c>
      <c r="AA598" s="29" t="str">
        <f t="shared" si="99"/>
        <v/>
      </c>
      <c r="AB598" s="29" t="str">
        <f t="shared" si="96"/>
        <v/>
      </c>
      <c r="AC598" t="str">
        <f t="shared" si="97"/>
        <v/>
      </c>
    </row>
    <row r="599" spans="20:29" x14ac:dyDescent="0.3">
      <c r="T599" s="29">
        <f t="shared" si="90"/>
        <v>0</v>
      </c>
      <c r="U599" s="29">
        <f t="shared" si="91"/>
        <v>0</v>
      </c>
      <c r="V599" s="29">
        <f t="shared" si="92"/>
        <v>0</v>
      </c>
      <c r="W599" s="29" t="str">
        <f t="shared" si="98"/>
        <v/>
      </c>
      <c r="X599" s="29" t="str">
        <f t="shared" si="93"/>
        <v/>
      </c>
      <c r="Y599" s="32" t="str">
        <f t="shared" si="94"/>
        <v/>
      </c>
      <c r="Z599" s="29" t="str">
        <f t="shared" si="95"/>
        <v/>
      </c>
      <c r="AA599" s="29" t="str">
        <f t="shared" si="99"/>
        <v/>
      </c>
      <c r="AB599" s="29" t="str">
        <f t="shared" si="96"/>
        <v/>
      </c>
      <c r="AC599" t="str">
        <f t="shared" si="97"/>
        <v/>
      </c>
    </row>
    <row r="600" spans="20:29" x14ac:dyDescent="0.3">
      <c r="T600" s="29">
        <f t="shared" si="90"/>
        <v>0</v>
      </c>
      <c r="U600" s="29">
        <f t="shared" si="91"/>
        <v>0</v>
      </c>
      <c r="V600" s="29">
        <f t="shared" si="92"/>
        <v>0</v>
      </c>
      <c r="W600" s="29" t="str">
        <f t="shared" si="98"/>
        <v/>
      </c>
      <c r="X600" s="29" t="str">
        <f t="shared" si="93"/>
        <v/>
      </c>
      <c r="Y600" s="32" t="str">
        <f t="shared" si="94"/>
        <v/>
      </c>
      <c r="Z600" s="29" t="str">
        <f t="shared" si="95"/>
        <v/>
      </c>
      <c r="AA600" s="29" t="str">
        <f t="shared" si="99"/>
        <v/>
      </c>
      <c r="AB600" s="29" t="str">
        <f t="shared" si="96"/>
        <v/>
      </c>
      <c r="AC600" t="str">
        <f t="shared" si="97"/>
        <v/>
      </c>
    </row>
    <row r="601" spans="20:29" x14ac:dyDescent="0.3">
      <c r="T601" s="29">
        <f t="shared" si="90"/>
        <v>0</v>
      </c>
      <c r="U601" s="29">
        <f t="shared" si="91"/>
        <v>0</v>
      </c>
      <c r="V601" s="29">
        <f t="shared" si="92"/>
        <v>0</v>
      </c>
      <c r="W601" s="29" t="str">
        <f t="shared" si="98"/>
        <v/>
      </c>
      <c r="X601" s="29" t="str">
        <f t="shared" si="93"/>
        <v/>
      </c>
      <c r="Y601" s="32" t="str">
        <f t="shared" si="94"/>
        <v/>
      </c>
      <c r="Z601" s="29" t="str">
        <f t="shared" si="95"/>
        <v/>
      </c>
      <c r="AA601" s="29" t="str">
        <f t="shared" si="99"/>
        <v/>
      </c>
      <c r="AB601" s="29" t="str">
        <f t="shared" si="96"/>
        <v/>
      </c>
      <c r="AC601" t="str">
        <f t="shared" si="97"/>
        <v/>
      </c>
    </row>
    <row r="602" spans="20:29" x14ac:dyDescent="0.3">
      <c r="T602" s="29">
        <f t="shared" si="90"/>
        <v>0</v>
      </c>
      <c r="U602" s="29">
        <f t="shared" si="91"/>
        <v>0</v>
      </c>
      <c r="V602" s="29">
        <f t="shared" si="92"/>
        <v>0</v>
      </c>
      <c r="W602" s="29" t="str">
        <f t="shared" si="98"/>
        <v/>
      </c>
      <c r="X602" s="29" t="str">
        <f t="shared" si="93"/>
        <v/>
      </c>
      <c r="Y602" s="32" t="str">
        <f t="shared" si="94"/>
        <v/>
      </c>
      <c r="Z602" s="29" t="str">
        <f t="shared" si="95"/>
        <v/>
      </c>
      <c r="AA602" s="29" t="str">
        <f t="shared" si="99"/>
        <v/>
      </c>
      <c r="AB602" s="29" t="str">
        <f t="shared" si="96"/>
        <v/>
      </c>
      <c r="AC602" t="str">
        <f t="shared" si="97"/>
        <v/>
      </c>
    </row>
    <row r="603" spans="20:29" x14ac:dyDescent="0.3">
      <c r="T603" s="29">
        <f t="shared" si="90"/>
        <v>0</v>
      </c>
      <c r="U603" s="29">
        <f t="shared" si="91"/>
        <v>0</v>
      </c>
      <c r="V603" s="29">
        <f t="shared" si="92"/>
        <v>0</v>
      </c>
      <c r="W603" s="29" t="str">
        <f t="shared" si="98"/>
        <v/>
      </c>
      <c r="X603" s="29" t="str">
        <f t="shared" si="93"/>
        <v/>
      </c>
      <c r="Y603" s="32" t="str">
        <f t="shared" si="94"/>
        <v/>
      </c>
      <c r="Z603" s="29" t="str">
        <f t="shared" si="95"/>
        <v/>
      </c>
      <c r="AA603" s="29" t="str">
        <f t="shared" si="99"/>
        <v/>
      </c>
      <c r="AB603" s="29" t="str">
        <f t="shared" si="96"/>
        <v/>
      </c>
      <c r="AC603" t="str">
        <f t="shared" si="97"/>
        <v/>
      </c>
    </row>
    <row r="604" spans="20:29" x14ac:dyDescent="0.3">
      <c r="T604" s="29">
        <f t="shared" si="90"/>
        <v>0</v>
      </c>
      <c r="U604" s="29">
        <f t="shared" si="91"/>
        <v>0</v>
      </c>
      <c r="V604" s="29">
        <f t="shared" si="92"/>
        <v>0</v>
      </c>
      <c r="W604" s="29" t="str">
        <f t="shared" si="98"/>
        <v/>
      </c>
      <c r="X604" s="29" t="str">
        <f t="shared" si="93"/>
        <v/>
      </c>
      <c r="Y604" s="32" t="str">
        <f t="shared" si="94"/>
        <v/>
      </c>
      <c r="Z604" s="29" t="str">
        <f t="shared" si="95"/>
        <v/>
      </c>
      <c r="AA604" s="29" t="str">
        <f t="shared" si="99"/>
        <v/>
      </c>
      <c r="AB604" s="29" t="str">
        <f t="shared" si="96"/>
        <v/>
      </c>
      <c r="AC604" t="str">
        <f t="shared" si="97"/>
        <v/>
      </c>
    </row>
    <row r="605" spans="20:29" x14ac:dyDescent="0.3">
      <c r="T605" s="29">
        <f t="shared" si="90"/>
        <v>0</v>
      </c>
      <c r="U605" s="29">
        <f t="shared" si="91"/>
        <v>0</v>
      </c>
      <c r="V605" s="29">
        <f t="shared" si="92"/>
        <v>0</v>
      </c>
      <c r="W605" s="29" t="str">
        <f t="shared" si="98"/>
        <v/>
      </c>
      <c r="X605" s="29" t="str">
        <f t="shared" si="93"/>
        <v/>
      </c>
      <c r="Y605" s="32" t="str">
        <f t="shared" si="94"/>
        <v/>
      </c>
      <c r="Z605" s="29" t="str">
        <f t="shared" si="95"/>
        <v/>
      </c>
      <c r="AA605" s="29" t="str">
        <f t="shared" si="99"/>
        <v/>
      </c>
      <c r="AB605" s="29" t="str">
        <f t="shared" si="96"/>
        <v/>
      </c>
      <c r="AC605" t="str">
        <f t="shared" si="97"/>
        <v/>
      </c>
    </row>
    <row r="606" spans="20:29" x14ac:dyDescent="0.3">
      <c r="T606" s="29">
        <f t="shared" si="90"/>
        <v>0</v>
      </c>
      <c r="U606" s="29">
        <f t="shared" si="91"/>
        <v>0</v>
      </c>
      <c r="V606" s="29">
        <f t="shared" si="92"/>
        <v>0</v>
      </c>
      <c r="W606" s="29" t="str">
        <f t="shared" si="98"/>
        <v/>
      </c>
      <c r="X606" s="29" t="str">
        <f t="shared" si="93"/>
        <v/>
      </c>
      <c r="Y606" s="32" t="str">
        <f t="shared" si="94"/>
        <v/>
      </c>
      <c r="Z606" s="29" t="str">
        <f t="shared" si="95"/>
        <v/>
      </c>
      <c r="AA606" s="29" t="str">
        <f t="shared" si="99"/>
        <v/>
      </c>
      <c r="AB606" s="29" t="str">
        <f t="shared" si="96"/>
        <v/>
      </c>
      <c r="AC606" t="str">
        <f t="shared" si="97"/>
        <v/>
      </c>
    </row>
    <row r="607" spans="20:29" x14ac:dyDescent="0.3">
      <c r="T607" s="29">
        <f t="shared" si="90"/>
        <v>0</v>
      </c>
      <c r="U607" s="29">
        <f t="shared" si="91"/>
        <v>0</v>
      </c>
      <c r="V607" s="29">
        <f t="shared" si="92"/>
        <v>0</v>
      </c>
      <c r="W607" s="29" t="str">
        <f t="shared" si="98"/>
        <v/>
      </c>
      <c r="X607" s="29" t="str">
        <f t="shared" si="93"/>
        <v/>
      </c>
      <c r="Y607" s="32" t="str">
        <f t="shared" si="94"/>
        <v/>
      </c>
      <c r="Z607" s="29" t="str">
        <f t="shared" si="95"/>
        <v/>
      </c>
      <c r="AA607" s="29" t="str">
        <f t="shared" si="99"/>
        <v/>
      </c>
      <c r="AB607" s="29" t="str">
        <f t="shared" si="96"/>
        <v/>
      </c>
      <c r="AC607" t="str">
        <f t="shared" si="97"/>
        <v/>
      </c>
    </row>
    <row r="608" spans="20:29" x14ac:dyDescent="0.3">
      <c r="T608" s="29">
        <f t="shared" si="90"/>
        <v>0</v>
      </c>
      <c r="U608" s="29">
        <f t="shared" si="91"/>
        <v>0</v>
      </c>
      <c r="V608" s="29">
        <f t="shared" si="92"/>
        <v>0</v>
      </c>
      <c r="W608" s="29" t="str">
        <f t="shared" si="98"/>
        <v/>
      </c>
      <c r="X608" s="29" t="str">
        <f t="shared" si="93"/>
        <v/>
      </c>
      <c r="Y608" s="32" t="str">
        <f t="shared" si="94"/>
        <v/>
      </c>
      <c r="Z608" s="29" t="str">
        <f t="shared" si="95"/>
        <v/>
      </c>
      <c r="AA608" s="29" t="str">
        <f t="shared" si="99"/>
        <v/>
      </c>
      <c r="AB608" s="29" t="str">
        <f t="shared" si="96"/>
        <v/>
      </c>
      <c r="AC608" t="str">
        <f t="shared" si="97"/>
        <v/>
      </c>
    </row>
    <row r="609" spans="20:29" x14ac:dyDescent="0.3">
      <c r="T609" s="29">
        <f t="shared" si="90"/>
        <v>0</v>
      </c>
      <c r="U609" s="29">
        <f t="shared" si="91"/>
        <v>0</v>
      </c>
      <c r="V609" s="29">
        <f t="shared" si="92"/>
        <v>0</v>
      </c>
      <c r="W609" s="29" t="str">
        <f t="shared" si="98"/>
        <v/>
      </c>
      <c r="X609" s="29" t="str">
        <f t="shared" si="93"/>
        <v/>
      </c>
      <c r="Y609" s="32" t="str">
        <f t="shared" si="94"/>
        <v/>
      </c>
      <c r="Z609" s="29" t="str">
        <f t="shared" si="95"/>
        <v/>
      </c>
      <c r="AA609" s="29" t="str">
        <f t="shared" si="99"/>
        <v/>
      </c>
      <c r="AB609" s="29" t="str">
        <f t="shared" si="96"/>
        <v/>
      </c>
      <c r="AC609" t="str">
        <f t="shared" si="97"/>
        <v/>
      </c>
    </row>
    <row r="610" spans="20:29" x14ac:dyDescent="0.3">
      <c r="T610" s="29">
        <f t="shared" si="90"/>
        <v>0</v>
      </c>
      <c r="U610" s="29">
        <f t="shared" si="91"/>
        <v>0</v>
      </c>
      <c r="V610" s="29">
        <f t="shared" si="92"/>
        <v>0</v>
      </c>
      <c r="W610" s="29" t="str">
        <f t="shared" si="98"/>
        <v/>
      </c>
      <c r="X610" s="29" t="str">
        <f t="shared" si="93"/>
        <v/>
      </c>
      <c r="Y610" s="32" t="str">
        <f t="shared" si="94"/>
        <v/>
      </c>
      <c r="Z610" s="29" t="str">
        <f t="shared" si="95"/>
        <v/>
      </c>
      <c r="AA610" s="29" t="str">
        <f t="shared" si="99"/>
        <v/>
      </c>
      <c r="AB610" s="29" t="str">
        <f t="shared" si="96"/>
        <v/>
      </c>
      <c r="AC610" t="str">
        <f t="shared" si="97"/>
        <v/>
      </c>
    </row>
    <row r="611" spans="20:29" x14ac:dyDescent="0.3">
      <c r="T611" s="29">
        <f t="shared" si="90"/>
        <v>0</v>
      </c>
      <c r="U611" s="29">
        <f t="shared" si="91"/>
        <v>0</v>
      </c>
      <c r="V611" s="29">
        <f t="shared" si="92"/>
        <v>0</v>
      </c>
      <c r="W611" s="29" t="str">
        <f t="shared" si="98"/>
        <v/>
      </c>
      <c r="X611" s="29" t="str">
        <f t="shared" si="93"/>
        <v/>
      </c>
      <c r="Y611" s="32" t="str">
        <f t="shared" si="94"/>
        <v/>
      </c>
      <c r="Z611" s="29" t="str">
        <f t="shared" si="95"/>
        <v/>
      </c>
      <c r="AA611" s="29" t="str">
        <f t="shared" si="99"/>
        <v/>
      </c>
      <c r="AB611" s="29" t="str">
        <f t="shared" si="96"/>
        <v/>
      </c>
      <c r="AC611" t="str">
        <f t="shared" si="97"/>
        <v/>
      </c>
    </row>
    <row r="612" spans="20:29" x14ac:dyDescent="0.3">
      <c r="T612" s="29">
        <f t="shared" si="90"/>
        <v>0</v>
      </c>
      <c r="U612" s="29">
        <f t="shared" si="91"/>
        <v>0</v>
      </c>
      <c r="V612" s="29">
        <f t="shared" si="92"/>
        <v>0</v>
      </c>
      <c r="W612" s="29" t="str">
        <f t="shared" si="98"/>
        <v/>
      </c>
      <c r="X612" s="29" t="str">
        <f t="shared" si="93"/>
        <v/>
      </c>
      <c r="Y612" s="32" t="str">
        <f t="shared" si="94"/>
        <v/>
      </c>
      <c r="Z612" s="29" t="str">
        <f t="shared" si="95"/>
        <v/>
      </c>
      <c r="AA612" s="29" t="str">
        <f t="shared" si="99"/>
        <v/>
      </c>
      <c r="AB612" s="29" t="str">
        <f t="shared" si="96"/>
        <v/>
      </c>
      <c r="AC612" t="str">
        <f t="shared" si="97"/>
        <v/>
      </c>
    </row>
    <row r="613" spans="20:29" x14ac:dyDescent="0.3">
      <c r="T613" s="29">
        <f t="shared" si="90"/>
        <v>0</v>
      </c>
      <c r="U613" s="29">
        <f t="shared" si="91"/>
        <v>0</v>
      </c>
      <c r="V613" s="29">
        <f t="shared" si="92"/>
        <v>0</v>
      </c>
      <c r="W613" s="29" t="str">
        <f t="shared" si="98"/>
        <v/>
      </c>
      <c r="X613" s="29" t="str">
        <f t="shared" si="93"/>
        <v/>
      </c>
      <c r="Y613" s="32" t="str">
        <f t="shared" si="94"/>
        <v/>
      </c>
      <c r="Z613" s="29" t="str">
        <f t="shared" si="95"/>
        <v/>
      </c>
      <c r="AA613" s="29" t="str">
        <f t="shared" si="99"/>
        <v/>
      </c>
      <c r="AB613" s="29" t="str">
        <f t="shared" si="96"/>
        <v/>
      </c>
      <c r="AC613" t="str">
        <f t="shared" si="97"/>
        <v/>
      </c>
    </row>
    <row r="614" spans="20:29" x14ac:dyDescent="0.3">
      <c r="T614" s="29">
        <f t="shared" si="90"/>
        <v>0</v>
      </c>
      <c r="U614" s="29">
        <f t="shared" si="91"/>
        <v>0</v>
      </c>
      <c r="V614" s="29">
        <f t="shared" si="92"/>
        <v>0</v>
      </c>
      <c r="W614" s="29" t="str">
        <f t="shared" si="98"/>
        <v/>
      </c>
      <c r="X614" s="29" t="str">
        <f t="shared" si="93"/>
        <v/>
      </c>
      <c r="Y614" s="32" t="str">
        <f t="shared" si="94"/>
        <v/>
      </c>
      <c r="Z614" s="29" t="str">
        <f t="shared" si="95"/>
        <v/>
      </c>
      <c r="AA614" s="29" t="str">
        <f t="shared" si="99"/>
        <v/>
      </c>
      <c r="AB614" s="29" t="str">
        <f t="shared" si="96"/>
        <v/>
      </c>
      <c r="AC614" t="str">
        <f t="shared" si="97"/>
        <v/>
      </c>
    </row>
    <row r="615" spans="20:29" x14ac:dyDescent="0.3">
      <c r="T615" s="29">
        <f t="shared" si="90"/>
        <v>0</v>
      </c>
      <c r="U615" s="29">
        <f t="shared" si="91"/>
        <v>0</v>
      </c>
      <c r="V615" s="29">
        <f t="shared" si="92"/>
        <v>0</v>
      </c>
      <c r="W615" s="29" t="str">
        <f t="shared" si="98"/>
        <v/>
      </c>
      <c r="X615" s="29" t="str">
        <f t="shared" si="93"/>
        <v/>
      </c>
      <c r="Y615" s="32" t="str">
        <f t="shared" si="94"/>
        <v/>
      </c>
      <c r="Z615" s="29" t="str">
        <f t="shared" si="95"/>
        <v/>
      </c>
      <c r="AA615" s="29" t="str">
        <f t="shared" si="99"/>
        <v/>
      </c>
      <c r="AB615" s="29" t="str">
        <f t="shared" si="96"/>
        <v/>
      </c>
      <c r="AC615" t="str">
        <f t="shared" si="97"/>
        <v/>
      </c>
    </row>
    <row r="616" spans="20:29" x14ac:dyDescent="0.3">
      <c r="T616" s="29">
        <f t="shared" si="90"/>
        <v>0</v>
      </c>
      <c r="U616" s="29">
        <f t="shared" si="91"/>
        <v>0</v>
      </c>
      <c r="V616" s="29">
        <f t="shared" si="92"/>
        <v>0</v>
      </c>
      <c r="W616" s="29" t="str">
        <f t="shared" si="98"/>
        <v/>
      </c>
      <c r="X616" s="29" t="str">
        <f t="shared" si="93"/>
        <v/>
      </c>
      <c r="Y616" s="32" t="str">
        <f t="shared" si="94"/>
        <v/>
      </c>
      <c r="Z616" s="29" t="str">
        <f t="shared" si="95"/>
        <v/>
      </c>
      <c r="AA616" s="29" t="str">
        <f t="shared" si="99"/>
        <v/>
      </c>
      <c r="AB616" s="29" t="str">
        <f t="shared" si="96"/>
        <v/>
      </c>
      <c r="AC616" t="str">
        <f t="shared" si="97"/>
        <v/>
      </c>
    </row>
    <row r="617" spans="20:29" x14ac:dyDescent="0.3">
      <c r="T617" s="29">
        <f t="shared" si="90"/>
        <v>0</v>
      </c>
      <c r="U617" s="29">
        <f t="shared" si="91"/>
        <v>0</v>
      </c>
      <c r="V617" s="29">
        <f t="shared" si="92"/>
        <v>0</v>
      </c>
      <c r="W617" s="29" t="str">
        <f t="shared" si="98"/>
        <v/>
      </c>
      <c r="X617" s="29" t="str">
        <f t="shared" si="93"/>
        <v/>
      </c>
      <c r="Y617" s="32" t="str">
        <f t="shared" si="94"/>
        <v/>
      </c>
      <c r="Z617" s="29" t="str">
        <f t="shared" si="95"/>
        <v/>
      </c>
      <c r="AA617" s="29" t="str">
        <f t="shared" si="99"/>
        <v/>
      </c>
      <c r="AB617" s="29" t="str">
        <f t="shared" si="96"/>
        <v/>
      </c>
      <c r="AC617" t="str">
        <f t="shared" si="97"/>
        <v/>
      </c>
    </row>
    <row r="618" spans="20:29" x14ac:dyDescent="0.3">
      <c r="T618" s="29">
        <f t="shared" si="90"/>
        <v>0</v>
      </c>
      <c r="U618" s="29">
        <f t="shared" si="91"/>
        <v>0</v>
      </c>
      <c r="V618" s="29">
        <f t="shared" si="92"/>
        <v>0</v>
      </c>
      <c r="W618" s="29" t="str">
        <f t="shared" si="98"/>
        <v/>
      </c>
      <c r="X618" s="29" t="str">
        <f t="shared" si="93"/>
        <v/>
      </c>
      <c r="Y618" s="32" t="str">
        <f t="shared" si="94"/>
        <v/>
      </c>
      <c r="Z618" s="29" t="str">
        <f t="shared" si="95"/>
        <v/>
      </c>
      <c r="AA618" s="29" t="str">
        <f t="shared" si="99"/>
        <v/>
      </c>
      <c r="AB618" s="29" t="str">
        <f t="shared" si="96"/>
        <v/>
      </c>
      <c r="AC618" t="str">
        <f t="shared" si="97"/>
        <v/>
      </c>
    </row>
    <row r="619" spans="20:29" x14ac:dyDescent="0.3">
      <c r="T619" s="29">
        <f t="shared" si="90"/>
        <v>0</v>
      </c>
      <c r="U619" s="29">
        <f t="shared" si="91"/>
        <v>0</v>
      </c>
      <c r="V619" s="29">
        <f t="shared" si="92"/>
        <v>0</v>
      </c>
      <c r="W619" s="29" t="str">
        <f t="shared" si="98"/>
        <v/>
      </c>
      <c r="X619" s="29" t="str">
        <f t="shared" si="93"/>
        <v/>
      </c>
      <c r="Y619" s="32" t="str">
        <f t="shared" si="94"/>
        <v/>
      </c>
      <c r="Z619" s="29" t="str">
        <f t="shared" si="95"/>
        <v/>
      </c>
      <c r="AA619" s="29" t="str">
        <f t="shared" si="99"/>
        <v/>
      </c>
      <c r="AB619" s="29" t="str">
        <f t="shared" si="96"/>
        <v/>
      </c>
      <c r="AC619" t="str">
        <f t="shared" si="97"/>
        <v/>
      </c>
    </row>
    <row r="620" spans="20:29" x14ac:dyDescent="0.3">
      <c r="T620" s="29">
        <f t="shared" si="90"/>
        <v>0</v>
      </c>
      <c r="U620" s="29">
        <f t="shared" si="91"/>
        <v>0</v>
      </c>
      <c r="V620" s="29">
        <f t="shared" si="92"/>
        <v>0</v>
      </c>
      <c r="W620" s="29" t="str">
        <f t="shared" si="98"/>
        <v/>
      </c>
      <c r="X620" s="29" t="str">
        <f t="shared" si="93"/>
        <v/>
      </c>
      <c r="Y620" s="32" t="str">
        <f t="shared" si="94"/>
        <v/>
      </c>
      <c r="Z620" s="29" t="str">
        <f t="shared" si="95"/>
        <v/>
      </c>
      <c r="AA620" s="29" t="str">
        <f t="shared" si="99"/>
        <v/>
      </c>
      <c r="AB620" s="29" t="str">
        <f t="shared" si="96"/>
        <v/>
      </c>
      <c r="AC620" t="str">
        <f t="shared" si="97"/>
        <v/>
      </c>
    </row>
    <row r="621" spans="20:29" x14ac:dyDescent="0.3">
      <c r="T621" s="29">
        <f t="shared" si="90"/>
        <v>0</v>
      </c>
      <c r="U621" s="29">
        <f t="shared" si="91"/>
        <v>0</v>
      </c>
      <c r="V621" s="29">
        <f t="shared" si="92"/>
        <v>0</v>
      </c>
      <c r="W621" s="29" t="str">
        <f t="shared" si="98"/>
        <v/>
      </c>
      <c r="X621" s="29" t="str">
        <f t="shared" si="93"/>
        <v/>
      </c>
      <c r="Y621" s="32" t="str">
        <f t="shared" si="94"/>
        <v/>
      </c>
      <c r="Z621" s="29" t="str">
        <f t="shared" si="95"/>
        <v/>
      </c>
      <c r="AA621" s="29" t="str">
        <f t="shared" si="99"/>
        <v/>
      </c>
      <c r="AB621" s="29" t="str">
        <f t="shared" si="96"/>
        <v/>
      </c>
      <c r="AC621" t="str">
        <f t="shared" si="97"/>
        <v/>
      </c>
    </row>
    <row r="622" spans="20:29" x14ac:dyDescent="0.3">
      <c r="T622" s="29">
        <f t="shared" si="90"/>
        <v>0</v>
      </c>
      <c r="U622" s="29">
        <f t="shared" si="91"/>
        <v>0</v>
      </c>
      <c r="V622" s="29">
        <f t="shared" si="92"/>
        <v>0</v>
      </c>
      <c r="W622" s="29" t="str">
        <f t="shared" si="98"/>
        <v/>
      </c>
      <c r="X622" s="29" t="str">
        <f t="shared" si="93"/>
        <v/>
      </c>
      <c r="Y622" s="32" t="str">
        <f t="shared" si="94"/>
        <v/>
      </c>
      <c r="Z622" s="29" t="str">
        <f t="shared" si="95"/>
        <v/>
      </c>
      <c r="AA622" s="29" t="str">
        <f t="shared" si="99"/>
        <v/>
      </c>
      <c r="AB622" s="29" t="str">
        <f t="shared" si="96"/>
        <v/>
      </c>
      <c r="AC622" t="str">
        <f t="shared" si="97"/>
        <v/>
      </c>
    </row>
    <row r="623" spans="20:29" x14ac:dyDescent="0.3">
      <c r="T623" s="29">
        <f t="shared" si="90"/>
        <v>0</v>
      </c>
      <c r="U623" s="29">
        <f t="shared" si="91"/>
        <v>0</v>
      </c>
      <c r="V623" s="29">
        <f t="shared" si="92"/>
        <v>0</v>
      </c>
      <c r="W623" s="29" t="str">
        <f t="shared" si="98"/>
        <v/>
      </c>
      <c r="X623" s="29" t="str">
        <f t="shared" si="93"/>
        <v/>
      </c>
      <c r="Y623" s="32" t="str">
        <f t="shared" si="94"/>
        <v/>
      </c>
      <c r="Z623" s="29" t="str">
        <f t="shared" si="95"/>
        <v/>
      </c>
      <c r="AA623" s="29" t="str">
        <f t="shared" si="99"/>
        <v/>
      </c>
      <c r="AB623" s="29" t="str">
        <f t="shared" si="96"/>
        <v/>
      </c>
      <c r="AC623" t="str">
        <f t="shared" si="97"/>
        <v/>
      </c>
    </row>
    <row r="624" spans="20:29" x14ac:dyDescent="0.3">
      <c r="T624" s="29">
        <f t="shared" si="90"/>
        <v>0</v>
      </c>
      <c r="U624" s="29">
        <f t="shared" si="91"/>
        <v>0</v>
      </c>
      <c r="V624" s="29">
        <f t="shared" si="92"/>
        <v>0</v>
      </c>
      <c r="W624" s="29" t="str">
        <f t="shared" si="98"/>
        <v/>
      </c>
      <c r="X624" s="29" t="str">
        <f t="shared" si="93"/>
        <v/>
      </c>
      <c r="Y624" s="32" t="str">
        <f t="shared" si="94"/>
        <v/>
      </c>
      <c r="Z624" s="29" t="str">
        <f t="shared" si="95"/>
        <v/>
      </c>
      <c r="AA624" s="29" t="str">
        <f t="shared" si="99"/>
        <v/>
      </c>
      <c r="AB624" s="29" t="str">
        <f t="shared" si="96"/>
        <v/>
      </c>
      <c r="AC624" t="str">
        <f t="shared" si="97"/>
        <v/>
      </c>
    </row>
    <row r="625" spans="20:29" x14ac:dyDescent="0.3">
      <c r="T625" s="29">
        <f t="shared" si="90"/>
        <v>0</v>
      </c>
      <c r="U625" s="29">
        <f t="shared" si="91"/>
        <v>0</v>
      </c>
      <c r="V625" s="29">
        <f t="shared" si="92"/>
        <v>0</v>
      </c>
      <c r="W625" s="29" t="str">
        <f t="shared" si="98"/>
        <v/>
      </c>
      <c r="X625" s="29" t="str">
        <f t="shared" si="93"/>
        <v/>
      </c>
      <c r="Y625" s="32" t="str">
        <f t="shared" si="94"/>
        <v/>
      </c>
      <c r="Z625" s="29" t="str">
        <f t="shared" si="95"/>
        <v/>
      </c>
      <c r="AA625" s="29" t="str">
        <f t="shared" si="99"/>
        <v/>
      </c>
      <c r="AB625" s="29" t="str">
        <f t="shared" si="96"/>
        <v/>
      </c>
      <c r="AC625" t="str">
        <f t="shared" si="97"/>
        <v/>
      </c>
    </row>
    <row r="626" spans="20:29" x14ac:dyDescent="0.3">
      <c r="T626" s="29">
        <f t="shared" si="90"/>
        <v>0</v>
      </c>
      <c r="U626" s="29">
        <f t="shared" si="91"/>
        <v>0</v>
      </c>
      <c r="V626" s="29">
        <f t="shared" si="92"/>
        <v>0</v>
      </c>
      <c r="W626" s="29" t="str">
        <f t="shared" si="98"/>
        <v/>
      </c>
      <c r="X626" s="29" t="str">
        <f t="shared" si="93"/>
        <v/>
      </c>
      <c r="Y626" s="32" t="str">
        <f t="shared" si="94"/>
        <v/>
      </c>
      <c r="Z626" s="29" t="str">
        <f t="shared" si="95"/>
        <v/>
      </c>
      <c r="AA626" s="29" t="str">
        <f t="shared" si="99"/>
        <v/>
      </c>
      <c r="AB626" s="29" t="str">
        <f t="shared" si="96"/>
        <v/>
      </c>
      <c r="AC626" t="str">
        <f t="shared" si="97"/>
        <v/>
      </c>
    </row>
    <row r="627" spans="20:29" x14ac:dyDescent="0.3">
      <c r="T627" s="29">
        <f t="shared" si="90"/>
        <v>0</v>
      </c>
      <c r="U627" s="29">
        <f t="shared" si="91"/>
        <v>0</v>
      </c>
      <c r="V627" s="29">
        <f t="shared" si="92"/>
        <v>0</v>
      </c>
      <c r="W627" s="29" t="str">
        <f t="shared" si="98"/>
        <v/>
      </c>
      <c r="X627" s="29" t="str">
        <f t="shared" si="93"/>
        <v/>
      </c>
      <c r="Y627" s="32" t="str">
        <f t="shared" si="94"/>
        <v/>
      </c>
      <c r="Z627" s="29" t="str">
        <f t="shared" si="95"/>
        <v/>
      </c>
      <c r="AA627" s="29" t="str">
        <f t="shared" si="99"/>
        <v/>
      </c>
      <c r="AB627" s="29" t="str">
        <f t="shared" si="96"/>
        <v/>
      </c>
      <c r="AC627" t="str">
        <f t="shared" si="97"/>
        <v/>
      </c>
    </row>
    <row r="628" spans="20:29" x14ac:dyDescent="0.3">
      <c r="T628" s="29">
        <f t="shared" si="90"/>
        <v>0</v>
      </c>
      <c r="U628" s="29">
        <f t="shared" si="91"/>
        <v>0</v>
      </c>
      <c r="V628" s="29">
        <f t="shared" si="92"/>
        <v>0</v>
      </c>
      <c r="W628" s="29" t="str">
        <f t="shared" si="98"/>
        <v/>
      </c>
      <c r="X628" s="29" t="str">
        <f t="shared" si="93"/>
        <v/>
      </c>
      <c r="Y628" s="32" t="str">
        <f t="shared" si="94"/>
        <v/>
      </c>
      <c r="Z628" s="29" t="str">
        <f t="shared" si="95"/>
        <v/>
      </c>
      <c r="AA628" s="29" t="str">
        <f t="shared" si="99"/>
        <v/>
      </c>
      <c r="AB628" s="29" t="str">
        <f t="shared" si="96"/>
        <v/>
      </c>
      <c r="AC628" t="str">
        <f t="shared" si="97"/>
        <v/>
      </c>
    </row>
    <row r="629" spans="20:29" x14ac:dyDescent="0.3">
      <c r="T629" s="29">
        <f t="shared" si="90"/>
        <v>0</v>
      </c>
      <c r="U629" s="29">
        <f t="shared" si="91"/>
        <v>0</v>
      </c>
      <c r="V629" s="29">
        <f t="shared" si="92"/>
        <v>0</v>
      </c>
      <c r="W629" s="29" t="str">
        <f t="shared" si="98"/>
        <v/>
      </c>
      <c r="X629" s="29" t="str">
        <f t="shared" si="93"/>
        <v/>
      </c>
      <c r="Y629" s="32" t="str">
        <f t="shared" si="94"/>
        <v/>
      </c>
      <c r="Z629" s="29" t="str">
        <f t="shared" si="95"/>
        <v/>
      </c>
      <c r="AA629" s="29" t="str">
        <f t="shared" si="99"/>
        <v/>
      </c>
      <c r="AB629" s="29" t="str">
        <f t="shared" si="96"/>
        <v/>
      </c>
      <c r="AC629" t="str">
        <f t="shared" si="97"/>
        <v/>
      </c>
    </row>
    <row r="630" spans="20:29" x14ac:dyDescent="0.3">
      <c r="T630" s="29">
        <f t="shared" si="90"/>
        <v>0</v>
      </c>
      <c r="U630" s="29">
        <f t="shared" si="91"/>
        <v>0</v>
      </c>
      <c r="V630" s="29">
        <f t="shared" si="92"/>
        <v>0</v>
      </c>
      <c r="W630" s="29" t="str">
        <f t="shared" si="98"/>
        <v/>
      </c>
      <c r="X630" s="29" t="str">
        <f t="shared" si="93"/>
        <v/>
      </c>
      <c r="Y630" s="32" t="str">
        <f t="shared" si="94"/>
        <v/>
      </c>
      <c r="Z630" s="29" t="str">
        <f t="shared" si="95"/>
        <v/>
      </c>
      <c r="AA630" s="29" t="str">
        <f t="shared" si="99"/>
        <v/>
      </c>
      <c r="AB630" s="29" t="str">
        <f t="shared" si="96"/>
        <v/>
      </c>
      <c r="AC630" t="str">
        <f t="shared" si="97"/>
        <v/>
      </c>
    </row>
    <row r="631" spans="20:29" x14ac:dyDescent="0.3">
      <c r="T631" s="29">
        <f t="shared" si="90"/>
        <v>0</v>
      </c>
      <c r="U631" s="29">
        <f t="shared" si="91"/>
        <v>0</v>
      </c>
      <c r="V631" s="29">
        <f t="shared" si="92"/>
        <v>0</v>
      </c>
      <c r="W631" s="29" t="str">
        <f t="shared" si="98"/>
        <v/>
      </c>
      <c r="X631" s="29" t="str">
        <f t="shared" si="93"/>
        <v/>
      </c>
      <c r="Y631" s="32" t="str">
        <f t="shared" si="94"/>
        <v/>
      </c>
      <c r="Z631" s="29" t="str">
        <f t="shared" si="95"/>
        <v/>
      </c>
      <c r="AA631" s="29" t="str">
        <f t="shared" si="99"/>
        <v/>
      </c>
      <c r="AB631" s="29" t="str">
        <f t="shared" si="96"/>
        <v/>
      </c>
      <c r="AC631" t="str">
        <f t="shared" si="97"/>
        <v/>
      </c>
    </row>
    <row r="632" spans="20:29" x14ac:dyDescent="0.3">
      <c r="T632" s="29">
        <f t="shared" si="90"/>
        <v>0</v>
      </c>
      <c r="U632" s="29">
        <f t="shared" si="91"/>
        <v>0</v>
      </c>
      <c r="V632" s="29">
        <f t="shared" si="92"/>
        <v>0</v>
      </c>
      <c r="W632" s="29" t="str">
        <f t="shared" si="98"/>
        <v/>
      </c>
      <c r="X632" s="29" t="str">
        <f t="shared" si="93"/>
        <v/>
      </c>
      <c r="Y632" s="32" t="str">
        <f t="shared" si="94"/>
        <v/>
      </c>
      <c r="Z632" s="29" t="str">
        <f t="shared" si="95"/>
        <v/>
      </c>
      <c r="AA632" s="29" t="str">
        <f t="shared" si="99"/>
        <v/>
      </c>
      <c r="AB632" s="29" t="str">
        <f t="shared" si="96"/>
        <v/>
      </c>
      <c r="AC632" t="str">
        <f t="shared" si="97"/>
        <v/>
      </c>
    </row>
    <row r="633" spans="20:29" x14ac:dyDescent="0.3">
      <c r="T633" s="29">
        <f t="shared" si="90"/>
        <v>0</v>
      </c>
      <c r="U633" s="29">
        <f t="shared" si="91"/>
        <v>0</v>
      </c>
      <c r="V633" s="29">
        <f t="shared" si="92"/>
        <v>0</v>
      </c>
      <c r="W633" s="29" t="str">
        <f t="shared" si="98"/>
        <v/>
      </c>
      <c r="X633" s="29" t="str">
        <f t="shared" si="93"/>
        <v/>
      </c>
      <c r="Y633" s="32" t="str">
        <f t="shared" si="94"/>
        <v/>
      </c>
      <c r="Z633" s="29" t="str">
        <f t="shared" si="95"/>
        <v/>
      </c>
      <c r="AA633" s="29" t="str">
        <f t="shared" si="99"/>
        <v/>
      </c>
      <c r="AB633" s="29" t="str">
        <f t="shared" si="96"/>
        <v/>
      </c>
      <c r="AC633" t="str">
        <f t="shared" si="97"/>
        <v/>
      </c>
    </row>
    <row r="634" spans="20:29" x14ac:dyDescent="0.3">
      <c r="T634" s="29">
        <f t="shared" si="90"/>
        <v>0</v>
      </c>
      <c r="U634" s="29">
        <f t="shared" si="91"/>
        <v>0</v>
      </c>
      <c r="V634" s="29">
        <f t="shared" si="92"/>
        <v>0</v>
      </c>
      <c r="W634" s="29" t="str">
        <f t="shared" si="98"/>
        <v/>
      </c>
      <c r="X634" s="29" t="str">
        <f t="shared" si="93"/>
        <v/>
      </c>
      <c r="Y634" s="32" t="str">
        <f t="shared" si="94"/>
        <v/>
      </c>
      <c r="Z634" s="29" t="str">
        <f t="shared" si="95"/>
        <v/>
      </c>
      <c r="AA634" s="29" t="str">
        <f t="shared" si="99"/>
        <v/>
      </c>
      <c r="AB634" s="29" t="str">
        <f t="shared" si="96"/>
        <v/>
      </c>
      <c r="AC634" t="str">
        <f t="shared" si="97"/>
        <v/>
      </c>
    </row>
    <row r="635" spans="20:29" x14ac:dyDescent="0.3">
      <c r="T635" s="29">
        <f t="shared" si="90"/>
        <v>0</v>
      </c>
      <c r="U635" s="29">
        <f t="shared" si="91"/>
        <v>0</v>
      </c>
      <c r="V635" s="29">
        <f t="shared" si="92"/>
        <v>0</v>
      </c>
      <c r="W635" s="29" t="str">
        <f t="shared" si="98"/>
        <v/>
      </c>
      <c r="X635" s="29" t="str">
        <f t="shared" si="93"/>
        <v/>
      </c>
      <c r="Y635" s="32" t="str">
        <f t="shared" si="94"/>
        <v/>
      </c>
      <c r="Z635" s="29" t="str">
        <f t="shared" si="95"/>
        <v/>
      </c>
      <c r="AA635" s="29" t="str">
        <f t="shared" si="99"/>
        <v/>
      </c>
      <c r="AB635" s="29" t="str">
        <f t="shared" si="96"/>
        <v/>
      </c>
      <c r="AC635" t="str">
        <f t="shared" si="97"/>
        <v/>
      </c>
    </row>
    <row r="636" spans="20:29" x14ac:dyDescent="0.3">
      <c r="T636" s="29">
        <f t="shared" si="90"/>
        <v>0</v>
      </c>
      <c r="U636" s="29">
        <f t="shared" si="91"/>
        <v>0</v>
      </c>
      <c r="V636" s="29">
        <f t="shared" si="92"/>
        <v>0</v>
      </c>
      <c r="W636" s="29" t="str">
        <f t="shared" si="98"/>
        <v/>
      </c>
      <c r="X636" s="29" t="str">
        <f t="shared" si="93"/>
        <v/>
      </c>
      <c r="Y636" s="32" t="str">
        <f t="shared" si="94"/>
        <v/>
      </c>
      <c r="Z636" s="29" t="str">
        <f t="shared" si="95"/>
        <v/>
      </c>
      <c r="AA636" s="29" t="str">
        <f t="shared" si="99"/>
        <v/>
      </c>
      <c r="AB636" s="29" t="str">
        <f t="shared" si="96"/>
        <v/>
      </c>
      <c r="AC636" t="str">
        <f t="shared" si="97"/>
        <v/>
      </c>
    </row>
    <row r="637" spans="20:29" x14ac:dyDescent="0.3">
      <c r="T637" s="29">
        <f t="shared" si="90"/>
        <v>0</v>
      </c>
      <c r="U637" s="29">
        <f t="shared" si="91"/>
        <v>0</v>
      </c>
      <c r="V637" s="29">
        <f t="shared" si="92"/>
        <v>0</v>
      </c>
      <c r="W637" s="29" t="str">
        <f t="shared" si="98"/>
        <v/>
      </c>
      <c r="X637" s="29" t="str">
        <f t="shared" si="93"/>
        <v/>
      </c>
      <c r="Y637" s="32" t="str">
        <f t="shared" si="94"/>
        <v/>
      </c>
      <c r="Z637" s="29" t="str">
        <f t="shared" si="95"/>
        <v/>
      </c>
      <c r="AA637" s="29" t="str">
        <f t="shared" si="99"/>
        <v/>
      </c>
      <c r="AB637" s="29" t="str">
        <f t="shared" si="96"/>
        <v/>
      </c>
      <c r="AC637" t="str">
        <f t="shared" si="97"/>
        <v/>
      </c>
    </row>
    <row r="638" spans="20:29" x14ac:dyDescent="0.3">
      <c r="T638" s="29">
        <f t="shared" si="90"/>
        <v>0</v>
      </c>
      <c r="U638" s="29">
        <f t="shared" si="91"/>
        <v>0</v>
      </c>
      <c r="V638" s="29">
        <f t="shared" si="92"/>
        <v>0</v>
      </c>
      <c r="W638" s="29" t="str">
        <f t="shared" si="98"/>
        <v/>
      </c>
      <c r="X638" s="29" t="str">
        <f t="shared" si="93"/>
        <v/>
      </c>
      <c r="Y638" s="32" t="str">
        <f t="shared" si="94"/>
        <v/>
      </c>
      <c r="Z638" s="29" t="str">
        <f t="shared" si="95"/>
        <v/>
      </c>
      <c r="AA638" s="29" t="str">
        <f t="shared" si="99"/>
        <v/>
      </c>
      <c r="AB638" s="29" t="str">
        <f t="shared" si="96"/>
        <v/>
      </c>
      <c r="AC638" t="str">
        <f t="shared" si="97"/>
        <v/>
      </c>
    </row>
    <row r="639" spans="20:29" x14ac:dyDescent="0.3">
      <c r="T639" s="29">
        <f t="shared" si="90"/>
        <v>0</v>
      </c>
      <c r="U639" s="29">
        <f t="shared" si="91"/>
        <v>0</v>
      </c>
      <c r="V639" s="29">
        <f t="shared" si="92"/>
        <v>0</v>
      </c>
      <c r="W639" s="29" t="str">
        <f t="shared" si="98"/>
        <v/>
      </c>
      <c r="X639" s="29" t="str">
        <f t="shared" si="93"/>
        <v/>
      </c>
      <c r="Y639" s="32" t="str">
        <f t="shared" si="94"/>
        <v/>
      </c>
      <c r="Z639" s="29" t="str">
        <f t="shared" si="95"/>
        <v/>
      </c>
      <c r="AA639" s="29" t="str">
        <f t="shared" si="99"/>
        <v/>
      </c>
      <c r="AB639" s="29" t="str">
        <f t="shared" si="96"/>
        <v/>
      </c>
      <c r="AC639" t="str">
        <f t="shared" si="97"/>
        <v/>
      </c>
    </row>
    <row r="640" spans="20:29" x14ac:dyDescent="0.3">
      <c r="T640" s="29">
        <f t="shared" si="90"/>
        <v>0</v>
      </c>
      <c r="U640" s="29">
        <f t="shared" si="91"/>
        <v>0</v>
      </c>
      <c r="V640" s="29">
        <f t="shared" si="92"/>
        <v>0</v>
      </c>
      <c r="W640" s="29" t="str">
        <f t="shared" si="98"/>
        <v/>
      </c>
      <c r="X640" s="29" t="str">
        <f t="shared" si="93"/>
        <v/>
      </c>
      <c r="Y640" s="32" t="str">
        <f t="shared" si="94"/>
        <v/>
      </c>
      <c r="Z640" s="29" t="str">
        <f t="shared" si="95"/>
        <v/>
      </c>
      <c r="AA640" s="29" t="str">
        <f t="shared" si="99"/>
        <v/>
      </c>
      <c r="AB640" s="29" t="str">
        <f t="shared" si="96"/>
        <v/>
      </c>
      <c r="AC640" t="str">
        <f t="shared" si="97"/>
        <v/>
      </c>
    </row>
    <row r="641" spans="20:29" x14ac:dyDescent="0.3">
      <c r="T641" s="29">
        <f t="shared" si="90"/>
        <v>0</v>
      </c>
      <c r="U641" s="29">
        <f t="shared" si="91"/>
        <v>0</v>
      </c>
      <c r="V641" s="29">
        <f t="shared" si="92"/>
        <v>0</v>
      </c>
      <c r="W641" s="29" t="str">
        <f t="shared" si="98"/>
        <v/>
      </c>
      <c r="X641" s="29" t="str">
        <f t="shared" si="93"/>
        <v/>
      </c>
      <c r="Y641" s="32" t="str">
        <f t="shared" si="94"/>
        <v/>
      </c>
      <c r="Z641" s="29" t="str">
        <f t="shared" si="95"/>
        <v/>
      </c>
      <c r="AA641" s="29" t="str">
        <f t="shared" si="99"/>
        <v/>
      </c>
      <c r="AB641" s="29" t="str">
        <f t="shared" si="96"/>
        <v/>
      </c>
      <c r="AC641" t="str">
        <f t="shared" si="97"/>
        <v/>
      </c>
    </row>
    <row r="642" spans="20:29" x14ac:dyDescent="0.3">
      <c r="T642" s="29">
        <f t="shared" si="90"/>
        <v>0</v>
      </c>
      <c r="U642" s="29">
        <f t="shared" si="91"/>
        <v>0</v>
      </c>
      <c r="V642" s="29">
        <f t="shared" si="92"/>
        <v>0</v>
      </c>
      <c r="W642" s="29" t="str">
        <f t="shared" si="98"/>
        <v/>
      </c>
      <c r="X642" s="29" t="str">
        <f t="shared" si="93"/>
        <v/>
      </c>
      <c r="Y642" s="32" t="str">
        <f t="shared" si="94"/>
        <v/>
      </c>
      <c r="Z642" s="29" t="str">
        <f t="shared" si="95"/>
        <v/>
      </c>
      <c r="AA642" s="29" t="str">
        <f t="shared" si="99"/>
        <v/>
      </c>
      <c r="AB642" s="29" t="str">
        <f t="shared" si="96"/>
        <v/>
      </c>
      <c r="AC642" t="str">
        <f t="shared" si="97"/>
        <v/>
      </c>
    </row>
    <row r="643" spans="20:29" x14ac:dyDescent="0.3">
      <c r="T643" s="29">
        <f t="shared" ref="T643:T706" si="100">+O643/1.08</f>
        <v>0</v>
      </c>
      <c r="U643" s="29">
        <f t="shared" ref="U643:U706" si="101">+T643*N643</f>
        <v>0</v>
      </c>
      <c r="V643" s="29">
        <f t="shared" ref="V643:V706" si="102">+SUMIF(B:B,B643,U:U)</f>
        <v>0</v>
      </c>
      <c r="W643" s="29" t="str">
        <f t="shared" si="98"/>
        <v/>
      </c>
      <c r="X643" s="29" t="str">
        <f t="shared" ref="X643:X706" si="103">+IF(W643&lt;&gt;0,W643,"")</f>
        <v/>
      </c>
      <c r="Y643" s="32" t="str">
        <f t="shared" ref="Y643:Y706" si="104">+IF(X643&lt;&gt;"",8,"")</f>
        <v/>
      </c>
      <c r="Z643" s="29" t="str">
        <f t="shared" ref="Z643:Z706" si="105">+IF(X643&lt;&gt;"","VND","")</f>
        <v/>
      </c>
      <c r="AA643" s="29" t="str">
        <f t="shared" si="99"/>
        <v/>
      </c>
      <c r="AB643" s="29" t="str">
        <f t="shared" ref="AB643:AB706" si="106">+IF(AA643&lt;&gt;0,AA643,"")</f>
        <v/>
      </c>
      <c r="AC643" t="str">
        <f t="shared" ref="AC643:AC706" si="107">+IF(X643&lt;&gt;"","TM/CK","")</f>
        <v/>
      </c>
    </row>
    <row r="644" spans="20:29" x14ac:dyDescent="0.3">
      <c r="T644" s="29">
        <f t="shared" si="100"/>
        <v>0</v>
      </c>
      <c r="U644" s="29">
        <f t="shared" si="101"/>
        <v>0</v>
      </c>
      <c r="V644" s="29">
        <f t="shared" si="102"/>
        <v>0</v>
      </c>
      <c r="W644" s="29" t="str">
        <f t="shared" ref="W644:W707" si="108">+IF(V644=V643,"",V644)</f>
        <v/>
      </c>
      <c r="X644" s="29" t="str">
        <f t="shared" si="103"/>
        <v/>
      </c>
      <c r="Y644" s="32" t="str">
        <f t="shared" si="104"/>
        <v/>
      </c>
      <c r="Z644" s="29" t="str">
        <f t="shared" si="105"/>
        <v/>
      </c>
      <c r="AA644" s="29" t="str">
        <f t="shared" ref="AA644:AA707" si="109">+IF(B644=B643,"",E644)</f>
        <v/>
      </c>
      <c r="AB644" s="29" t="str">
        <f t="shared" si="106"/>
        <v/>
      </c>
      <c r="AC644" t="str">
        <f t="shared" si="107"/>
        <v/>
      </c>
    </row>
    <row r="645" spans="20:29" x14ac:dyDescent="0.3">
      <c r="T645" s="29">
        <f t="shared" si="100"/>
        <v>0</v>
      </c>
      <c r="U645" s="29">
        <f t="shared" si="101"/>
        <v>0</v>
      </c>
      <c r="V645" s="29">
        <f t="shared" si="102"/>
        <v>0</v>
      </c>
      <c r="W645" s="29" t="str">
        <f t="shared" si="108"/>
        <v/>
      </c>
      <c r="X645" s="29" t="str">
        <f t="shared" si="103"/>
        <v/>
      </c>
      <c r="Y645" s="32" t="str">
        <f t="shared" si="104"/>
        <v/>
      </c>
      <c r="Z645" s="29" t="str">
        <f t="shared" si="105"/>
        <v/>
      </c>
      <c r="AA645" s="29" t="str">
        <f t="shared" si="109"/>
        <v/>
      </c>
      <c r="AB645" s="29" t="str">
        <f t="shared" si="106"/>
        <v/>
      </c>
      <c r="AC645" t="str">
        <f t="shared" si="107"/>
        <v/>
      </c>
    </row>
    <row r="646" spans="20:29" x14ac:dyDescent="0.3">
      <c r="T646" s="29">
        <f t="shared" si="100"/>
        <v>0</v>
      </c>
      <c r="U646" s="29">
        <f t="shared" si="101"/>
        <v>0</v>
      </c>
      <c r="V646" s="29">
        <f t="shared" si="102"/>
        <v>0</v>
      </c>
      <c r="W646" s="29" t="str">
        <f t="shared" si="108"/>
        <v/>
      </c>
      <c r="X646" s="29" t="str">
        <f t="shared" si="103"/>
        <v/>
      </c>
      <c r="Y646" s="32" t="str">
        <f t="shared" si="104"/>
        <v/>
      </c>
      <c r="Z646" s="29" t="str">
        <f t="shared" si="105"/>
        <v/>
      </c>
      <c r="AA646" s="29" t="str">
        <f t="shared" si="109"/>
        <v/>
      </c>
      <c r="AB646" s="29" t="str">
        <f t="shared" si="106"/>
        <v/>
      </c>
      <c r="AC646" t="str">
        <f t="shared" si="107"/>
        <v/>
      </c>
    </row>
    <row r="647" spans="20:29" x14ac:dyDescent="0.3">
      <c r="T647" s="29">
        <f t="shared" si="100"/>
        <v>0</v>
      </c>
      <c r="U647" s="29">
        <f t="shared" si="101"/>
        <v>0</v>
      </c>
      <c r="V647" s="29">
        <f t="shared" si="102"/>
        <v>0</v>
      </c>
      <c r="W647" s="29" t="str">
        <f t="shared" si="108"/>
        <v/>
      </c>
      <c r="X647" s="29" t="str">
        <f t="shared" si="103"/>
        <v/>
      </c>
      <c r="Y647" s="32" t="str">
        <f t="shared" si="104"/>
        <v/>
      </c>
      <c r="Z647" s="29" t="str">
        <f t="shared" si="105"/>
        <v/>
      </c>
      <c r="AA647" s="29" t="str">
        <f t="shared" si="109"/>
        <v/>
      </c>
      <c r="AB647" s="29" t="str">
        <f t="shared" si="106"/>
        <v/>
      </c>
      <c r="AC647" t="str">
        <f t="shared" si="107"/>
        <v/>
      </c>
    </row>
    <row r="648" spans="20:29" x14ac:dyDescent="0.3">
      <c r="T648" s="29">
        <f t="shared" si="100"/>
        <v>0</v>
      </c>
      <c r="U648" s="29">
        <f t="shared" si="101"/>
        <v>0</v>
      </c>
      <c r="V648" s="29">
        <f t="shared" si="102"/>
        <v>0</v>
      </c>
      <c r="W648" s="29" t="str">
        <f t="shared" si="108"/>
        <v/>
      </c>
      <c r="X648" s="29" t="str">
        <f t="shared" si="103"/>
        <v/>
      </c>
      <c r="Y648" s="32" t="str">
        <f t="shared" si="104"/>
        <v/>
      </c>
      <c r="Z648" s="29" t="str">
        <f t="shared" si="105"/>
        <v/>
      </c>
      <c r="AA648" s="29" t="str">
        <f t="shared" si="109"/>
        <v/>
      </c>
      <c r="AB648" s="29" t="str">
        <f t="shared" si="106"/>
        <v/>
      </c>
      <c r="AC648" t="str">
        <f t="shared" si="107"/>
        <v/>
      </c>
    </row>
    <row r="649" spans="20:29" x14ac:dyDescent="0.3">
      <c r="T649" s="29">
        <f t="shared" si="100"/>
        <v>0</v>
      </c>
      <c r="U649" s="29">
        <f t="shared" si="101"/>
        <v>0</v>
      </c>
      <c r="V649" s="29">
        <f t="shared" si="102"/>
        <v>0</v>
      </c>
      <c r="W649" s="29" t="str">
        <f t="shared" si="108"/>
        <v/>
      </c>
      <c r="X649" s="29" t="str">
        <f t="shared" si="103"/>
        <v/>
      </c>
      <c r="Y649" s="32" t="str">
        <f t="shared" si="104"/>
        <v/>
      </c>
      <c r="Z649" s="29" t="str">
        <f t="shared" si="105"/>
        <v/>
      </c>
      <c r="AA649" s="29" t="str">
        <f t="shared" si="109"/>
        <v/>
      </c>
      <c r="AB649" s="29" t="str">
        <f t="shared" si="106"/>
        <v/>
      </c>
      <c r="AC649" t="str">
        <f t="shared" si="107"/>
        <v/>
      </c>
    </row>
    <row r="650" spans="20:29" x14ac:dyDescent="0.3">
      <c r="T650" s="29">
        <f t="shared" si="100"/>
        <v>0</v>
      </c>
      <c r="U650" s="29">
        <f t="shared" si="101"/>
        <v>0</v>
      </c>
      <c r="V650" s="29">
        <f t="shared" si="102"/>
        <v>0</v>
      </c>
      <c r="W650" s="29" t="str">
        <f t="shared" si="108"/>
        <v/>
      </c>
      <c r="X650" s="29" t="str">
        <f t="shared" si="103"/>
        <v/>
      </c>
      <c r="Y650" s="32" t="str">
        <f t="shared" si="104"/>
        <v/>
      </c>
      <c r="Z650" s="29" t="str">
        <f t="shared" si="105"/>
        <v/>
      </c>
      <c r="AA650" s="29" t="str">
        <f t="shared" si="109"/>
        <v/>
      </c>
      <c r="AB650" s="29" t="str">
        <f t="shared" si="106"/>
        <v/>
      </c>
      <c r="AC650" t="str">
        <f t="shared" si="107"/>
        <v/>
      </c>
    </row>
    <row r="651" spans="20:29" x14ac:dyDescent="0.3">
      <c r="T651" s="29">
        <f t="shared" si="100"/>
        <v>0</v>
      </c>
      <c r="U651" s="29">
        <f t="shared" si="101"/>
        <v>0</v>
      </c>
      <c r="V651" s="29">
        <f t="shared" si="102"/>
        <v>0</v>
      </c>
      <c r="W651" s="29" t="str">
        <f t="shared" si="108"/>
        <v/>
      </c>
      <c r="X651" s="29" t="str">
        <f t="shared" si="103"/>
        <v/>
      </c>
      <c r="Y651" s="32" t="str">
        <f t="shared" si="104"/>
        <v/>
      </c>
      <c r="Z651" s="29" t="str">
        <f t="shared" si="105"/>
        <v/>
      </c>
      <c r="AA651" s="29" t="str">
        <f t="shared" si="109"/>
        <v/>
      </c>
      <c r="AB651" s="29" t="str">
        <f t="shared" si="106"/>
        <v/>
      </c>
      <c r="AC651" t="str">
        <f t="shared" si="107"/>
        <v/>
      </c>
    </row>
    <row r="652" spans="20:29" x14ac:dyDescent="0.3">
      <c r="T652" s="29">
        <f t="shared" si="100"/>
        <v>0</v>
      </c>
      <c r="U652" s="29">
        <f t="shared" si="101"/>
        <v>0</v>
      </c>
      <c r="V652" s="29">
        <f t="shared" si="102"/>
        <v>0</v>
      </c>
      <c r="W652" s="29" t="str">
        <f t="shared" si="108"/>
        <v/>
      </c>
      <c r="X652" s="29" t="str">
        <f t="shared" si="103"/>
        <v/>
      </c>
      <c r="Y652" s="32" t="str">
        <f t="shared" si="104"/>
        <v/>
      </c>
      <c r="Z652" s="29" t="str">
        <f t="shared" si="105"/>
        <v/>
      </c>
      <c r="AA652" s="29" t="str">
        <f t="shared" si="109"/>
        <v/>
      </c>
      <c r="AB652" s="29" t="str">
        <f t="shared" si="106"/>
        <v/>
      </c>
      <c r="AC652" t="str">
        <f t="shared" si="107"/>
        <v/>
      </c>
    </row>
    <row r="653" spans="20:29" x14ac:dyDescent="0.3">
      <c r="T653" s="29">
        <f t="shared" si="100"/>
        <v>0</v>
      </c>
      <c r="U653" s="29">
        <f t="shared" si="101"/>
        <v>0</v>
      </c>
      <c r="V653" s="29">
        <f t="shared" si="102"/>
        <v>0</v>
      </c>
      <c r="W653" s="29" t="str">
        <f t="shared" si="108"/>
        <v/>
      </c>
      <c r="X653" s="29" t="str">
        <f t="shared" si="103"/>
        <v/>
      </c>
      <c r="Y653" s="32" t="str">
        <f t="shared" si="104"/>
        <v/>
      </c>
      <c r="Z653" s="29" t="str">
        <f t="shared" si="105"/>
        <v/>
      </c>
      <c r="AA653" s="29" t="str">
        <f t="shared" si="109"/>
        <v/>
      </c>
      <c r="AB653" s="29" t="str">
        <f t="shared" si="106"/>
        <v/>
      </c>
      <c r="AC653" t="str">
        <f t="shared" si="107"/>
        <v/>
      </c>
    </row>
    <row r="654" spans="20:29" x14ac:dyDescent="0.3">
      <c r="T654" s="29">
        <f t="shared" si="100"/>
        <v>0</v>
      </c>
      <c r="U654" s="29">
        <f t="shared" si="101"/>
        <v>0</v>
      </c>
      <c r="V654" s="29">
        <f t="shared" si="102"/>
        <v>0</v>
      </c>
      <c r="W654" s="29" t="str">
        <f t="shared" si="108"/>
        <v/>
      </c>
      <c r="X654" s="29" t="str">
        <f t="shared" si="103"/>
        <v/>
      </c>
      <c r="Y654" s="32" t="str">
        <f t="shared" si="104"/>
        <v/>
      </c>
      <c r="Z654" s="29" t="str">
        <f t="shared" si="105"/>
        <v/>
      </c>
      <c r="AA654" s="29" t="str">
        <f t="shared" si="109"/>
        <v/>
      </c>
      <c r="AB654" s="29" t="str">
        <f t="shared" si="106"/>
        <v/>
      </c>
      <c r="AC654" t="str">
        <f t="shared" si="107"/>
        <v/>
      </c>
    </row>
    <row r="655" spans="20:29" x14ac:dyDescent="0.3">
      <c r="T655" s="29">
        <f t="shared" si="100"/>
        <v>0</v>
      </c>
      <c r="U655" s="29">
        <f t="shared" si="101"/>
        <v>0</v>
      </c>
      <c r="V655" s="29">
        <f t="shared" si="102"/>
        <v>0</v>
      </c>
      <c r="W655" s="29" t="str">
        <f t="shared" si="108"/>
        <v/>
      </c>
      <c r="X655" s="29" t="str">
        <f t="shared" si="103"/>
        <v/>
      </c>
      <c r="Y655" s="32" t="str">
        <f t="shared" si="104"/>
        <v/>
      </c>
      <c r="Z655" s="29" t="str">
        <f t="shared" si="105"/>
        <v/>
      </c>
      <c r="AA655" s="29" t="str">
        <f t="shared" si="109"/>
        <v/>
      </c>
      <c r="AB655" s="29" t="str">
        <f t="shared" si="106"/>
        <v/>
      </c>
      <c r="AC655" t="str">
        <f t="shared" si="107"/>
        <v/>
      </c>
    </row>
    <row r="656" spans="20:29" x14ac:dyDescent="0.3">
      <c r="T656" s="29">
        <f t="shared" si="100"/>
        <v>0</v>
      </c>
      <c r="U656" s="29">
        <f t="shared" si="101"/>
        <v>0</v>
      </c>
      <c r="V656" s="29">
        <f t="shared" si="102"/>
        <v>0</v>
      </c>
      <c r="W656" s="29" t="str">
        <f t="shared" si="108"/>
        <v/>
      </c>
      <c r="X656" s="29" t="str">
        <f t="shared" si="103"/>
        <v/>
      </c>
      <c r="Y656" s="32" t="str">
        <f t="shared" si="104"/>
        <v/>
      </c>
      <c r="Z656" s="29" t="str">
        <f t="shared" si="105"/>
        <v/>
      </c>
      <c r="AA656" s="29" t="str">
        <f t="shared" si="109"/>
        <v/>
      </c>
      <c r="AB656" s="29" t="str">
        <f t="shared" si="106"/>
        <v/>
      </c>
      <c r="AC656" t="str">
        <f t="shared" si="107"/>
        <v/>
      </c>
    </row>
    <row r="657" spans="20:29" x14ac:dyDescent="0.3">
      <c r="T657" s="29">
        <f t="shared" si="100"/>
        <v>0</v>
      </c>
      <c r="U657" s="29">
        <f t="shared" si="101"/>
        <v>0</v>
      </c>
      <c r="V657" s="29">
        <f t="shared" si="102"/>
        <v>0</v>
      </c>
      <c r="W657" s="29" t="str">
        <f t="shared" si="108"/>
        <v/>
      </c>
      <c r="X657" s="29" t="str">
        <f t="shared" si="103"/>
        <v/>
      </c>
      <c r="Y657" s="32" t="str">
        <f t="shared" si="104"/>
        <v/>
      </c>
      <c r="Z657" s="29" t="str">
        <f t="shared" si="105"/>
        <v/>
      </c>
      <c r="AA657" s="29" t="str">
        <f t="shared" si="109"/>
        <v/>
      </c>
      <c r="AB657" s="29" t="str">
        <f t="shared" si="106"/>
        <v/>
      </c>
      <c r="AC657" t="str">
        <f t="shared" si="107"/>
        <v/>
      </c>
    </row>
    <row r="658" spans="20:29" x14ac:dyDescent="0.3">
      <c r="T658" s="29">
        <f t="shared" si="100"/>
        <v>0</v>
      </c>
      <c r="U658" s="29">
        <f t="shared" si="101"/>
        <v>0</v>
      </c>
      <c r="V658" s="29">
        <f t="shared" si="102"/>
        <v>0</v>
      </c>
      <c r="W658" s="29" t="str">
        <f t="shared" si="108"/>
        <v/>
      </c>
      <c r="X658" s="29" t="str">
        <f t="shared" si="103"/>
        <v/>
      </c>
      <c r="Y658" s="32" t="str">
        <f t="shared" si="104"/>
        <v/>
      </c>
      <c r="Z658" s="29" t="str">
        <f t="shared" si="105"/>
        <v/>
      </c>
      <c r="AA658" s="29" t="str">
        <f t="shared" si="109"/>
        <v/>
      </c>
      <c r="AB658" s="29" t="str">
        <f t="shared" si="106"/>
        <v/>
      </c>
      <c r="AC658" t="str">
        <f t="shared" si="107"/>
        <v/>
      </c>
    </row>
    <row r="659" spans="20:29" x14ac:dyDescent="0.3">
      <c r="T659" s="29">
        <f t="shared" si="100"/>
        <v>0</v>
      </c>
      <c r="U659" s="29">
        <f t="shared" si="101"/>
        <v>0</v>
      </c>
      <c r="V659" s="29">
        <f t="shared" si="102"/>
        <v>0</v>
      </c>
      <c r="W659" s="29" t="str">
        <f t="shared" si="108"/>
        <v/>
      </c>
      <c r="X659" s="29" t="str">
        <f t="shared" si="103"/>
        <v/>
      </c>
      <c r="Y659" s="32" t="str">
        <f t="shared" si="104"/>
        <v/>
      </c>
      <c r="Z659" s="29" t="str">
        <f t="shared" si="105"/>
        <v/>
      </c>
      <c r="AA659" s="29" t="str">
        <f t="shared" si="109"/>
        <v/>
      </c>
      <c r="AB659" s="29" t="str">
        <f t="shared" si="106"/>
        <v/>
      </c>
      <c r="AC659" t="str">
        <f t="shared" si="107"/>
        <v/>
      </c>
    </row>
    <row r="660" spans="20:29" x14ac:dyDescent="0.3">
      <c r="T660" s="29">
        <f t="shared" si="100"/>
        <v>0</v>
      </c>
      <c r="U660" s="29">
        <f t="shared" si="101"/>
        <v>0</v>
      </c>
      <c r="V660" s="29">
        <f t="shared" si="102"/>
        <v>0</v>
      </c>
      <c r="W660" s="29" t="str">
        <f t="shared" si="108"/>
        <v/>
      </c>
      <c r="X660" s="29" t="str">
        <f t="shared" si="103"/>
        <v/>
      </c>
      <c r="Y660" s="32" t="str">
        <f t="shared" si="104"/>
        <v/>
      </c>
      <c r="Z660" s="29" t="str">
        <f t="shared" si="105"/>
        <v/>
      </c>
      <c r="AA660" s="29" t="str">
        <f t="shared" si="109"/>
        <v/>
      </c>
      <c r="AB660" s="29" t="str">
        <f t="shared" si="106"/>
        <v/>
      </c>
      <c r="AC660" t="str">
        <f t="shared" si="107"/>
        <v/>
      </c>
    </row>
    <row r="661" spans="20:29" x14ac:dyDescent="0.3">
      <c r="T661" s="29">
        <f t="shared" si="100"/>
        <v>0</v>
      </c>
      <c r="U661" s="29">
        <f t="shared" si="101"/>
        <v>0</v>
      </c>
      <c r="V661" s="29">
        <f t="shared" si="102"/>
        <v>0</v>
      </c>
      <c r="W661" s="29" t="str">
        <f t="shared" si="108"/>
        <v/>
      </c>
      <c r="X661" s="29" t="str">
        <f t="shared" si="103"/>
        <v/>
      </c>
      <c r="Y661" s="32" t="str">
        <f t="shared" si="104"/>
        <v/>
      </c>
      <c r="Z661" s="29" t="str">
        <f t="shared" si="105"/>
        <v/>
      </c>
      <c r="AA661" s="29" t="str">
        <f t="shared" si="109"/>
        <v/>
      </c>
      <c r="AB661" s="29" t="str">
        <f t="shared" si="106"/>
        <v/>
      </c>
      <c r="AC661" t="str">
        <f t="shared" si="107"/>
        <v/>
      </c>
    </row>
    <row r="662" spans="20:29" x14ac:dyDescent="0.3">
      <c r="T662" s="29">
        <f t="shared" si="100"/>
        <v>0</v>
      </c>
      <c r="U662" s="29">
        <f t="shared" si="101"/>
        <v>0</v>
      </c>
      <c r="V662" s="29">
        <f t="shared" si="102"/>
        <v>0</v>
      </c>
      <c r="W662" s="29" t="str">
        <f t="shared" si="108"/>
        <v/>
      </c>
      <c r="X662" s="29" t="str">
        <f t="shared" si="103"/>
        <v/>
      </c>
      <c r="Y662" s="32" t="str">
        <f t="shared" si="104"/>
        <v/>
      </c>
      <c r="Z662" s="29" t="str">
        <f t="shared" si="105"/>
        <v/>
      </c>
      <c r="AA662" s="29" t="str">
        <f t="shared" si="109"/>
        <v/>
      </c>
      <c r="AB662" s="29" t="str">
        <f t="shared" si="106"/>
        <v/>
      </c>
      <c r="AC662" t="str">
        <f t="shared" si="107"/>
        <v/>
      </c>
    </row>
    <row r="663" spans="20:29" x14ac:dyDescent="0.3">
      <c r="T663" s="29">
        <f t="shared" si="100"/>
        <v>0</v>
      </c>
      <c r="U663" s="29">
        <f t="shared" si="101"/>
        <v>0</v>
      </c>
      <c r="V663" s="29">
        <f t="shared" si="102"/>
        <v>0</v>
      </c>
      <c r="W663" s="29" t="str">
        <f t="shared" si="108"/>
        <v/>
      </c>
      <c r="X663" s="29" t="str">
        <f t="shared" si="103"/>
        <v/>
      </c>
      <c r="Y663" s="32" t="str">
        <f t="shared" si="104"/>
        <v/>
      </c>
      <c r="Z663" s="29" t="str">
        <f t="shared" si="105"/>
        <v/>
      </c>
      <c r="AA663" s="29" t="str">
        <f t="shared" si="109"/>
        <v/>
      </c>
      <c r="AB663" s="29" t="str">
        <f t="shared" si="106"/>
        <v/>
      </c>
      <c r="AC663" t="str">
        <f t="shared" si="107"/>
        <v/>
      </c>
    </row>
    <row r="664" spans="20:29" x14ac:dyDescent="0.3">
      <c r="T664" s="29">
        <f t="shared" si="100"/>
        <v>0</v>
      </c>
      <c r="U664" s="29">
        <f t="shared" si="101"/>
        <v>0</v>
      </c>
      <c r="V664" s="29">
        <f t="shared" si="102"/>
        <v>0</v>
      </c>
      <c r="W664" s="29" t="str">
        <f t="shared" si="108"/>
        <v/>
      </c>
      <c r="X664" s="29" t="str">
        <f t="shared" si="103"/>
        <v/>
      </c>
      <c r="Y664" s="32" t="str">
        <f t="shared" si="104"/>
        <v/>
      </c>
      <c r="Z664" s="29" t="str">
        <f t="shared" si="105"/>
        <v/>
      </c>
      <c r="AA664" s="29" t="str">
        <f t="shared" si="109"/>
        <v/>
      </c>
      <c r="AB664" s="29" t="str">
        <f t="shared" si="106"/>
        <v/>
      </c>
      <c r="AC664" t="str">
        <f t="shared" si="107"/>
        <v/>
      </c>
    </row>
    <row r="665" spans="20:29" x14ac:dyDescent="0.3">
      <c r="T665" s="29">
        <f t="shared" si="100"/>
        <v>0</v>
      </c>
      <c r="U665" s="29">
        <f t="shared" si="101"/>
        <v>0</v>
      </c>
      <c r="V665" s="29">
        <f t="shared" si="102"/>
        <v>0</v>
      </c>
      <c r="W665" s="29" t="str">
        <f t="shared" si="108"/>
        <v/>
      </c>
      <c r="X665" s="29" t="str">
        <f t="shared" si="103"/>
        <v/>
      </c>
      <c r="Y665" s="32" t="str">
        <f t="shared" si="104"/>
        <v/>
      </c>
      <c r="Z665" s="29" t="str">
        <f t="shared" si="105"/>
        <v/>
      </c>
      <c r="AA665" s="29" t="str">
        <f t="shared" si="109"/>
        <v/>
      </c>
      <c r="AB665" s="29" t="str">
        <f t="shared" si="106"/>
        <v/>
      </c>
      <c r="AC665" t="str">
        <f t="shared" si="107"/>
        <v/>
      </c>
    </row>
    <row r="666" spans="20:29" x14ac:dyDescent="0.3">
      <c r="T666" s="29">
        <f t="shared" si="100"/>
        <v>0</v>
      </c>
      <c r="U666" s="29">
        <f t="shared" si="101"/>
        <v>0</v>
      </c>
      <c r="V666" s="29">
        <f t="shared" si="102"/>
        <v>0</v>
      </c>
      <c r="W666" s="29" t="str">
        <f t="shared" si="108"/>
        <v/>
      </c>
      <c r="X666" s="29" t="str">
        <f t="shared" si="103"/>
        <v/>
      </c>
      <c r="Y666" s="32" t="str">
        <f t="shared" si="104"/>
        <v/>
      </c>
      <c r="Z666" s="29" t="str">
        <f t="shared" si="105"/>
        <v/>
      </c>
      <c r="AA666" s="29" t="str">
        <f t="shared" si="109"/>
        <v/>
      </c>
      <c r="AB666" s="29" t="str">
        <f t="shared" si="106"/>
        <v/>
      </c>
      <c r="AC666" t="str">
        <f t="shared" si="107"/>
        <v/>
      </c>
    </row>
    <row r="667" spans="20:29" x14ac:dyDescent="0.3">
      <c r="T667" s="29">
        <f t="shared" si="100"/>
        <v>0</v>
      </c>
      <c r="U667" s="29">
        <f t="shared" si="101"/>
        <v>0</v>
      </c>
      <c r="V667" s="29">
        <f t="shared" si="102"/>
        <v>0</v>
      </c>
      <c r="W667" s="29" t="str">
        <f t="shared" si="108"/>
        <v/>
      </c>
      <c r="X667" s="29" t="str">
        <f t="shared" si="103"/>
        <v/>
      </c>
      <c r="Y667" s="32" t="str">
        <f t="shared" si="104"/>
        <v/>
      </c>
      <c r="Z667" s="29" t="str">
        <f t="shared" si="105"/>
        <v/>
      </c>
      <c r="AA667" s="29" t="str">
        <f t="shared" si="109"/>
        <v/>
      </c>
      <c r="AB667" s="29" t="str">
        <f t="shared" si="106"/>
        <v/>
      </c>
      <c r="AC667" t="str">
        <f t="shared" si="107"/>
        <v/>
      </c>
    </row>
    <row r="668" spans="20:29" x14ac:dyDescent="0.3">
      <c r="T668" s="29">
        <f t="shared" si="100"/>
        <v>0</v>
      </c>
      <c r="U668" s="29">
        <f t="shared" si="101"/>
        <v>0</v>
      </c>
      <c r="V668" s="29">
        <f t="shared" si="102"/>
        <v>0</v>
      </c>
      <c r="W668" s="29" t="str">
        <f t="shared" si="108"/>
        <v/>
      </c>
      <c r="X668" s="29" t="str">
        <f t="shared" si="103"/>
        <v/>
      </c>
      <c r="Y668" s="32" t="str">
        <f t="shared" si="104"/>
        <v/>
      </c>
      <c r="Z668" s="29" t="str">
        <f t="shared" si="105"/>
        <v/>
      </c>
      <c r="AA668" s="29" t="str">
        <f t="shared" si="109"/>
        <v/>
      </c>
      <c r="AB668" s="29" t="str">
        <f t="shared" si="106"/>
        <v/>
      </c>
      <c r="AC668" t="str">
        <f t="shared" si="107"/>
        <v/>
      </c>
    </row>
    <row r="669" spans="20:29" x14ac:dyDescent="0.3">
      <c r="T669" s="29">
        <f t="shared" si="100"/>
        <v>0</v>
      </c>
      <c r="U669" s="29">
        <f t="shared" si="101"/>
        <v>0</v>
      </c>
      <c r="V669" s="29">
        <f t="shared" si="102"/>
        <v>0</v>
      </c>
      <c r="W669" s="29" t="str">
        <f t="shared" si="108"/>
        <v/>
      </c>
      <c r="X669" s="29" t="str">
        <f t="shared" si="103"/>
        <v/>
      </c>
      <c r="Y669" s="32" t="str">
        <f t="shared" si="104"/>
        <v/>
      </c>
      <c r="Z669" s="29" t="str">
        <f t="shared" si="105"/>
        <v/>
      </c>
      <c r="AA669" s="29" t="str">
        <f t="shared" si="109"/>
        <v/>
      </c>
      <c r="AB669" s="29" t="str">
        <f t="shared" si="106"/>
        <v/>
      </c>
      <c r="AC669" t="str">
        <f t="shared" si="107"/>
        <v/>
      </c>
    </row>
    <row r="670" spans="20:29" x14ac:dyDescent="0.3">
      <c r="T670" s="29">
        <f t="shared" si="100"/>
        <v>0</v>
      </c>
      <c r="U670" s="29">
        <f t="shared" si="101"/>
        <v>0</v>
      </c>
      <c r="V670" s="29">
        <f t="shared" si="102"/>
        <v>0</v>
      </c>
      <c r="W670" s="29" t="str">
        <f t="shared" si="108"/>
        <v/>
      </c>
      <c r="X670" s="29" t="str">
        <f t="shared" si="103"/>
        <v/>
      </c>
      <c r="Y670" s="32" t="str">
        <f t="shared" si="104"/>
        <v/>
      </c>
      <c r="Z670" s="29" t="str">
        <f t="shared" si="105"/>
        <v/>
      </c>
      <c r="AA670" s="29" t="str">
        <f t="shared" si="109"/>
        <v/>
      </c>
      <c r="AB670" s="29" t="str">
        <f t="shared" si="106"/>
        <v/>
      </c>
      <c r="AC670" t="str">
        <f t="shared" si="107"/>
        <v/>
      </c>
    </row>
    <row r="671" spans="20:29" x14ac:dyDescent="0.3">
      <c r="T671" s="29">
        <f t="shared" si="100"/>
        <v>0</v>
      </c>
      <c r="U671" s="29">
        <f t="shared" si="101"/>
        <v>0</v>
      </c>
      <c r="V671" s="29">
        <f t="shared" si="102"/>
        <v>0</v>
      </c>
      <c r="W671" s="29" t="str">
        <f t="shared" si="108"/>
        <v/>
      </c>
      <c r="X671" s="29" t="str">
        <f t="shared" si="103"/>
        <v/>
      </c>
      <c r="Y671" s="32" t="str">
        <f t="shared" si="104"/>
        <v/>
      </c>
      <c r="Z671" s="29" t="str">
        <f t="shared" si="105"/>
        <v/>
      </c>
      <c r="AA671" s="29" t="str">
        <f t="shared" si="109"/>
        <v/>
      </c>
      <c r="AB671" s="29" t="str">
        <f t="shared" si="106"/>
        <v/>
      </c>
      <c r="AC671" t="str">
        <f t="shared" si="107"/>
        <v/>
      </c>
    </row>
    <row r="672" spans="20:29" x14ac:dyDescent="0.3">
      <c r="T672" s="29">
        <f t="shared" si="100"/>
        <v>0</v>
      </c>
      <c r="U672" s="29">
        <f t="shared" si="101"/>
        <v>0</v>
      </c>
      <c r="V672" s="29">
        <f t="shared" si="102"/>
        <v>0</v>
      </c>
      <c r="W672" s="29" t="str">
        <f t="shared" si="108"/>
        <v/>
      </c>
      <c r="X672" s="29" t="str">
        <f t="shared" si="103"/>
        <v/>
      </c>
      <c r="Y672" s="32" t="str">
        <f t="shared" si="104"/>
        <v/>
      </c>
      <c r="Z672" s="29" t="str">
        <f t="shared" si="105"/>
        <v/>
      </c>
      <c r="AA672" s="29" t="str">
        <f t="shared" si="109"/>
        <v/>
      </c>
      <c r="AB672" s="29" t="str">
        <f t="shared" si="106"/>
        <v/>
      </c>
      <c r="AC672" t="str">
        <f t="shared" si="107"/>
        <v/>
      </c>
    </row>
    <row r="673" spans="20:29" x14ac:dyDescent="0.3">
      <c r="T673" s="29">
        <f t="shared" si="100"/>
        <v>0</v>
      </c>
      <c r="U673" s="29">
        <f t="shared" si="101"/>
        <v>0</v>
      </c>
      <c r="V673" s="29">
        <f t="shared" si="102"/>
        <v>0</v>
      </c>
      <c r="W673" s="29" t="str">
        <f t="shared" si="108"/>
        <v/>
      </c>
      <c r="X673" s="29" t="str">
        <f t="shared" si="103"/>
        <v/>
      </c>
      <c r="Y673" s="32" t="str">
        <f t="shared" si="104"/>
        <v/>
      </c>
      <c r="Z673" s="29" t="str">
        <f t="shared" si="105"/>
        <v/>
      </c>
      <c r="AA673" s="29" t="str">
        <f t="shared" si="109"/>
        <v/>
      </c>
      <c r="AB673" s="29" t="str">
        <f t="shared" si="106"/>
        <v/>
      </c>
      <c r="AC673" t="str">
        <f t="shared" si="107"/>
        <v/>
      </c>
    </row>
    <row r="674" spans="20:29" x14ac:dyDescent="0.3">
      <c r="T674" s="29">
        <f t="shared" si="100"/>
        <v>0</v>
      </c>
      <c r="U674" s="29">
        <f t="shared" si="101"/>
        <v>0</v>
      </c>
      <c r="V674" s="29">
        <f t="shared" si="102"/>
        <v>0</v>
      </c>
      <c r="W674" s="29" t="str">
        <f t="shared" si="108"/>
        <v/>
      </c>
      <c r="X674" s="29" t="str">
        <f t="shared" si="103"/>
        <v/>
      </c>
      <c r="Y674" s="32" t="str">
        <f t="shared" si="104"/>
        <v/>
      </c>
      <c r="Z674" s="29" t="str">
        <f t="shared" si="105"/>
        <v/>
      </c>
      <c r="AA674" s="29" t="str">
        <f t="shared" si="109"/>
        <v/>
      </c>
      <c r="AB674" s="29" t="str">
        <f t="shared" si="106"/>
        <v/>
      </c>
      <c r="AC674" t="str">
        <f t="shared" si="107"/>
        <v/>
      </c>
    </row>
    <row r="675" spans="20:29" x14ac:dyDescent="0.3">
      <c r="T675" s="29">
        <f t="shared" si="100"/>
        <v>0</v>
      </c>
      <c r="U675" s="29">
        <f t="shared" si="101"/>
        <v>0</v>
      </c>
      <c r="V675" s="29">
        <f t="shared" si="102"/>
        <v>0</v>
      </c>
      <c r="W675" s="29" t="str">
        <f t="shared" si="108"/>
        <v/>
      </c>
      <c r="X675" s="29" t="str">
        <f t="shared" si="103"/>
        <v/>
      </c>
      <c r="Y675" s="32" t="str">
        <f t="shared" si="104"/>
        <v/>
      </c>
      <c r="Z675" s="29" t="str">
        <f t="shared" si="105"/>
        <v/>
      </c>
      <c r="AA675" s="29" t="str">
        <f t="shared" si="109"/>
        <v/>
      </c>
      <c r="AB675" s="29" t="str">
        <f t="shared" si="106"/>
        <v/>
      </c>
      <c r="AC675" t="str">
        <f t="shared" si="107"/>
        <v/>
      </c>
    </row>
    <row r="676" spans="20:29" x14ac:dyDescent="0.3">
      <c r="T676" s="29">
        <f t="shared" si="100"/>
        <v>0</v>
      </c>
      <c r="U676" s="29">
        <f t="shared" si="101"/>
        <v>0</v>
      </c>
      <c r="V676" s="29">
        <f t="shared" si="102"/>
        <v>0</v>
      </c>
      <c r="W676" s="29" t="str">
        <f t="shared" si="108"/>
        <v/>
      </c>
      <c r="X676" s="29" t="str">
        <f t="shared" si="103"/>
        <v/>
      </c>
      <c r="Y676" s="32" t="str">
        <f t="shared" si="104"/>
        <v/>
      </c>
      <c r="Z676" s="29" t="str">
        <f t="shared" si="105"/>
        <v/>
      </c>
      <c r="AA676" s="29" t="str">
        <f t="shared" si="109"/>
        <v/>
      </c>
      <c r="AB676" s="29" t="str">
        <f t="shared" si="106"/>
        <v/>
      </c>
      <c r="AC676" t="str">
        <f t="shared" si="107"/>
        <v/>
      </c>
    </row>
    <row r="677" spans="20:29" x14ac:dyDescent="0.3">
      <c r="T677" s="29">
        <f t="shared" si="100"/>
        <v>0</v>
      </c>
      <c r="U677" s="29">
        <f t="shared" si="101"/>
        <v>0</v>
      </c>
      <c r="V677" s="29">
        <f t="shared" si="102"/>
        <v>0</v>
      </c>
      <c r="W677" s="29" t="str">
        <f t="shared" si="108"/>
        <v/>
      </c>
      <c r="X677" s="29" t="str">
        <f t="shared" si="103"/>
        <v/>
      </c>
      <c r="Y677" s="32" t="str">
        <f t="shared" si="104"/>
        <v/>
      </c>
      <c r="Z677" s="29" t="str">
        <f t="shared" si="105"/>
        <v/>
      </c>
      <c r="AA677" s="29" t="str">
        <f t="shared" si="109"/>
        <v/>
      </c>
      <c r="AB677" s="29" t="str">
        <f t="shared" si="106"/>
        <v/>
      </c>
      <c r="AC677" t="str">
        <f t="shared" si="107"/>
        <v/>
      </c>
    </row>
    <row r="678" spans="20:29" x14ac:dyDescent="0.3">
      <c r="T678" s="29">
        <f t="shared" si="100"/>
        <v>0</v>
      </c>
      <c r="U678" s="29">
        <f t="shared" si="101"/>
        <v>0</v>
      </c>
      <c r="V678" s="29">
        <f t="shared" si="102"/>
        <v>0</v>
      </c>
      <c r="W678" s="29" t="str">
        <f t="shared" si="108"/>
        <v/>
      </c>
      <c r="X678" s="29" t="str">
        <f t="shared" si="103"/>
        <v/>
      </c>
      <c r="Y678" s="32" t="str">
        <f t="shared" si="104"/>
        <v/>
      </c>
      <c r="Z678" s="29" t="str">
        <f t="shared" si="105"/>
        <v/>
      </c>
      <c r="AA678" s="29" t="str">
        <f t="shared" si="109"/>
        <v/>
      </c>
      <c r="AB678" s="29" t="str">
        <f t="shared" si="106"/>
        <v/>
      </c>
      <c r="AC678" t="str">
        <f t="shared" si="107"/>
        <v/>
      </c>
    </row>
    <row r="679" spans="20:29" x14ac:dyDescent="0.3">
      <c r="T679" s="29">
        <f t="shared" si="100"/>
        <v>0</v>
      </c>
      <c r="U679" s="29">
        <f t="shared" si="101"/>
        <v>0</v>
      </c>
      <c r="V679" s="29">
        <f t="shared" si="102"/>
        <v>0</v>
      </c>
      <c r="W679" s="29" t="str">
        <f t="shared" si="108"/>
        <v/>
      </c>
      <c r="X679" s="29" t="str">
        <f t="shared" si="103"/>
        <v/>
      </c>
      <c r="Y679" s="32" t="str">
        <f t="shared" si="104"/>
        <v/>
      </c>
      <c r="Z679" s="29" t="str">
        <f t="shared" si="105"/>
        <v/>
      </c>
      <c r="AA679" s="29" t="str">
        <f t="shared" si="109"/>
        <v/>
      </c>
      <c r="AB679" s="29" t="str">
        <f t="shared" si="106"/>
        <v/>
      </c>
      <c r="AC679" t="str">
        <f t="shared" si="107"/>
        <v/>
      </c>
    </row>
    <row r="680" spans="20:29" x14ac:dyDescent="0.3">
      <c r="T680" s="29">
        <f t="shared" si="100"/>
        <v>0</v>
      </c>
      <c r="U680" s="29">
        <f t="shared" si="101"/>
        <v>0</v>
      </c>
      <c r="V680" s="29">
        <f t="shared" si="102"/>
        <v>0</v>
      </c>
      <c r="W680" s="29" t="str">
        <f t="shared" si="108"/>
        <v/>
      </c>
      <c r="X680" s="29" t="str">
        <f t="shared" si="103"/>
        <v/>
      </c>
      <c r="Y680" s="32" t="str">
        <f t="shared" si="104"/>
        <v/>
      </c>
      <c r="Z680" s="29" t="str">
        <f t="shared" si="105"/>
        <v/>
      </c>
      <c r="AA680" s="29" t="str">
        <f t="shared" si="109"/>
        <v/>
      </c>
      <c r="AB680" s="29" t="str">
        <f t="shared" si="106"/>
        <v/>
      </c>
      <c r="AC680" t="str">
        <f t="shared" si="107"/>
        <v/>
      </c>
    </row>
    <row r="681" spans="20:29" x14ac:dyDescent="0.3">
      <c r="T681" s="29">
        <f t="shared" si="100"/>
        <v>0</v>
      </c>
      <c r="U681" s="29">
        <f t="shared" si="101"/>
        <v>0</v>
      </c>
      <c r="V681" s="29">
        <f t="shared" si="102"/>
        <v>0</v>
      </c>
      <c r="W681" s="29" t="str">
        <f t="shared" si="108"/>
        <v/>
      </c>
      <c r="X681" s="29" t="str">
        <f t="shared" si="103"/>
        <v/>
      </c>
      <c r="Y681" s="32" t="str">
        <f t="shared" si="104"/>
        <v/>
      </c>
      <c r="Z681" s="29" t="str">
        <f t="shared" si="105"/>
        <v/>
      </c>
      <c r="AA681" s="29" t="str">
        <f t="shared" si="109"/>
        <v/>
      </c>
      <c r="AB681" s="29" t="str">
        <f t="shared" si="106"/>
        <v/>
      </c>
      <c r="AC681" t="str">
        <f t="shared" si="107"/>
        <v/>
      </c>
    </row>
    <row r="682" spans="20:29" x14ac:dyDescent="0.3">
      <c r="T682" s="29">
        <f t="shared" si="100"/>
        <v>0</v>
      </c>
      <c r="U682" s="29">
        <f t="shared" si="101"/>
        <v>0</v>
      </c>
      <c r="V682" s="29">
        <f t="shared" si="102"/>
        <v>0</v>
      </c>
      <c r="W682" s="29" t="str">
        <f t="shared" si="108"/>
        <v/>
      </c>
      <c r="X682" s="29" t="str">
        <f t="shared" si="103"/>
        <v/>
      </c>
      <c r="Y682" s="32" t="str">
        <f t="shared" si="104"/>
        <v/>
      </c>
      <c r="Z682" s="29" t="str">
        <f t="shared" si="105"/>
        <v/>
      </c>
      <c r="AA682" s="29" t="str">
        <f t="shared" si="109"/>
        <v/>
      </c>
      <c r="AB682" s="29" t="str">
        <f t="shared" si="106"/>
        <v/>
      </c>
      <c r="AC682" t="str">
        <f t="shared" si="107"/>
        <v/>
      </c>
    </row>
    <row r="683" spans="20:29" x14ac:dyDescent="0.3">
      <c r="T683" s="29">
        <f t="shared" si="100"/>
        <v>0</v>
      </c>
      <c r="U683" s="29">
        <f t="shared" si="101"/>
        <v>0</v>
      </c>
      <c r="V683" s="29">
        <f t="shared" si="102"/>
        <v>0</v>
      </c>
      <c r="W683" s="29" t="str">
        <f t="shared" si="108"/>
        <v/>
      </c>
      <c r="X683" s="29" t="str">
        <f t="shared" si="103"/>
        <v/>
      </c>
      <c r="Y683" s="32" t="str">
        <f t="shared" si="104"/>
        <v/>
      </c>
      <c r="Z683" s="29" t="str">
        <f t="shared" si="105"/>
        <v/>
      </c>
      <c r="AA683" s="29" t="str">
        <f t="shared" si="109"/>
        <v/>
      </c>
      <c r="AB683" s="29" t="str">
        <f t="shared" si="106"/>
        <v/>
      </c>
      <c r="AC683" t="str">
        <f t="shared" si="107"/>
        <v/>
      </c>
    </row>
    <row r="684" spans="20:29" x14ac:dyDescent="0.3">
      <c r="T684" s="29">
        <f t="shared" si="100"/>
        <v>0</v>
      </c>
      <c r="U684" s="29">
        <f t="shared" si="101"/>
        <v>0</v>
      </c>
      <c r="V684" s="29">
        <f t="shared" si="102"/>
        <v>0</v>
      </c>
      <c r="W684" s="29" t="str">
        <f t="shared" si="108"/>
        <v/>
      </c>
      <c r="X684" s="29" t="str">
        <f t="shared" si="103"/>
        <v/>
      </c>
      <c r="Y684" s="32" t="str">
        <f t="shared" si="104"/>
        <v/>
      </c>
      <c r="Z684" s="29" t="str">
        <f t="shared" si="105"/>
        <v/>
      </c>
      <c r="AA684" s="29" t="str">
        <f t="shared" si="109"/>
        <v/>
      </c>
      <c r="AB684" s="29" t="str">
        <f t="shared" si="106"/>
        <v/>
      </c>
      <c r="AC684" t="str">
        <f t="shared" si="107"/>
        <v/>
      </c>
    </row>
    <row r="685" spans="20:29" x14ac:dyDescent="0.3">
      <c r="T685" s="29">
        <f t="shared" si="100"/>
        <v>0</v>
      </c>
      <c r="U685" s="29">
        <f t="shared" si="101"/>
        <v>0</v>
      </c>
      <c r="V685" s="29">
        <f t="shared" si="102"/>
        <v>0</v>
      </c>
      <c r="W685" s="29" t="str">
        <f t="shared" si="108"/>
        <v/>
      </c>
      <c r="X685" s="29" t="str">
        <f t="shared" si="103"/>
        <v/>
      </c>
      <c r="Y685" s="32" t="str">
        <f t="shared" si="104"/>
        <v/>
      </c>
      <c r="Z685" s="29" t="str">
        <f t="shared" si="105"/>
        <v/>
      </c>
      <c r="AA685" s="29" t="str">
        <f t="shared" si="109"/>
        <v/>
      </c>
      <c r="AB685" s="29" t="str">
        <f t="shared" si="106"/>
        <v/>
      </c>
      <c r="AC685" t="str">
        <f t="shared" si="107"/>
        <v/>
      </c>
    </row>
    <row r="686" spans="20:29" x14ac:dyDescent="0.3">
      <c r="T686" s="29">
        <f t="shared" si="100"/>
        <v>0</v>
      </c>
      <c r="U686" s="29">
        <f t="shared" si="101"/>
        <v>0</v>
      </c>
      <c r="V686" s="29">
        <f t="shared" si="102"/>
        <v>0</v>
      </c>
      <c r="W686" s="29" t="str">
        <f t="shared" si="108"/>
        <v/>
      </c>
      <c r="X686" s="29" t="str">
        <f t="shared" si="103"/>
        <v/>
      </c>
      <c r="Y686" s="32" t="str">
        <f t="shared" si="104"/>
        <v/>
      </c>
      <c r="Z686" s="29" t="str">
        <f t="shared" si="105"/>
        <v/>
      </c>
      <c r="AA686" s="29" t="str">
        <f t="shared" si="109"/>
        <v/>
      </c>
      <c r="AB686" s="29" t="str">
        <f t="shared" si="106"/>
        <v/>
      </c>
      <c r="AC686" t="str">
        <f t="shared" si="107"/>
        <v/>
      </c>
    </row>
    <row r="687" spans="20:29" x14ac:dyDescent="0.3">
      <c r="T687" s="29">
        <f t="shared" si="100"/>
        <v>0</v>
      </c>
      <c r="U687" s="29">
        <f t="shared" si="101"/>
        <v>0</v>
      </c>
      <c r="V687" s="29">
        <f t="shared" si="102"/>
        <v>0</v>
      </c>
      <c r="W687" s="29" t="str">
        <f t="shared" si="108"/>
        <v/>
      </c>
      <c r="X687" s="29" t="str">
        <f t="shared" si="103"/>
        <v/>
      </c>
      <c r="Y687" s="32" t="str">
        <f t="shared" si="104"/>
        <v/>
      </c>
      <c r="Z687" s="29" t="str">
        <f t="shared" si="105"/>
        <v/>
      </c>
      <c r="AA687" s="29" t="str">
        <f t="shared" si="109"/>
        <v/>
      </c>
      <c r="AB687" s="29" t="str">
        <f t="shared" si="106"/>
        <v/>
      </c>
      <c r="AC687" t="str">
        <f t="shared" si="107"/>
        <v/>
      </c>
    </row>
    <row r="688" spans="20:29" x14ac:dyDescent="0.3">
      <c r="T688" s="29">
        <f t="shared" si="100"/>
        <v>0</v>
      </c>
      <c r="U688" s="29">
        <f t="shared" si="101"/>
        <v>0</v>
      </c>
      <c r="V688" s="29">
        <f t="shared" si="102"/>
        <v>0</v>
      </c>
      <c r="W688" s="29" t="str">
        <f t="shared" si="108"/>
        <v/>
      </c>
      <c r="X688" s="29" t="str">
        <f t="shared" si="103"/>
        <v/>
      </c>
      <c r="Y688" s="32" t="str">
        <f t="shared" si="104"/>
        <v/>
      </c>
      <c r="Z688" s="29" t="str">
        <f t="shared" si="105"/>
        <v/>
      </c>
      <c r="AA688" s="29" t="str">
        <f t="shared" si="109"/>
        <v/>
      </c>
      <c r="AB688" s="29" t="str">
        <f t="shared" si="106"/>
        <v/>
      </c>
      <c r="AC688" t="str">
        <f t="shared" si="107"/>
        <v/>
      </c>
    </row>
    <row r="689" spans="20:29" x14ac:dyDescent="0.3">
      <c r="T689" s="29">
        <f t="shared" si="100"/>
        <v>0</v>
      </c>
      <c r="U689" s="29">
        <f t="shared" si="101"/>
        <v>0</v>
      </c>
      <c r="V689" s="29">
        <f t="shared" si="102"/>
        <v>0</v>
      </c>
      <c r="W689" s="29" t="str">
        <f t="shared" si="108"/>
        <v/>
      </c>
      <c r="X689" s="29" t="str">
        <f t="shared" si="103"/>
        <v/>
      </c>
      <c r="Y689" s="32" t="str">
        <f t="shared" si="104"/>
        <v/>
      </c>
      <c r="Z689" s="29" t="str">
        <f t="shared" si="105"/>
        <v/>
      </c>
      <c r="AA689" s="29" t="str">
        <f t="shared" si="109"/>
        <v/>
      </c>
      <c r="AB689" s="29" t="str">
        <f t="shared" si="106"/>
        <v/>
      </c>
      <c r="AC689" t="str">
        <f t="shared" si="107"/>
        <v/>
      </c>
    </row>
    <row r="690" spans="20:29" x14ac:dyDescent="0.3">
      <c r="T690" s="29">
        <f t="shared" si="100"/>
        <v>0</v>
      </c>
      <c r="U690" s="29">
        <f t="shared" si="101"/>
        <v>0</v>
      </c>
      <c r="V690" s="29">
        <f t="shared" si="102"/>
        <v>0</v>
      </c>
      <c r="W690" s="29" t="str">
        <f t="shared" si="108"/>
        <v/>
      </c>
      <c r="X690" s="29" t="str">
        <f t="shared" si="103"/>
        <v/>
      </c>
      <c r="Y690" s="32" t="str">
        <f t="shared" si="104"/>
        <v/>
      </c>
      <c r="Z690" s="29" t="str">
        <f t="shared" si="105"/>
        <v/>
      </c>
      <c r="AA690" s="29" t="str">
        <f t="shared" si="109"/>
        <v/>
      </c>
      <c r="AB690" s="29" t="str">
        <f t="shared" si="106"/>
        <v/>
      </c>
      <c r="AC690" t="str">
        <f t="shared" si="107"/>
        <v/>
      </c>
    </row>
    <row r="691" spans="20:29" x14ac:dyDescent="0.3">
      <c r="T691" s="29">
        <f t="shared" si="100"/>
        <v>0</v>
      </c>
      <c r="U691" s="29">
        <f t="shared" si="101"/>
        <v>0</v>
      </c>
      <c r="V691" s="29">
        <f t="shared" si="102"/>
        <v>0</v>
      </c>
      <c r="W691" s="29" t="str">
        <f t="shared" si="108"/>
        <v/>
      </c>
      <c r="X691" s="29" t="str">
        <f t="shared" si="103"/>
        <v/>
      </c>
      <c r="Y691" s="32" t="str">
        <f t="shared" si="104"/>
        <v/>
      </c>
      <c r="Z691" s="29" t="str">
        <f t="shared" si="105"/>
        <v/>
      </c>
      <c r="AA691" s="29" t="str">
        <f t="shared" si="109"/>
        <v/>
      </c>
      <c r="AB691" s="29" t="str">
        <f t="shared" si="106"/>
        <v/>
      </c>
      <c r="AC691" t="str">
        <f t="shared" si="107"/>
        <v/>
      </c>
    </row>
    <row r="692" spans="20:29" x14ac:dyDescent="0.3">
      <c r="T692" s="29">
        <f t="shared" si="100"/>
        <v>0</v>
      </c>
      <c r="U692" s="29">
        <f t="shared" si="101"/>
        <v>0</v>
      </c>
      <c r="V692" s="29">
        <f t="shared" si="102"/>
        <v>0</v>
      </c>
      <c r="W692" s="29" t="str">
        <f t="shared" si="108"/>
        <v/>
      </c>
      <c r="X692" s="29" t="str">
        <f t="shared" si="103"/>
        <v/>
      </c>
      <c r="Y692" s="32" t="str">
        <f t="shared" si="104"/>
        <v/>
      </c>
      <c r="Z692" s="29" t="str">
        <f t="shared" si="105"/>
        <v/>
      </c>
      <c r="AA692" s="29" t="str">
        <f t="shared" si="109"/>
        <v/>
      </c>
      <c r="AB692" s="29" t="str">
        <f t="shared" si="106"/>
        <v/>
      </c>
      <c r="AC692" t="str">
        <f t="shared" si="107"/>
        <v/>
      </c>
    </row>
    <row r="693" spans="20:29" x14ac:dyDescent="0.3">
      <c r="T693" s="29">
        <f t="shared" si="100"/>
        <v>0</v>
      </c>
      <c r="U693" s="29">
        <f t="shared" si="101"/>
        <v>0</v>
      </c>
      <c r="V693" s="29">
        <f t="shared" si="102"/>
        <v>0</v>
      </c>
      <c r="W693" s="29" t="str">
        <f t="shared" si="108"/>
        <v/>
      </c>
      <c r="X693" s="29" t="str">
        <f t="shared" si="103"/>
        <v/>
      </c>
      <c r="Y693" s="32" t="str">
        <f t="shared" si="104"/>
        <v/>
      </c>
      <c r="Z693" s="29" t="str">
        <f t="shared" si="105"/>
        <v/>
      </c>
      <c r="AA693" s="29" t="str">
        <f t="shared" si="109"/>
        <v/>
      </c>
      <c r="AB693" s="29" t="str">
        <f t="shared" si="106"/>
        <v/>
      </c>
      <c r="AC693" t="str">
        <f t="shared" si="107"/>
        <v/>
      </c>
    </row>
    <row r="694" spans="20:29" x14ac:dyDescent="0.3">
      <c r="T694" s="29">
        <f t="shared" si="100"/>
        <v>0</v>
      </c>
      <c r="U694" s="29">
        <f t="shared" si="101"/>
        <v>0</v>
      </c>
      <c r="V694" s="29">
        <f t="shared" si="102"/>
        <v>0</v>
      </c>
      <c r="W694" s="29" t="str">
        <f t="shared" si="108"/>
        <v/>
      </c>
      <c r="X694" s="29" t="str">
        <f t="shared" si="103"/>
        <v/>
      </c>
      <c r="Y694" s="32" t="str">
        <f t="shared" si="104"/>
        <v/>
      </c>
      <c r="Z694" s="29" t="str">
        <f t="shared" si="105"/>
        <v/>
      </c>
      <c r="AA694" s="29" t="str">
        <f t="shared" si="109"/>
        <v/>
      </c>
      <c r="AB694" s="29" t="str">
        <f t="shared" si="106"/>
        <v/>
      </c>
      <c r="AC694" t="str">
        <f t="shared" si="107"/>
        <v/>
      </c>
    </row>
    <row r="695" spans="20:29" x14ac:dyDescent="0.3">
      <c r="T695" s="29">
        <f t="shared" si="100"/>
        <v>0</v>
      </c>
      <c r="U695" s="29">
        <f t="shared" si="101"/>
        <v>0</v>
      </c>
      <c r="V695" s="29">
        <f t="shared" si="102"/>
        <v>0</v>
      </c>
      <c r="W695" s="29" t="str">
        <f t="shared" si="108"/>
        <v/>
      </c>
      <c r="X695" s="29" t="str">
        <f t="shared" si="103"/>
        <v/>
      </c>
      <c r="Y695" s="32" t="str">
        <f t="shared" si="104"/>
        <v/>
      </c>
      <c r="Z695" s="29" t="str">
        <f t="shared" si="105"/>
        <v/>
      </c>
      <c r="AA695" s="29" t="str">
        <f t="shared" si="109"/>
        <v/>
      </c>
      <c r="AB695" s="29" t="str">
        <f t="shared" si="106"/>
        <v/>
      </c>
      <c r="AC695" t="str">
        <f t="shared" si="107"/>
        <v/>
      </c>
    </row>
    <row r="696" spans="20:29" x14ac:dyDescent="0.3">
      <c r="T696" s="29">
        <f t="shared" si="100"/>
        <v>0</v>
      </c>
      <c r="U696" s="29">
        <f t="shared" si="101"/>
        <v>0</v>
      </c>
      <c r="V696" s="29">
        <f t="shared" si="102"/>
        <v>0</v>
      </c>
      <c r="W696" s="29" t="str">
        <f t="shared" si="108"/>
        <v/>
      </c>
      <c r="X696" s="29" t="str">
        <f t="shared" si="103"/>
        <v/>
      </c>
      <c r="Y696" s="32" t="str">
        <f t="shared" si="104"/>
        <v/>
      </c>
      <c r="Z696" s="29" t="str">
        <f t="shared" si="105"/>
        <v/>
      </c>
      <c r="AA696" s="29" t="str">
        <f t="shared" si="109"/>
        <v/>
      </c>
      <c r="AB696" s="29" t="str">
        <f t="shared" si="106"/>
        <v/>
      </c>
      <c r="AC696" t="str">
        <f t="shared" si="107"/>
        <v/>
      </c>
    </row>
    <row r="697" spans="20:29" x14ac:dyDescent="0.3">
      <c r="T697" s="29">
        <f t="shared" si="100"/>
        <v>0</v>
      </c>
      <c r="U697" s="29">
        <f t="shared" si="101"/>
        <v>0</v>
      </c>
      <c r="V697" s="29">
        <f t="shared" si="102"/>
        <v>0</v>
      </c>
      <c r="W697" s="29" t="str">
        <f t="shared" si="108"/>
        <v/>
      </c>
      <c r="X697" s="29" t="str">
        <f t="shared" si="103"/>
        <v/>
      </c>
      <c r="Y697" s="32" t="str">
        <f t="shared" si="104"/>
        <v/>
      </c>
      <c r="Z697" s="29" t="str">
        <f t="shared" si="105"/>
        <v/>
      </c>
      <c r="AA697" s="29" t="str">
        <f t="shared" si="109"/>
        <v/>
      </c>
      <c r="AB697" s="29" t="str">
        <f t="shared" si="106"/>
        <v/>
      </c>
      <c r="AC697" t="str">
        <f t="shared" si="107"/>
        <v/>
      </c>
    </row>
    <row r="698" spans="20:29" x14ac:dyDescent="0.3">
      <c r="T698" s="29">
        <f t="shared" si="100"/>
        <v>0</v>
      </c>
      <c r="U698" s="29">
        <f t="shared" si="101"/>
        <v>0</v>
      </c>
      <c r="V698" s="29">
        <f t="shared" si="102"/>
        <v>0</v>
      </c>
      <c r="W698" s="29" t="str">
        <f t="shared" si="108"/>
        <v/>
      </c>
      <c r="X698" s="29" t="str">
        <f t="shared" si="103"/>
        <v/>
      </c>
      <c r="Y698" s="32" t="str">
        <f t="shared" si="104"/>
        <v/>
      </c>
      <c r="Z698" s="29" t="str">
        <f t="shared" si="105"/>
        <v/>
      </c>
      <c r="AA698" s="29" t="str">
        <f t="shared" si="109"/>
        <v/>
      </c>
      <c r="AB698" s="29" t="str">
        <f t="shared" si="106"/>
        <v/>
      </c>
      <c r="AC698" t="str">
        <f t="shared" si="107"/>
        <v/>
      </c>
    </row>
    <row r="699" spans="20:29" x14ac:dyDescent="0.3">
      <c r="T699" s="29">
        <f t="shared" si="100"/>
        <v>0</v>
      </c>
      <c r="U699" s="29">
        <f t="shared" si="101"/>
        <v>0</v>
      </c>
      <c r="V699" s="29">
        <f t="shared" si="102"/>
        <v>0</v>
      </c>
      <c r="W699" s="29" t="str">
        <f t="shared" si="108"/>
        <v/>
      </c>
      <c r="X699" s="29" t="str">
        <f t="shared" si="103"/>
        <v/>
      </c>
      <c r="Y699" s="32" t="str">
        <f t="shared" si="104"/>
        <v/>
      </c>
      <c r="Z699" s="29" t="str">
        <f t="shared" si="105"/>
        <v/>
      </c>
      <c r="AA699" s="29" t="str">
        <f t="shared" si="109"/>
        <v/>
      </c>
      <c r="AB699" s="29" t="str">
        <f t="shared" si="106"/>
        <v/>
      </c>
      <c r="AC699" t="str">
        <f t="shared" si="107"/>
        <v/>
      </c>
    </row>
    <row r="700" spans="20:29" x14ac:dyDescent="0.3">
      <c r="T700" s="29">
        <f t="shared" si="100"/>
        <v>0</v>
      </c>
      <c r="U700" s="29">
        <f t="shared" si="101"/>
        <v>0</v>
      </c>
      <c r="V700" s="29">
        <f t="shared" si="102"/>
        <v>0</v>
      </c>
      <c r="W700" s="29" t="str">
        <f t="shared" si="108"/>
        <v/>
      </c>
      <c r="X700" s="29" t="str">
        <f t="shared" si="103"/>
        <v/>
      </c>
      <c r="Y700" s="32" t="str">
        <f t="shared" si="104"/>
        <v/>
      </c>
      <c r="Z700" s="29" t="str">
        <f t="shared" si="105"/>
        <v/>
      </c>
      <c r="AA700" s="29" t="str">
        <f t="shared" si="109"/>
        <v/>
      </c>
      <c r="AB700" s="29" t="str">
        <f t="shared" si="106"/>
        <v/>
      </c>
      <c r="AC700" t="str">
        <f t="shared" si="107"/>
        <v/>
      </c>
    </row>
    <row r="701" spans="20:29" x14ac:dyDescent="0.3">
      <c r="T701" s="29">
        <f t="shared" si="100"/>
        <v>0</v>
      </c>
      <c r="U701" s="29">
        <f t="shared" si="101"/>
        <v>0</v>
      </c>
      <c r="V701" s="29">
        <f t="shared" si="102"/>
        <v>0</v>
      </c>
      <c r="W701" s="29" t="str">
        <f t="shared" si="108"/>
        <v/>
      </c>
      <c r="X701" s="29" t="str">
        <f t="shared" si="103"/>
        <v/>
      </c>
      <c r="Y701" s="32" t="str">
        <f t="shared" si="104"/>
        <v/>
      </c>
      <c r="Z701" s="29" t="str">
        <f t="shared" si="105"/>
        <v/>
      </c>
      <c r="AA701" s="29" t="str">
        <f t="shared" si="109"/>
        <v/>
      </c>
      <c r="AB701" s="29" t="str">
        <f t="shared" si="106"/>
        <v/>
      </c>
      <c r="AC701" t="str">
        <f t="shared" si="107"/>
        <v/>
      </c>
    </row>
    <row r="702" spans="20:29" x14ac:dyDescent="0.3">
      <c r="T702" s="29">
        <f t="shared" si="100"/>
        <v>0</v>
      </c>
      <c r="U702" s="29">
        <f t="shared" si="101"/>
        <v>0</v>
      </c>
      <c r="V702" s="29">
        <f t="shared" si="102"/>
        <v>0</v>
      </c>
      <c r="W702" s="29" t="str">
        <f t="shared" si="108"/>
        <v/>
      </c>
      <c r="X702" s="29" t="str">
        <f t="shared" si="103"/>
        <v/>
      </c>
      <c r="Y702" s="32" t="str">
        <f t="shared" si="104"/>
        <v/>
      </c>
      <c r="Z702" s="29" t="str">
        <f t="shared" si="105"/>
        <v/>
      </c>
      <c r="AA702" s="29" t="str">
        <f t="shared" si="109"/>
        <v/>
      </c>
      <c r="AB702" s="29" t="str">
        <f t="shared" si="106"/>
        <v/>
      </c>
      <c r="AC702" t="str">
        <f t="shared" si="107"/>
        <v/>
      </c>
    </row>
    <row r="703" spans="20:29" x14ac:dyDescent="0.3">
      <c r="T703" s="29">
        <f t="shared" si="100"/>
        <v>0</v>
      </c>
      <c r="U703" s="29">
        <f t="shared" si="101"/>
        <v>0</v>
      </c>
      <c r="V703" s="29">
        <f t="shared" si="102"/>
        <v>0</v>
      </c>
      <c r="W703" s="29" t="str">
        <f t="shared" si="108"/>
        <v/>
      </c>
      <c r="X703" s="29" t="str">
        <f t="shared" si="103"/>
        <v/>
      </c>
      <c r="Y703" s="32" t="str">
        <f t="shared" si="104"/>
        <v/>
      </c>
      <c r="Z703" s="29" t="str">
        <f t="shared" si="105"/>
        <v/>
      </c>
      <c r="AA703" s="29" t="str">
        <f t="shared" si="109"/>
        <v/>
      </c>
      <c r="AB703" s="29" t="str">
        <f t="shared" si="106"/>
        <v/>
      </c>
      <c r="AC703" t="str">
        <f t="shared" si="107"/>
        <v/>
      </c>
    </row>
    <row r="704" spans="20:29" x14ac:dyDescent="0.3">
      <c r="T704" s="29">
        <f t="shared" si="100"/>
        <v>0</v>
      </c>
      <c r="U704" s="29">
        <f t="shared" si="101"/>
        <v>0</v>
      </c>
      <c r="V704" s="29">
        <f t="shared" si="102"/>
        <v>0</v>
      </c>
      <c r="W704" s="29" t="str">
        <f t="shared" si="108"/>
        <v/>
      </c>
      <c r="X704" s="29" t="str">
        <f t="shared" si="103"/>
        <v/>
      </c>
      <c r="Y704" s="32" t="str">
        <f t="shared" si="104"/>
        <v/>
      </c>
      <c r="Z704" s="29" t="str">
        <f t="shared" si="105"/>
        <v/>
      </c>
      <c r="AA704" s="29" t="str">
        <f t="shared" si="109"/>
        <v/>
      </c>
      <c r="AB704" s="29" t="str">
        <f t="shared" si="106"/>
        <v/>
      </c>
      <c r="AC704" t="str">
        <f t="shared" si="107"/>
        <v/>
      </c>
    </row>
    <row r="705" spans="20:29" x14ac:dyDescent="0.3">
      <c r="T705" s="29">
        <f t="shared" si="100"/>
        <v>0</v>
      </c>
      <c r="U705" s="29">
        <f t="shared" si="101"/>
        <v>0</v>
      </c>
      <c r="V705" s="29">
        <f t="shared" si="102"/>
        <v>0</v>
      </c>
      <c r="W705" s="29" t="str">
        <f t="shared" si="108"/>
        <v/>
      </c>
      <c r="X705" s="29" t="str">
        <f t="shared" si="103"/>
        <v/>
      </c>
      <c r="Y705" s="32" t="str">
        <f t="shared" si="104"/>
        <v/>
      </c>
      <c r="Z705" s="29" t="str">
        <f t="shared" si="105"/>
        <v/>
      </c>
      <c r="AA705" s="29" t="str">
        <f t="shared" si="109"/>
        <v/>
      </c>
      <c r="AB705" s="29" t="str">
        <f t="shared" si="106"/>
        <v/>
      </c>
      <c r="AC705" t="str">
        <f t="shared" si="107"/>
        <v/>
      </c>
    </row>
    <row r="706" spans="20:29" x14ac:dyDescent="0.3">
      <c r="T706" s="29">
        <f t="shared" si="100"/>
        <v>0</v>
      </c>
      <c r="U706" s="29">
        <f t="shared" si="101"/>
        <v>0</v>
      </c>
      <c r="V706" s="29">
        <f t="shared" si="102"/>
        <v>0</v>
      </c>
      <c r="W706" s="29" t="str">
        <f t="shared" si="108"/>
        <v/>
      </c>
      <c r="X706" s="29" t="str">
        <f t="shared" si="103"/>
        <v/>
      </c>
      <c r="Y706" s="32" t="str">
        <f t="shared" si="104"/>
        <v/>
      </c>
      <c r="Z706" s="29" t="str">
        <f t="shared" si="105"/>
        <v/>
      </c>
      <c r="AA706" s="29" t="str">
        <f t="shared" si="109"/>
        <v/>
      </c>
      <c r="AB706" s="29" t="str">
        <f t="shared" si="106"/>
        <v/>
      </c>
      <c r="AC706" t="str">
        <f t="shared" si="107"/>
        <v/>
      </c>
    </row>
    <row r="707" spans="20:29" x14ac:dyDescent="0.3">
      <c r="T707" s="29">
        <f t="shared" ref="T707:T770" si="110">+O707/1.08</f>
        <v>0</v>
      </c>
      <c r="U707" s="29">
        <f t="shared" ref="U707:U770" si="111">+T707*N707</f>
        <v>0</v>
      </c>
      <c r="V707" s="29">
        <f t="shared" ref="V707:V770" si="112">+SUMIF(B:B,B707,U:U)</f>
        <v>0</v>
      </c>
      <c r="W707" s="29" t="str">
        <f t="shared" si="108"/>
        <v/>
      </c>
      <c r="X707" s="29" t="str">
        <f t="shared" ref="X707:X770" si="113">+IF(W707&lt;&gt;0,W707,"")</f>
        <v/>
      </c>
      <c r="Y707" s="32" t="str">
        <f t="shared" ref="Y707:Y770" si="114">+IF(X707&lt;&gt;"",8,"")</f>
        <v/>
      </c>
      <c r="Z707" s="29" t="str">
        <f t="shared" ref="Z707:Z770" si="115">+IF(X707&lt;&gt;"","VND","")</f>
        <v/>
      </c>
      <c r="AA707" s="29" t="str">
        <f t="shared" si="109"/>
        <v/>
      </c>
      <c r="AB707" s="29" t="str">
        <f t="shared" ref="AB707:AB770" si="116">+IF(AA707&lt;&gt;0,AA707,"")</f>
        <v/>
      </c>
      <c r="AC707" t="str">
        <f t="shared" ref="AC707:AC770" si="117">+IF(X707&lt;&gt;"","TM/CK","")</f>
        <v/>
      </c>
    </row>
    <row r="708" spans="20:29" x14ac:dyDescent="0.3">
      <c r="T708" s="29">
        <f t="shared" si="110"/>
        <v>0</v>
      </c>
      <c r="U708" s="29">
        <f t="shared" si="111"/>
        <v>0</v>
      </c>
      <c r="V708" s="29">
        <f t="shared" si="112"/>
        <v>0</v>
      </c>
      <c r="W708" s="29" t="str">
        <f t="shared" ref="W708:W771" si="118">+IF(V708=V707,"",V708)</f>
        <v/>
      </c>
      <c r="X708" s="29" t="str">
        <f t="shared" si="113"/>
        <v/>
      </c>
      <c r="Y708" s="32" t="str">
        <f t="shared" si="114"/>
        <v/>
      </c>
      <c r="Z708" s="29" t="str">
        <f t="shared" si="115"/>
        <v/>
      </c>
      <c r="AA708" s="29" t="str">
        <f t="shared" ref="AA708:AA771" si="119">+IF(B708=B707,"",E708)</f>
        <v/>
      </c>
      <c r="AB708" s="29" t="str">
        <f t="shared" si="116"/>
        <v/>
      </c>
      <c r="AC708" t="str">
        <f t="shared" si="117"/>
        <v/>
      </c>
    </row>
    <row r="709" spans="20:29" x14ac:dyDescent="0.3">
      <c r="T709" s="29">
        <f t="shared" si="110"/>
        <v>0</v>
      </c>
      <c r="U709" s="29">
        <f t="shared" si="111"/>
        <v>0</v>
      </c>
      <c r="V709" s="29">
        <f t="shared" si="112"/>
        <v>0</v>
      </c>
      <c r="W709" s="29" t="str">
        <f t="shared" si="118"/>
        <v/>
      </c>
      <c r="X709" s="29" t="str">
        <f t="shared" si="113"/>
        <v/>
      </c>
      <c r="Y709" s="32" t="str">
        <f t="shared" si="114"/>
        <v/>
      </c>
      <c r="Z709" s="29" t="str">
        <f t="shared" si="115"/>
        <v/>
      </c>
      <c r="AA709" s="29" t="str">
        <f t="shared" si="119"/>
        <v/>
      </c>
      <c r="AB709" s="29" t="str">
        <f t="shared" si="116"/>
        <v/>
      </c>
      <c r="AC709" t="str">
        <f t="shared" si="117"/>
        <v/>
      </c>
    </row>
    <row r="710" spans="20:29" x14ac:dyDescent="0.3">
      <c r="T710" s="29">
        <f t="shared" si="110"/>
        <v>0</v>
      </c>
      <c r="U710" s="29">
        <f t="shared" si="111"/>
        <v>0</v>
      </c>
      <c r="V710" s="29">
        <f t="shared" si="112"/>
        <v>0</v>
      </c>
      <c r="W710" s="29" t="str">
        <f t="shared" si="118"/>
        <v/>
      </c>
      <c r="X710" s="29" t="str">
        <f t="shared" si="113"/>
        <v/>
      </c>
      <c r="Y710" s="32" t="str">
        <f t="shared" si="114"/>
        <v/>
      </c>
      <c r="Z710" s="29" t="str">
        <f t="shared" si="115"/>
        <v/>
      </c>
      <c r="AA710" s="29" t="str">
        <f t="shared" si="119"/>
        <v/>
      </c>
      <c r="AB710" s="29" t="str">
        <f t="shared" si="116"/>
        <v/>
      </c>
      <c r="AC710" t="str">
        <f t="shared" si="117"/>
        <v/>
      </c>
    </row>
    <row r="711" spans="20:29" x14ac:dyDescent="0.3">
      <c r="T711" s="29">
        <f t="shared" si="110"/>
        <v>0</v>
      </c>
      <c r="U711" s="29">
        <f t="shared" si="111"/>
        <v>0</v>
      </c>
      <c r="V711" s="29">
        <f t="shared" si="112"/>
        <v>0</v>
      </c>
      <c r="W711" s="29" t="str">
        <f t="shared" si="118"/>
        <v/>
      </c>
      <c r="X711" s="29" t="str">
        <f t="shared" si="113"/>
        <v/>
      </c>
      <c r="Y711" s="32" t="str">
        <f t="shared" si="114"/>
        <v/>
      </c>
      <c r="Z711" s="29" t="str">
        <f t="shared" si="115"/>
        <v/>
      </c>
      <c r="AA711" s="29" t="str">
        <f t="shared" si="119"/>
        <v/>
      </c>
      <c r="AB711" s="29" t="str">
        <f t="shared" si="116"/>
        <v/>
      </c>
      <c r="AC711" t="str">
        <f t="shared" si="117"/>
        <v/>
      </c>
    </row>
    <row r="712" spans="20:29" x14ac:dyDescent="0.3">
      <c r="T712" s="29">
        <f t="shared" si="110"/>
        <v>0</v>
      </c>
      <c r="U712" s="29">
        <f t="shared" si="111"/>
        <v>0</v>
      </c>
      <c r="V712" s="29">
        <f t="shared" si="112"/>
        <v>0</v>
      </c>
      <c r="W712" s="29" t="str">
        <f t="shared" si="118"/>
        <v/>
      </c>
      <c r="X712" s="29" t="str">
        <f t="shared" si="113"/>
        <v/>
      </c>
      <c r="Y712" s="32" t="str">
        <f t="shared" si="114"/>
        <v/>
      </c>
      <c r="Z712" s="29" t="str">
        <f t="shared" si="115"/>
        <v/>
      </c>
      <c r="AA712" s="29" t="str">
        <f t="shared" si="119"/>
        <v/>
      </c>
      <c r="AB712" s="29" t="str">
        <f t="shared" si="116"/>
        <v/>
      </c>
      <c r="AC712" t="str">
        <f t="shared" si="117"/>
        <v/>
      </c>
    </row>
    <row r="713" spans="20:29" x14ac:dyDescent="0.3">
      <c r="T713" s="29">
        <f t="shared" si="110"/>
        <v>0</v>
      </c>
      <c r="U713" s="29">
        <f t="shared" si="111"/>
        <v>0</v>
      </c>
      <c r="V713" s="29">
        <f t="shared" si="112"/>
        <v>0</v>
      </c>
      <c r="W713" s="29" t="str">
        <f t="shared" si="118"/>
        <v/>
      </c>
      <c r="X713" s="29" t="str">
        <f t="shared" si="113"/>
        <v/>
      </c>
      <c r="Y713" s="32" t="str">
        <f t="shared" si="114"/>
        <v/>
      </c>
      <c r="Z713" s="29" t="str">
        <f t="shared" si="115"/>
        <v/>
      </c>
      <c r="AA713" s="29" t="str">
        <f t="shared" si="119"/>
        <v/>
      </c>
      <c r="AB713" s="29" t="str">
        <f t="shared" si="116"/>
        <v/>
      </c>
      <c r="AC713" t="str">
        <f t="shared" si="117"/>
        <v/>
      </c>
    </row>
    <row r="714" spans="20:29" x14ac:dyDescent="0.3">
      <c r="T714" s="29">
        <f t="shared" si="110"/>
        <v>0</v>
      </c>
      <c r="U714" s="29">
        <f t="shared" si="111"/>
        <v>0</v>
      </c>
      <c r="V714" s="29">
        <f t="shared" si="112"/>
        <v>0</v>
      </c>
      <c r="W714" s="29" t="str">
        <f t="shared" si="118"/>
        <v/>
      </c>
      <c r="X714" s="29" t="str">
        <f t="shared" si="113"/>
        <v/>
      </c>
      <c r="Y714" s="32" t="str">
        <f t="shared" si="114"/>
        <v/>
      </c>
      <c r="Z714" s="29" t="str">
        <f t="shared" si="115"/>
        <v/>
      </c>
      <c r="AA714" s="29" t="str">
        <f t="shared" si="119"/>
        <v/>
      </c>
      <c r="AB714" s="29" t="str">
        <f t="shared" si="116"/>
        <v/>
      </c>
      <c r="AC714" t="str">
        <f t="shared" si="117"/>
        <v/>
      </c>
    </row>
    <row r="715" spans="20:29" x14ac:dyDescent="0.3">
      <c r="T715" s="29">
        <f t="shared" si="110"/>
        <v>0</v>
      </c>
      <c r="U715" s="29">
        <f t="shared" si="111"/>
        <v>0</v>
      </c>
      <c r="V715" s="29">
        <f t="shared" si="112"/>
        <v>0</v>
      </c>
      <c r="W715" s="29" t="str">
        <f t="shared" si="118"/>
        <v/>
      </c>
      <c r="X715" s="29" t="str">
        <f t="shared" si="113"/>
        <v/>
      </c>
      <c r="Y715" s="32" t="str">
        <f t="shared" si="114"/>
        <v/>
      </c>
      <c r="Z715" s="29" t="str">
        <f t="shared" si="115"/>
        <v/>
      </c>
      <c r="AA715" s="29" t="str">
        <f t="shared" si="119"/>
        <v/>
      </c>
      <c r="AB715" s="29" t="str">
        <f t="shared" si="116"/>
        <v/>
      </c>
      <c r="AC715" t="str">
        <f t="shared" si="117"/>
        <v/>
      </c>
    </row>
    <row r="716" spans="20:29" x14ac:dyDescent="0.3">
      <c r="T716" s="29">
        <f t="shared" si="110"/>
        <v>0</v>
      </c>
      <c r="U716" s="29">
        <f t="shared" si="111"/>
        <v>0</v>
      </c>
      <c r="V716" s="29">
        <f t="shared" si="112"/>
        <v>0</v>
      </c>
      <c r="W716" s="29" t="str">
        <f t="shared" si="118"/>
        <v/>
      </c>
      <c r="X716" s="29" t="str">
        <f t="shared" si="113"/>
        <v/>
      </c>
      <c r="Y716" s="32" t="str">
        <f t="shared" si="114"/>
        <v/>
      </c>
      <c r="Z716" s="29" t="str">
        <f t="shared" si="115"/>
        <v/>
      </c>
      <c r="AA716" s="29" t="str">
        <f t="shared" si="119"/>
        <v/>
      </c>
      <c r="AB716" s="29" t="str">
        <f t="shared" si="116"/>
        <v/>
      </c>
      <c r="AC716" t="str">
        <f t="shared" si="117"/>
        <v/>
      </c>
    </row>
    <row r="717" spans="20:29" x14ac:dyDescent="0.3">
      <c r="T717" s="29">
        <f t="shared" si="110"/>
        <v>0</v>
      </c>
      <c r="U717" s="29">
        <f t="shared" si="111"/>
        <v>0</v>
      </c>
      <c r="V717" s="29">
        <f t="shared" si="112"/>
        <v>0</v>
      </c>
      <c r="W717" s="29" t="str">
        <f t="shared" si="118"/>
        <v/>
      </c>
      <c r="X717" s="29" t="str">
        <f t="shared" si="113"/>
        <v/>
      </c>
      <c r="Y717" s="32" t="str">
        <f t="shared" si="114"/>
        <v/>
      </c>
      <c r="Z717" s="29" t="str">
        <f t="shared" si="115"/>
        <v/>
      </c>
      <c r="AA717" s="29" t="str">
        <f t="shared" si="119"/>
        <v/>
      </c>
      <c r="AB717" s="29" t="str">
        <f t="shared" si="116"/>
        <v/>
      </c>
      <c r="AC717" t="str">
        <f t="shared" si="117"/>
        <v/>
      </c>
    </row>
    <row r="718" spans="20:29" x14ac:dyDescent="0.3">
      <c r="T718" s="29">
        <f t="shared" si="110"/>
        <v>0</v>
      </c>
      <c r="U718" s="29">
        <f t="shared" si="111"/>
        <v>0</v>
      </c>
      <c r="V718" s="29">
        <f t="shared" si="112"/>
        <v>0</v>
      </c>
      <c r="W718" s="29" t="str">
        <f t="shared" si="118"/>
        <v/>
      </c>
      <c r="X718" s="29" t="str">
        <f t="shared" si="113"/>
        <v/>
      </c>
      <c r="Y718" s="32" t="str">
        <f t="shared" si="114"/>
        <v/>
      </c>
      <c r="Z718" s="29" t="str">
        <f t="shared" si="115"/>
        <v/>
      </c>
      <c r="AA718" s="29" t="str">
        <f t="shared" si="119"/>
        <v/>
      </c>
      <c r="AB718" s="29" t="str">
        <f t="shared" si="116"/>
        <v/>
      </c>
      <c r="AC718" t="str">
        <f t="shared" si="117"/>
        <v/>
      </c>
    </row>
    <row r="719" spans="20:29" x14ac:dyDescent="0.3">
      <c r="T719" s="29">
        <f t="shared" si="110"/>
        <v>0</v>
      </c>
      <c r="U719" s="29">
        <f t="shared" si="111"/>
        <v>0</v>
      </c>
      <c r="V719" s="29">
        <f t="shared" si="112"/>
        <v>0</v>
      </c>
      <c r="W719" s="29" t="str">
        <f t="shared" si="118"/>
        <v/>
      </c>
      <c r="X719" s="29" t="str">
        <f t="shared" si="113"/>
        <v/>
      </c>
      <c r="Y719" s="32" t="str">
        <f t="shared" si="114"/>
        <v/>
      </c>
      <c r="Z719" s="29" t="str">
        <f t="shared" si="115"/>
        <v/>
      </c>
      <c r="AA719" s="29" t="str">
        <f t="shared" si="119"/>
        <v/>
      </c>
      <c r="AB719" s="29" t="str">
        <f t="shared" si="116"/>
        <v/>
      </c>
      <c r="AC719" t="str">
        <f t="shared" si="117"/>
        <v/>
      </c>
    </row>
    <row r="720" spans="20:29" x14ac:dyDescent="0.3">
      <c r="T720" s="29">
        <f t="shared" si="110"/>
        <v>0</v>
      </c>
      <c r="U720" s="29">
        <f t="shared" si="111"/>
        <v>0</v>
      </c>
      <c r="V720" s="29">
        <f t="shared" si="112"/>
        <v>0</v>
      </c>
      <c r="W720" s="29" t="str">
        <f t="shared" si="118"/>
        <v/>
      </c>
      <c r="X720" s="29" t="str">
        <f t="shared" si="113"/>
        <v/>
      </c>
      <c r="Y720" s="32" t="str">
        <f t="shared" si="114"/>
        <v/>
      </c>
      <c r="Z720" s="29" t="str">
        <f t="shared" si="115"/>
        <v/>
      </c>
      <c r="AA720" s="29" t="str">
        <f t="shared" si="119"/>
        <v/>
      </c>
      <c r="AB720" s="29" t="str">
        <f t="shared" si="116"/>
        <v/>
      </c>
      <c r="AC720" t="str">
        <f t="shared" si="117"/>
        <v/>
      </c>
    </row>
    <row r="721" spans="20:29" x14ac:dyDescent="0.3">
      <c r="T721" s="29">
        <f t="shared" si="110"/>
        <v>0</v>
      </c>
      <c r="U721" s="29">
        <f t="shared" si="111"/>
        <v>0</v>
      </c>
      <c r="V721" s="29">
        <f t="shared" si="112"/>
        <v>0</v>
      </c>
      <c r="W721" s="29" t="str">
        <f t="shared" si="118"/>
        <v/>
      </c>
      <c r="X721" s="29" t="str">
        <f t="shared" si="113"/>
        <v/>
      </c>
      <c r="Y721" s="32" t="str">
        <f t="shared" si="114"/>
        <v/>
      </c>
      <c r="Z721" s="29" t="str">
        <f t="shared" si="115"/>
        <v/>
      </c>
      <c r="AA721" s="29" t="str">
        <f t="shared" si="119"/>
        <v/>
      </c>
      <c r="AB721" s="29" t="str">
        <f t="shared" si="116"/>
        <v/>
      </c>
      <c r="AC721" t="str">
        <f t="shared" si="117"/>
        <v/>
      </c>
    </row>
    <row r="722" spans="20:29" x14ac:dyDescent="0.3">
      <c r="T722" s="29">
        <f t="shared" si="110"/>
        <v>0</v>
      </c>
      <c r="U722" s="29">
        <f t="shared" si="111"/>
        <v>0</v>
      </c>
      <c r="V722" s="29">
        <f t="shared" si="112"/>
        <v>0</v>
      </c>
      <c r="W722" s="29" t="str">
        <f t="shared" si="118"/>
        <v/>
      </c>
      <c r="X722" s="29" t="str">
        <f t="shared" si="113"/>
        <v/>
      </c>
      <c r="Y722" s="32" t="str">
        <f t="shared" si="114"/>
        <v/>
      </c>
      <c r="Z722" s="29" t="str">
        <f t="shared" si="115"/>
        <v/>
      </c>
      <c r="AA722" s="29" t="str">
        <f t="shared" si="119"/>
        <v/>
      </c>
      <c r="AB722" s="29" t="str">
        <f t="shared" si="116"/>
        <v/>
      </c>
      <c r="AC722" t="str">
        <f t="shared" si="117"/>
        <v/>
      </c>
    </row>
    <row r="723" spans="20:29" x14ac:dyDescent="0.3">
      <c r="T723" s="29">
        <f t="shared" si="110"/>
        <v>0</v>
      </c>
      <c r="U723" s="29">
        <f t="shared" si="111"/>
        <v>0</v>
      </c>
      <c r="V723" s="29">
        <f t="shared" si="112"/>
        <v>0</v>
      </c>
      <c r="W723" s="29" t="str">
        <f t="shared" si="118"/>
        <v/>
      </c>
      <c r="X723" s="29" t="str">
        <f t="shared" si="113"/>
        <v/>
      </c>
      <c r="Y723" s="32" t="str">
        <f t="shared" si="114"/>
        <v/>
      </c>
      <c r="Z723" s="29" t="str">
        <f t="shared" si="115"/>
        <v/>
      </c>
      <c r="AA723" s="29" t="str">
        <f t="shared" si="119"/>
        <v/>
      </c>
      <c r="AB723" s="29" t="str">
        <f t="shared" si="116"/>
        <v/>
      </c>
      <c r="AC723" t="str">
        <f t="shared" si="117"/>
        <v/>
      </c>
    </row>
    <row r="724" spans="20:29" x14ac:dyDescent="0.3">
      <c r="T724" s="29">
        <f t="shared" si="110"/>
        <v>0</v>
      </c>
      <c r="U724" s="29">
        <f t="shared" si="111"/>
        <v>0</v>
      </c>
      <c r="V724" s="29">
        <f t="shared" si="112"/>
        <v>0</v>
      </c>
      <c r="W724" s="29" t="str">
        <f t="shared" si="118"/>
        <v/>
      </c>
      <c r="X724" s="29" t="str">
        <f t="shared" si="113"/>
        <v/>
      </c>
      <c r="Y724" s="32" t="str">
        <f t="shared" si="114"/>
        <v/>
      </c>
      <c r="Z724" s="29" t="str">
        <f t="shared" si="115"/>
        <v/>
      </c>
      <c r="AA724" s="29" t="str">
        <f t="shared" si="119"/>
        <v/>
      </c>
      <c r="AB724" s="29" t="str">
        <f t="shared" si="116"/>
        <v/>
      </c>
      <c r="AC724" t="str">
        <f t="shared" si="117"/>
        <v/>
      </c>
    </row>
    <row r="725" spans="20:29" x14ac:dyDescent="0.3">
      <c r="T725" s="29">
        <f t="shared" si="110"/>
        <v>0</v>
      </c>
      <c r="U725" s="29">
        <f t="shared" si="111"/>
        <v>0</v>
      </c>
      <c r="V725" s="29">
        <f t="shared" si="112"/>
        <v>0</v>
      </c>
      <c r="W725" s="29" t="str">
        <f t="shared" si="118"/>
        <v/>
      </c>
      <c r="X725" s="29" t="str">
        <f t="shared" si="113"/>
        <v/>
      </c>
      <c r="Y725" s="32" t="str">
        <f t="shared" si="114"/>
        <v/>
      </c>
      <c r="Z725" s="29" t="str">
        <f t="shared" si="115"/>
        <v/>
      </c>
      <c r="AA725" s="29" t="str">
        <f t="shared" si="119"/>
        <v/>
      </c>
      <c r="AB725" s="29" t="str">
        <f t="shared" si="116"/>
        <v/>
      </c>
      <c r="AC725" t="str">
        <f t="shared" si="117"/>
        <v/>
      </c>
    </row>
    <row r="726" spans="20:29" x14ac:dyDescent="0.3">
      <c r="T726" s="29">
        <f t="shared" si="110"/>
        <v>0</v>
      </c>
      <c r="U726" s="29">
        <f t="shared" si="111"/>
        <v>0</v>
      </c>
      <c r="V726" s="29">
        <f t="shared" si="112"/>
        <v>0</v>
      </c>
      <c r="W726" s="29" t="str">
        <f t="shared" si="118"/>
        <v/>
      </c>
      <c r="X726" s="29" t="str">
        <f t="shared" si="113"/>
        <v/>
      </c>
      <c r="Y726" s="32" t="str">
        <f t="shared" si="114"/>
        <v/>
      </c>
      <c r="Z726" s="29" t="str">
        <f t="shared" si="115"/>
        <v/>
      </c>
      <c r="AA726" s="29" t="str">
        <f t="shared" si="119"/>
        <v/>
      </c>
      <c r="AB726" s="29" t="str">
        <f t="shared" si="116"/>
        <v/>
      </c>
      <c r="AC726" t="str">
        <f t="shared" si="117"/>
        <v/>
      </c>
    </row>
    <row r="727" spans="20:29" x14ac:dyDescent="0.3">
      <c r="T727" s="29">
        <f t="shared" si="110"/>
        <v>0</v>
      </c>
      <c r="U727" s="29">
        <f t="shared" si="111"/>
        <v>0</v>
      </c>
      <c r="V727" s="29">
        <f t="shared" si="112"/>
        <v>0</v>
      </c>
      <c r="W727" s="29" t="str">
        <f t="shared" si="118"/>
        <v/>
      </c>
      <c r="X727" s="29" t="str">
        <f t="shared" si="113"/>
        <v/>
      </c>
      <c r="Y727" s="32" t="str">
        <f t="shared" si="114"/>
        <v/>
      </c>
      <c r="Z727" s="29" t="str">
        <f t="shared" si="115"/>
        <v/>
      </c>
      <c r="AA727" s="29" t="str">
        <f t="shared" si="119"/>
        <v/>
      </c>
      <c r="AB727" s="29" t="str">
        <f t="shared" si="116"/>
        <v/>
      </c>
      <c r="AC727" t="str">
        <f t="shared" si="117"/>
        <v/>
      </c>
    </row>
    <row r="728" spans="20:29" x14ac:dyDescent="0.3">
      <c r="T728" s="29">
        <f t="shared" si="110"/>
        <v>0</v>
      </c>
      <c r="U728" s="29">
        <f t="shared" si="111"/>
        <v>0</v>
      </c>
      <c r="V728" s="29">
        <f t="shared" si="112"/>
        <v>0</v>
      </c>
      <c r="W728" s="29" t="str">
        <f t="shared" si="118"/>
        <v/>
      </c>
      <c r="X728" s="29" t="str">
        <f t="shared" si="113"/>
        <v/>
      </c>
      <c r="Y728" s="32" t="str">
        <f t="shared" si="114"/>
        <v/>
      </c>
      <c r="Z728" s="29" t="str">
        <f t="shared" si="115"/>
        <v/>
      </c>
      <c r="AA728" s="29" t="str">
        <f t="shared" si="119"/>
        <v/>
      </c>
      <c r="AB728" s="29" t="str">
        <f t="shared" si="116"/>
        <v/>
      </c>
      <c r="AC728" t="str">
        <f t="shared" si="117"/>
        <v/>
      </c>
    </row>
    <row r="729" spans="20:29" x14ac:dyDescent="0.3">
      <c r="T729" s="29">
        <f t="shared" si="110"/>
        <v>0</v>
      </c>
      <c r="U729" s="29">
        <f t="shared" si="111"/>
        <v>0</v>
      </c>
      <c r="V729" s="29">
        <f t="shared" si="112"/>
        <v>0</v>
      </c>
      <c r="W729" s="29" t="str">
        <f t="shared" si="118"/>
        <v/>
      </c>
      <c r="X729" s="29" t="str">
        <f t="shared" si="113"/>
        <v/>
      </c>
      <c r="Y729" s="32" t="str">
        <f t="shared" si="114"/>
        <v/>
      </c>
      <c r="Z729" s="29" t="str">
        <f t="shared" si="115"/>
        <v/>
      </c>
      <c r="AA729" s="29" t="str">
        <f t="shared" si="119"/>
        <v/>
      </c>
      <c r="AB729" s="29" t="str">
        <f t="shared" si="116"/>
        <v/>
      </c>
      <c r="AC729" t="str">
        <f t="shared" si="117"/>
        <v/>
      </c>
    </row>
    <row r="730" spans="20:29" x14ac:dyDescent="0.3">
      <c r="T730" s="29">
        <f t="shared" si="110"/>
        <v>0</v>
      </c>
      <c r="U730" s="29">
        <f t="shared" si="111"/>
        <v>0</v>
      </c>
      <c r="V730" s="29">
        <f t="shared" si="112"/>
        <v>0</v>
      </c>
      <c r="W730" s="29" t="str">
        <f t="shared" si="118"/>
        <v/>
      </c>
      <c r="X730" s="29" t="str">
        <f t="shared" si="113"/>
        <v/>
      </c>
      <c r="Y730" s="32" t="str">
        <f t="shared" si="114"/>
        <v/>
      </c>
      <c r="Z730" s="29" t="str">
        <f t="shared" si="115"/>
        <v/>
      </c>
      <c r="AA730" s="29" t="str">
        <f t="shared" si="119"/>
        <v/>
      </c>
      <c r="AB730" s="29" t="str">
        <f t="shared" si="116"/>
        <v/>
      </c>
      <c r="AC730" t="str">
        <f t="shared" si="117"/>
        <v/>
      </c>
    </row>
    <row r="731" spans="20:29" x14ac:dyDescent="0.3">
      <c r="T731" s="29">
        <f t="shared" si="110"/>
        <v>0</v>
      </c>
      <c r="U731" s="29">
        <f t="shared" si="111"/>
        <v>0</v>
      </c>
      <c r="V731" s="29">
        <f t="shared" si="112"/>
        <v>0</v>
      </c>
      <c r="W731" s="29" t="str">
        <f t="shared" si="118"/>
        <v/>
      </c>
      <c r="X731" s="29" t="str">
        <f t="shared" si="113"/>
        <v/>
      </c>
      <c r="Y731" s="32" t="str">
        <f t="shared" si="114"/>
        <v/>
      </c>
      <c r="Z731" s="29" t="str">
        <f t="shared" si="115"/>
        <v/>
      </c>
      <c r="AA731" s="29" t="str">
        <f t="shared" si="119"/>
        <v/>
      </c>
      <c r="AB731" s="29" t="str">
        <f t="shared" si="116"/>
        <v/>
      </c>
      <c r="AC731" t="str">
        <f t="shared" si="117"/>
        <v/>
      </c>
    </row>
    <row r="732" spans="20:29" x14ac:dyDescent="0.3">
      <c r="T732" s="29">
        <f t="shared" si="110"/>
        <v>0</v>
      </c>
      <c r="U732" s="29">
        <f t="shared" si="111"/>
        <v>0</v>
      </c>
      <c r="V732" s="29">
        <f t="shared" si="112"/>
        <v>0</v>
      </c>
      <c r="W732" s="29" t="str">
        <f t="shared" si="118"/>
        <v/>
      </c>
      <c r="X732" s="29" t="str">
        <f t="shared" si="113"/>
        <v/>
      </c>
      <c r="Y732" s="32" t="str">
        <f t="shared" si="114"/>
        <v/>
      </c>
      <c r="Z732" s="29" t="str">
        <f t="shared" si="115"/>
        <v/>
      </c>
      <c r="AA732" s="29" t="str">
        <f t="shared" si="119"/>
        <v/>
      </c>
      <c r="AB732" s="29" t="str">
        <f t="shared" si="116"/>
        <v/>
      </c>
      <c r="AC732" t="str">
        <f t="shared" si="117"/>
        <v/>
      </c>
    </row>
    <row r="733" spans="20:29" x14ac:dyDescent="0.3">
      <c r="T733" s="29">
        <f t="shared" si="110"/>
        <v>0</v>
      </c>
      <c r="U733" s="29">
        <f t="shared" si="111"/>
        <v>0</v>
      </c>
      <c r="V733" s="29">
        <f t="shared" si="112"/>
        <v>0</v>
      </c>
      <c r="W733" s="29" t="str">
        <f t="shared" si="118"/>
        <v/>
      </c>
      <c r="X733" s="29" t="str">
        <f t="shared" si="113"/>
        <v/>
      </c>
      <c r="Y733" s="32" t="str">
        <f t="shared" si="114"/>
        <v/>
      </c>
      <c r="Z733" s="29" t="str">
        <f t="shared" si="115"/>
        <v/>
      </c>
      <c r="AA733" s="29" t="str">
        <f t="shared" si="119"/>
        <v/>
      </c>
      <c r="AB733" s="29" t="str">
        <f t="shared" si="116"/>
        <v/>
      </c>
      <c r="AC733" t="str">
        <f t="shared" si="117"/>
        <v/>
      </c>
    </row>
    <row r="734" spans="20:29" x14ac:dyDescent="0.3">
      <c r="T734" s="29">
        <f t="shared" si="110"/>
        <v>0</v>
      </c>
      <c r="U734" s="29">
        <f t="shared" si="111"/>
        <v>0</v>
      </c>
      <c r="V734" s="29">
        <f t="shared" si="112"/>
        <v>0</v>
      </c>
      <c r="W734" s="29" t="str">
        <f t="shared" si="118"/>
        <v/>
      </c>
      <c r="X734" s="29" t="str">
        <f t="shared" si="113"/>
        <v/>
      </c>
      <c r="Y734" s="32" t="str">
        <f t="shared" si="114"/>
        <v/>
      </c>
      <c r="Z734" s="29" t="str">
        <f t="shared" si="115"/>
        <v/>
      </c>
      <c r="AA734" s="29" t="str">
        <f t="shared" si="119"/>
        <v/>
      </c>
      <c r="AB734" s="29" t="str">
        <f t="shared" si="116"/>
        <v/>
      </c>
      <c r="AC734" t="str">
        <f t="shared" si="117"/>
        <v/>
      </c>
    </row>
    <row r="735" spans="20:29" x14ac:dyDescent="0.3">
      <c r="T735" s="29">
        <f t="shared" si="110"/>
        <v>0</v>
      </c>
      <c r="U735" s="29">
        <f t="shared" si="111"/>
        <v>0</v>
      </c>
      <c r="V735" s="29">
        <f t="shared" si="112"/>
        <v>0</v>
      </c>
      <c r="W735" s="29" t="str">
        <f t="shared" si="118"/>
        <v/>
      </c>
      <c r="X735" s="29" t="str">
        <f t="shared" si="113"/>
        <v/>
      </c>
      <c r="Y735" s="32" t="str">
        <f t="shared" si="114"/>
        <v/>
      </c>
      <c r="Z735" s="29" t="str">
        <f t="shared" si="115"/>
        <v/>
      </c>
      <c r="AA735" s="29" t="str">
        <f t="shared" si="119"/>
        <v/>
      </c>
      <c r="AB735" s="29" t="str">
        <f t="shared" si="116"/>
        <v/>
      </c>
      <c r="AC735" t="str">
        <f t="shared" si="117"/>
        <v/>
      </c>
    </row>
    <row r="736" spans="20:29" x14ac:dyDescent="0.3">
      <c r="T736" s="29">
        <f t="shared" si="110"/>
        <v>0</v>
      </c>
      <c r="U736" s="29">
        <f t="shared" si="111"/>
        <v>0</v>
      </c>
      <c r="V736" s="29">
        <f t="shared" si="112"/>
        <v>0</v>
      </c>
      <c r="W736" s="29" t="str">
        <f t="shared" si="118"/>
        <v/>
      </c>
      <c r="X736" s="29" t="str">
        <f t="shared" si="113"/>
        <v/>
      </c>
      <c r="Y736" s="32" t="str">
        <f t="shared" si="114"/>
        <v/>
      </c>
      <c r="Z736" s="29" t="str">
        <f t="shared" si="115"/>
        <v/>
      </c>
      <c r="AA736" s="29" t="str">
        <f t="shared" si="119"/>
        <v/>
      </c>
      <c r="AB736" s="29" t="str">
        <f t="shared" si="116"/>
        <v/>
      </c>
      <c r="AC736" t="str">
        <f t="shared" si="117"/>
        <v/>
      </c>
    </row>
    <row r="737" spans="20:29" x14ac:dyDescent="0.3">
      <c r="T737" s="29">
        <f t="shared" si="110"/>
        <v>0</v>
      </c>
      <c r="U737" s="29">
        <f t="shared" si="111"/>
        <v>0</v>
      </c>
      <c r="V737" s="29">
        <f t="shared" si="112"/>
        <v>0</v>
      </c>
      <c r="W737" s="29" t="str">
        <f t="shared" si="118"/>
        <v/>
      </c>
      <c r="X737" s="29" t="str">
        <f t="shared" si="113"/>
        <v/>
      </c>
      <c r="Y737" s="32" t="str">
        <f t="shared" si="114"/>
        <v/>
      </c>
      <c r="Z737" s="29" t="str">
        <f t="shared" si="115"/>
        <v/>
      </c>
      <c r="AA737" s="29" t="str">
        <f t="shared" si="119"/>
        <v/>
      </c>
      <c r="AB737" s="29" t="str">
        <f t="shared" si="116"/>
        <v/>
      </c>
      <c r="AC737" t="str">
        <f t="shared" si="117"/>
        <v/>
      </c>
    </row>
    <row r="738" spans="20:29" x14ac:dyDescent="0.3">
      <c r="T738" s="29">
        <f t="shared" si="110"/>
        <v>0</v>
      </c>
      <c r="U738" s="29">
        <f t="shared" si="111"/>
        <v>0</v>
      </c>
      <c r="V738" s="29">
        <f t="shared" si="112"/>
        <v>0</v>
      </c>
      <c r="W738" s="29" t="str">
        <f t="shared" si="118"/>
        <v/>
      </c>
      <c r="X738" s="29" t="str">
        <f t="shared" si="113"/>
        <v/>
      </c>
      <c r="Y738" s="32" t="str">
        <f t="shared" si="114"/>
        <v/>
      </c>
      <c r="Z738" s="29" t="str">
        <f t="shared" si="115"/>
        <v/>
      </c>
      <c r="AA738" s="29" t="str">
        <f t="shared" si="119"/>
        <v/>
      </c>
      <c r="AB738" s="29" t="str">
        <f t="shared" si="116"/>
        <v/>
      </c>
      <c r="AC738" t="str">
        <f t="shared" si="117"/>
        <v/>
      </c>
    </row>
    <row r="739" spans="20:29" x14ac:dyDescent="0.3">
      <c r="T739" s="29">
        <f t="shared" si="110"/>
        <v>0</v>
      </c>
      <c r="U739" s="29">
        <f t="shared" si="111"/>
        <v>0</v>
      </c>
      <c r="V739" s="29">
        <f t="shared" si="112"/>
        <v>0</v>
      </c>
      <c r="W739" s="29" t="str">
        <f t="shared" si="118"/>
        <v/>
      </c>
      <c r="X739" s="29" t="str">
        <f t="shared" si="113"/>
        <v/>
      </c>
      <c r="Y739" s="32" t="str">
        <f t="shared" si="114"/>
        <v/>
      </c>
      <c r="Z739" s="29" t="str">
        <f t="shared" si="115"/>
        <v/>
      </c>
      <c r="AA739" s="29" t="str">
        <f t="shared" si="119"/>
        <v/>
      </c>
      <c r="AB739" s="29" t="str">
        <f t="shared" si="116"/>
        <v/>
      </c>
      <c r="AC739" t="str">
        <f t="shared" si="117"/>
        <v/>
      </c>
    </row>
    <row r="740" spans="20:29" x14ac:dyDescent="0.3">
      <c r="T740" s="29">
        <f t="shared" si="110"/>
        <v>0</v>
      </c>
      <c r="U740" s="29">
        <f t="shared" si="111"/>
        <v>0</v>
      </c>
      <c r="V740" s="29">
        <f t="shared" si="112"/>
        <v>0</v>
      </c>
      <c r="W740" s="29" t="str">
        <f t="shared" si="118"/>
        <v/>
      </c>
      <c r="X740" s="29" t="str">
        <f t="shared" si="113"/>
        <v/>
      </c>
      <c r="Y740" s="32" t="str">
        <f t="shared" si="114"/>
        <v/>
      </c>
      <c r="Z740" s="29" t="str">
        <f t="shared" si="115"/>
        <v/>
      </c>
      <c r="AA740" s="29" t="str">
        <f t="shared" si="119"/>
        <v/>
      </c>
      <c r="AB740" s="29" t="str">
        <f t="shared" si="116"/>
        <v/>
      </c>
      <c r="AC740" t="str">
        <f t="shared" si="117"/>
        <v/>
      </c>
    </row>
    <row r="741" spans="20:29" x14ac:dyDescent="0.3">
      <c r="T741" s="29">
        <f t="shared" si="110"/>
        <v>0</v>
      </c>
      <c r="U741" s="29">
        <f t="shared" si="111"/>
        <v>0</v>
      </c>
      <c r="V741" s="29">
        <f t="shared" si="112"/>
        <v>0</v>
      </c>
      <c r="W741" s="29" t="str">
        <f t="shared" si="118"/>
        <v/>
      </c>
      <c r="X741" s="29" t="str">
        <f t="shared" si="113"/>
        <v/>
      </c>
      <c r="Y741" s="32" t="str">
        <f t="shared" si="114"/>
        <v/>
      </c>
      <c r="Z741" s="29" t="str">
        <f t="shared" si="115"/>
        <v/>
      </c>
      <c r="AA741" s="29" t="str">
        <f t="shared" si="119"/>
        <v/>
      </c>
      <c r="AB741" s="29" t="str">
        <f t="shared" si="116"/>
        <v/>
      </c>
      <c r="AC741" t="str">
        <f t="shared" si="117"/>
        <v/>
      </c>
    </row>
    <row r="742" spans="20:29" x14ac:dyDescent="0.3">
      <c r="T742" s="29">
        <f t="shared" si="110"/>
        <v>0</v>
      </c>
      <c r="U742" s="29">
        <f t="shared" si="111"/>
        <v>0</v>
      </c>
      <c r="V742" s="29">
        <f t="shared" si="112"/>
        <v>0</v>
      </c>
      <c r="W742" s="29" t="str">
        <f t="shared" si="118"/>
        <v/>
      </c>
      <c r="X742" s="29" t="str">
        <f t="shared" si="113"/>
        <v/>
      </c>
      <c r="Y742" s="32" t="str">
        <f t="shared" si="114"/>
        <v/>
      </c>
      <c r="Z742" s="29" t="str">
        <f t="shared" si="115"/>
        <v/>
      </c>
      <c r="AA742" s="29" t="str">
        <f t="shared" si="119"/>
        <v/>
      </c>
      <c r="AB742" s="29" t="str">
        <f t="shared" si="116"/>
        <v/>
      </c>
      <c r="AC742" t="str">
        <f t="shared" si="117"/>
        <v/>
      </c>
    </row>
    <row r="743" spans="20:29" x14ac:dyDescent="0.3">
      <c r="T743" s="29">
        <f t="shared" si="110"/>
        <v>0</v>
      </c>
      <c r="U743" s="29">
        <f t="shared" si="111"/>
        <v>0</v>
      </c>
      <c r="V743" s="29">
        <f t="shared" si="112"/>
        <v>0</v>
      </c>
      <c r="W743" s="29" t="str">
        <f t="shared" si="118"/>
        <v/>
      </c>
      <c r="X743" s="29" t="str">
        <f t="shared" si="113"/>
        <v/>
      </c>
      <c r="Y743" s="32" t="str">
        <f t="shared" si="114"/>
        <v/>
      </c>
      <c r="Z743" s="29" t="str">
        <f t="shared" si="115"/>
        <v/>
      </c>
      <c r="AA743" s="29" t="str">
        <f t="shared" si="119"/>
        <v/>
      </c>
      <c r="AB743" s="29" t="str">
        <f t="shared" si="116"/>
        <v/>
      </c>
      <c r="AC743" t="str">
        <f t="shared" si="117"/>
        <v/>
      </c>
    </row>
    <row r="744" spans="20:29" x14ac:dyDescent="0.3">
      <c r="T744" s="29">
        <f t="shared" si="110"/>
        <v>0</v>
      </c>
      <c r="U744" s="29">
        <f t="shared" si="111"/>
        <v>0</v>
      </c>
      <c r="V744" s="29">
        <f t="shared" si="112"/>
        <v>0</v>
      </c>
      <c r="W744" s="29" t="str">
        <f t="shared" si="118"/>
        <v/>
      </c>
      <c r="X744" s="29" t="str">
        <f t="shared" si="113"/>
        <v/>
      </c>
      <c r="Y744" s="32" t="str">
        <f t="shared" si="114"/>
        <v/>
      </c>
      <c r="Z744" s="29" t="str">
        <f t="shared" si="115"/>
        <v/>
      </c>
      <c r="AA744" s="29" t="str">
        <f t="shared" si="119"/>
        <v/>
      </c>
      <c r="AB744" s="29" t="str">
        <f t="shared" si="116"/>
        <v/>
      </c>
      <c r="AC744" t="str">
        <f t="shared" si="117"/>
        <v/>
      </c>
    </row>
    <row r="745" spans="20:29" x14ac:dyDescent="0.3">
      <c r="T745" s="29">
        <f t="shared" si="110"/>
        <v>0</v>
      </c>
      <c r="U745" s="29">
        <f t="shared" si="111"/>
        <v>0</v>
      </c>
      <c r="V745" s="29">
        <f t="shared" si="112"/>
        <v>0</v>
      </c>
      <c r="W745" s="29" t="str">
        <f t="shared" si="118"/>
        <v/>
      </c>
      <c r="X745" s="29" t="str">
        <f t="shared" si="113"/>
        <v/>
      </c>
      <c r="Y745" s="32" t="str">
        <f t="shared" si="114"/>
        <v/>
      </c>
      <c r="Z745" s="29" t="str">
        <f t="shared" si="115"/>
        <v/>
      </c>
      <c r="AA745" s="29" t="str">
        <f t="shared" si="119"/>
        <v/>
      </c>
      <c r="AB745" s="29" t="str">
        <f t="shared" si="116"/>
        <v/>
      </c>
      <c r="AC745" t="str">
        <f t="shared" si="117"/>
        <v/>
      </c>
    </row>
    <row r="746" spans="20:29" x14ac:dyDescent="0.3">
      <c r="T746" s="29">
        <f t="shared" si="110"/>
        <v>0</v>
      </c>
      <c r="U746" s="29">
        <f t="shared" si="111"/>
        <v>0</v>
      </c>
      <c r="V746" s="29">
        <f t="shared" si="112"/>
        <v>0</v>
      </c>
      <c r="W746" s="29" t="str">
        <f t="shared" si="118"/>
        <v/>
      </c>
      <c r="X746" s="29" t="str">
        <f t="shared" si="113"/>
        <v/>
      </c>
      <c r="Y746" s="32" t="str">
        <f t="shared" si="114"/>
        <v/>
      </c>
      <c r="Z746" s="29" t="str">
        <f t="shared" si="115"/>
        <v/>
      </c>
      <c r="AA746" s="29" t="str">
        <f t="shared" si="119"/>
        <v/>
      </c>
      <c r="AB746" s="29" t="str">
        <f t="shared" si="116"/>
        <v/>
      </c>
      <c r="AC746" t="str">
        <f t="shared" si="117"/>
        <v/>
      </c>
    </row>
    <row r="747" spans="20:29" x14ac:dyDescent="0.3">
      <c r="T747" s="29">
        <f t="shared" si="110"/>
        <v>0</v>
      </c>
      <c r="U747" s="29">
        <f t="shared" si="111"/>
        <v>0</v>
      </c>
      <c r="V747" s="29">
        <f t="shared" si="112"/>
        <v>0</v>
      </c>
      <c r="W747" s="29" t="str">
        <f t="shared" si="118"/>
        <v/>
      </c>
      <c r="X747" s="29" t="str">
        <f t="shared" si="113"/>
        <v/>
      </c>
      <c r="Y747" s="32" t="str">
        <f t="shared" si="114"/>
        <v/>
      </c>
      <c r="Z747" s="29" t="str">
        <f t="shared" si="115"/>
        <v/>
      </c>
      <c r="AA747" s="29" t="str">
        <f t="shared" si="119"/>
        <v/>
      </c>
      <c r="AB747" s="29" t="str">
        <f t="shared" si="116"/>
        <v/>
      </c>
      <c r="AC747" t="str">
        <f t="shared" si="117"/>
        <v/>
      </c>
    </row>
    <row r="748" spans="20:29" x14ac:dyDescent="0.3">
      <c r="T748" s="29">
        <f t="shared" si="110"/>
        <v>0</v>
      </c>
      <c r="U748" s="29">
        <f t="shared" si="111"/>
        <v>0</v>
      </c>
      <c r="V748" s="29">
        <f t="shared" si="112"/>
        <v>0</v>
      </c>
      <c r="W748" s="29" t="str">
        <f t="shared" si="118"/>
        <v/>
      </c>
      <c r="X748" s="29" t="str">
        <f t="shared" si="113"/>
        <v/>
      </c>
      <c r="Y748" s="32" t="str">
        <f t="shared" si="114"/>
        <v/>
      </c>
      <c r="Z748" s="29" t="str">
        <f t="shared" si="115"/>
        <v/>
      </c>
      <c r="AA748" s="29" t="str">
        <f t="shared" si="119"/>
        <v/>
      </c>
      <c r="AB748" s="29" t="str">
        <f t="shared" si="116"/>
        <v/>
      </c>
      <c r="AC748" t="str">
        <f t="shared" si="117"/>
        <v/>
      </c>
    </row>
    <row r="749" spans="20:29" x14ac:dyDescent="0.3">
      <c r="T749" s="29">
        <f t="shared" si="110"/>
        <v>0</v>
      </c>
      <c r="U749" s="29">
        <f t="shared" si="111"/>
        <v>0</v>
      </c>
      <c r="V749" s="29">
        <f t="shared" si="112"/>
        <v>0</v>
      </c>
      <c r="W749" s="29" t="str">
        <f t="shared" si="118"/>
        <v/>
      </c>
      <c r="X749" s="29" t="str">
        <f t="shared" si="113"/>
        <v/>
      </c>
      <c r="Y749" s="32" t="str">
        <f t="shared" si="114"/>
        <v/>
      </c>
      <c r="Z749" s="29" t="str">
        <f t="shared" si="115"/>
        <v/>
      </c>
      <c r="AA749" s="29" t="str">
        <f t="shared" si="119"/>
        <v/>
      </c>
      <c r="AB749" s="29" t="str">
        <f t="shared" si="116"/>
        <v/>
      </c>
      <c r="AC749" t="str">
        <f t="shared" si="117"/>
        <v/>
      </c>
    </row>
    <row r="750" spans="20:29" x14ac:dyDescent="0.3">
      <c r="T750" s="29">
        <f t="shared" si="110"/>
        <v>0</v>
      </c>
      <c r="U750" s="29">
        <f t="shared" si="111"/>
        <v>0</v>
      </c>
      <c r="V750" s="29">
        <f t="shared" si="112"/>
        <v>0</v>
      </c>
      <c r="W750" s="29" t="str">
        <f t="shared" si="118"/>
        <v/>
      </c>
      <c r="X750" s="29" t="str">
        <f t="shared" si="113"/>
        <v/>
      </c>
      <c r="Y750" s="32" t="str">
        <f t="shared" si="114"/>
        <v/>
      </c>
      <c r="Z750" s="29" t="str">
        <f t="shared" si="115"/>
        <v/>
      </c>
      <c r="AA750" s="29" t="str">
        <f t="shared" si="119"/>
        <v/>
      </c>
      <c r="AB750" s="29" t="str">
        <f t="shared" si="116"/>
        <v/>
      </c>
      <c r="AC750" t="str">
        <f t="shared" si="117"/>
        <v/>
      </c>
    </row>
    <row r="751" spans="20:29" x14ac:dyDescent="0.3">
      <c r="T751" s="29">
        <f t="shared" si="110"/>
        <v>0</v>
      </c>
      <c r="U751" s="29">
        <f t="shared" si="111"/>
        <v>0</v>
      </c>
      <c r="V751" s="29">
        <f t="shared" si="112"/>
        <v>0</v>
      </c>
      <c r="W751" s="29" t="str">
        <f t="shared" si="118"/>
        <v/>
      </c>
      <c r="X751" s="29" t="str">
        <f t="shared" si="113"/>
        <v/>
      </c>
      <c r="Y751" s="32" t="str">
        <f t="shared" si="114"/>
        <v/>
      </c>
      <c r="Z751" s="29" t="str">
        <f t="shared" si="115"/>
        <v/>
      </c>
      <c r="AA751" s="29" t="str">
        <f t="shared" si="119"/>
        <v/>
      </c>
      <c r="AB751" s="29" t="str">
        <f t="shared" si="116"/>
        <v/>
      </c>
      <c r="AC751" t="str">
        <f t="shared" si="117"/>
        <v/>
      </c>
    </row>
    <row r="752" spans="20:29" x14ac:dyDescent="0.3">
      <c r="T752" s="29">
        <f t="shared" si="110"/>
        <v>0</v>
      </c>
      <c r="U752" s="29">
        <f t="shared" si="111"/>
        <v>0</v>
      </c>
      <c r="V752" s="29">
        <f t="shared" si="112"/>
        <v>0</v>
      </c>
      <c r="W752" s="29" t="str">
        <f t="shared" si="118"/>
        <v/>
      </c>
      <c r="X752" s="29" t="str">
        <f t="shared" si="113"/>
        <v/>
      </c>
      <c r="Y752" s="32" t="str">
        <f t="shared" si="114"/>
        <v/>
      </c>
      <c r="Z752" s="29" t="str">
        <f t="shared" si="115"/>
        <v/>
      </c>
      <c r="AA752" s="29" t="str">
        <f t="shared" si="119"/>
        <v/>
      </c>
      <c r="AB752" s="29" t="str">
        <f t="shared" si="116"/>
        <v/>
      </c>
      <c r="AC752" t="str">
        <f t="shared" si="117"/>
        <v/>
      </c>
    </row>
    <row r="753" spans="20:29" x14ac:dyDescent="0.3">
      <c r="T753" s="29">
        <f t="shared" si="110"/>
        <v>0</v>
      </c>
      <c r="U753" s="29">
        <f t="shared" si="111"/>
        <v>0</v>
      </c>
      <c r="V753" s="29">
        <f t="shared" si="112"/>
        <v>0</v>
      </c>
      <c r="W753" s="29" t="str">
        <f t="shared" si="118"/>
        <v/>
      </c>
      <c r="X753" s="29" t="str">
        <f t="shared" si="113"/>
        <v/>
      </c>
      <c r="Y753" s="32" t="str">
        <f t="shared" si="114"/>
        <v/>
      </c>
      <c r="Z753" s="29" t="str">
        <f t="shared" si="115"/>
        <v/>
      </c>
      <c r="AA753" s="29" t="str">
        <f t="shared" si="119"/>
        <v/>
      </c>
      <c r="AB753" s="29" t="str">
        <f t="shared" si="116"/>
        <v/>
      </c>
      <c r="AC753" t="str">
        <f t="shared" si="117"/>
        <v/>
      </c>
    </row>
    <row r="754" spans="20:29" x14ac:dyDescent="0.3">
      <c r="T754" s="29">
        <f t="shared" si="110"/>
        <v>0</v>
      </c>
      <c r="U754" s="29">
        <f t="shared" si="111"/>
        <v>0</v>
      </c>
      <c r="V754" s="29">
        <f t="shared" si="112"/>
        <v>0</v>
      </c>
      <c r="W754" s="29" t="str">
        <f t="shared" si="118"/>
        <v/>
      </c>
      <c r="X754" s="29" t="str">
        <f t="shared" si="113"/>
        <v/>
      </c>
      <c r="Y754" s="32" t="str">
        <f t="shared" si="114"/>
        <v/>
      </c>
      <c r="Z754" s="29" t="str">
        <f t="shared" si="115"/>
        <v/>
      </c>
      <c r="AA754" s="29" t="str">
        <f t="shared" si="119"/>
        <v/>
      </c>
      <c r="AB754" s="29" t="str">
        <f t="shared" si="116"/>
        <v/>
      </c>
      <c r="AC754" t="str">
        <f t="shared" si="117"/>
        <v/>
      </c>
    </row>
    <row r="755" spans="20:29" x14ac:dyDescent="0.3">
      <c r="T755" s="29">
        <f t="shared" si="110"/>
        <v>0</v>
      </c>
      <c r="U755" s="29">
        <f t="shared" si="111"/>
        <v>0</v>
      </c>
      <c r="V755" s="29">
        <f t="shared" si="112"/>
        <v>0</v>
      </c>
      <c r="W755" s="29" t="str">
        <f t="shared" si="118"/>
        <v/>
      </c>
      <c r="X755" s="29" t="str">
        <f t="shared" si="113"/>
        <v/>
      </c>
      <c r="Y755" s="32" t="str">
        <f t="shared" si="114"/>
        <v/>
      </c>
      <c r="Z755" s="29" t="str">
        <f t="shared" si="115"/>
        <v/>
      </c>
      <c r="AA755" s="29" t="str">
        <f t="shared" si="119"/>
        <v/>
      </c>
      <c r="AB755" s="29" t="str">
        <f t="shared" si="116"/>
        <v/>
      </c>
      <c r="AC755" t="str">
        <f t="shared" si="117"/>
        <v/>
      </c>
    </row>
    <row r="756" spans="20:29" x14ac:dyDescent="0.3">
      <c r="T756" s="29">
        <f t="shared" si="110"/>
        <v>0</v>
      </c>
      <c r="U756" s="29">
        <f t="shared" si="111"/>
        <v>0</v>
      </c>
      <c r="V756" s="29">
        <f t="shared" si="112"/>
        <v>0</v>
      </c>
      <c r="W756" s="29" t="str">
        <f t="shared" si="118"/>
        <v/>
      </c>
      <c r="X756" s="29" t="str">
        <f t="shared" si="113"/>
        <v/>
      </c>
      <c r="Y756" s="32" t="str">
        <f t="shared" si="114"/>
        <v/>
      </c>
      <c r="Z756" s="29" t="str">
        <f t="shared" si="115"/>
        <v/>
      </c>
      <c r="AA756" s="29" t="str">
        <f t="shared" si="119"/>
        <v/>
      </c>
      <c r="AB756" s="29" t="str">
        <f t="shared" si="116"/>
        <v/>
      </c>
      <c r="AC756" t="str">
        <f t="shared" si="117"/>
        <v/>
      </c>
    </row>
    <row r="757" spans="20:29" x14ac:dyDescent="0.3">
      <c r="T757" s="29">
        <f t="shared" si="110"/>
        <v>0</v>
      </c>
      <c r="U757" s="29">
        <f t="shared" si="111"/>
        <v>0</v>
      </c>
      <c r="V757" s="29">
        <f t="shared" si="112"/>
        <v>0</v>
      </c>
      <c r="W757" s="29" t="str">
        <f t="shared" si="118"/>
        <v/>
      </c>
      <c r="X757" s="29" t="str">
        <f t="shared" si="113"/>
        <v/>
      </c>
      <c r="Y757" s="32" t="str">
        <f t="shared" si="114"/>
        <v/>
      </c>
      <c r="Z757" s="29" t="str">
        <f t="shared" si="115"/>
        <v/>
      </c>
      <c r="AA757" s="29" t="str">
        <f t="shared" si="119"/>
        <v/>
      </c>
      <c r="AB757" s="29" t="str">
        <f t="shared" si="116"/>
        <v/>
      </c>
      <c r="AC757" t="str">
        <f t="shared" si="117"/>
        <v/>
      </c>
    </row>
    <row r="758" spans="20:29" x14ac:dyDescent="0.3">
      <c r="T758" s="29">
        <f t="shared" si="110"/>
        <v>0</v>
      </c>
      <c r="U758" s="29">
        <f t="shared" si="111"/>
        <v>0</v>
      </c>
      <c r="V758" s="29">
        <f t="shared" si="112"/>
        <v>0</v>
      </c>
      <c r="W758" s="29" t="str">
        <f t="shared" si="118"/>
        <v/>
      </c>
      <c r="X758" s="29" t="str">
        <f t="shared" si="113"/>
        <v/>
      </c>
      <c r="Y758" s="32" t="str">
        <f t="shared" si="114"/>
        <v/>
      </c>
      <c r="Z758" s="29" t="str">
        <f t="shared" si="115"/>
        <v/>
      </c>
      <c r="AA758" s="29" t="str">
        <f t="shared" si="119"/>
        <v/>
      </c>
      <c r="AB758" s="29" t="str">
        <f t="shared" si="116"/>
        <v/>
      </c>
      <c r="AC758" t="str">
        <f t="shared" si="117"/>
        <v/>
      </c>
    </row>
    <row r="759" spans="20:29" x14ac:dyDescent="0.3">
      <c r="T759" s="29">
        <f t="shared" si="110"/>
        <v>0</v>
      </c>
      <c r="U759" s="29">
        <f t="shared" si="111"/>
        <v>0</v>
      </c>
      <c r="V759" s="29">
        <f t="shared" si="112"/>
        <v>0</v>
      </c>
      <c r="W759" s="29" t="str">
        <f t="shared" si="118"/>
        <v/>
      </c>
      <c r="X759" s="29" t="str">
        <f t="shared" si="113"/>
        <v/>
      </c>
      <c r="Y759" s="32" t="str">
        <f t="shared" si="114"/>
        <v/>
      </c>
      <c r="Z759" s="29" t="str">
        <f t="shared" si="115"/>
        <v/>
      </c>
      <c r="AA759" s="29" t="str">
        <f t="shared" si="119"/>
        <v/>
      </c>
      <c r="AB759" s="29" t="str">
        <f t="shared" si="116"/>
        <v/>
      </c>
      <c r="AC759" t="str">
        <f t="shared" si="117"/>
        <v/>
      </c>
    </row>
    <row r="760" spans="20:29" x14ac:dyDescent="0.3">
      <c r="T760" s="29">
        <f t="shared" si="110"/>
        <v>0</v>
      </c>
      <c r="U760" s="29">
        <f t="shared" si="111"/>
        <v>0</v>
      </c>
      <c r="V760" s="29">
        <f t="shared" si="112"/>
        <v>0</v>
      </c>
      <c r="W760" s="29" t="str">
        <f t="shared" si="118"/>
        <v/>
      </c>
      <c r="X760" s="29" t="str">
        <f t="shared" si="113"/>
        <v/>
      </c>
      <c r="Y760" s="32" t="str">
        <f t="shared" si="114"/>
        <v/>
      </c>
      <c r="Z760" s="29" t="str">
        <f t="shared" si="115"/>
        <v/>
      </c>
      <c r="AA760" s="29" t="str">
        <f t="shared" si="119"/>
        <v/>
      </c>
      <c r="AB760" s="29" t="str">
        <f t="shared" si="116"/>
        <v/>
      </c>
      <c r="AC760" t="str">
        <f t="shared" si="117"/>
        <v/>
      </c>
    </row>
    <row r="761" spans="20:29" x14ac:dyDescent="0.3">
      <c r="T761" s="29">
        <f t="shared" si="110"/>
        <v>0</v>
      </c>
      <c r="U761" s="29">
        <f t="shared" si="111"/>
        <v>0</v>
      </c>
      <c r="V761" s="29">
        <f t="shared" si="112"/>
        <v>0</v>
      </c>
      <c r="W761" s="29" t="str">
        <f t="shared" si="118"/>
        <v/>
      </c>
      <c r="X761" s="29" t="str">
        <f t="shared" si="113"/>
        <v/>
      </c>
      <c r="Y761" s="32" t="str">
        <f t="shared" si="114"/>
        <v/>
      </c>
      <c r="Z761" s="29" t="str">
        <f t="shared" si="115"/>
        <v/>
      </c>
      <c r="AA761" s="29" t="str">
        <f t="shared" si="119"/>
        <v/>
      </c>
      <c r="AB761" s="29" t="str">
        <f t="shared" si="116"/>
        <v/>
      </c>
      <c r="AC761" t="str">
        <f t="shared" si="117"/>
        <v/>
      </c>
    </row>
    <row r="762" spans="20:29" x14ac:dyDescent="0.3">
      <c r="T762" s="29">
        <f t="shared" si="110"/>
        <v>0</v>
      </c>
      <c r="U762" s="29">
        <f t="shared" si="111"/>
        <v>0</v>
      </c>
      <c r="V762" s="29">
        <f t="shared" si="112"/>
        <v>0</v>
      </c>
      <c r="W762" s="29" t="str">
        <f t="shared" si="118"/>
        <v/>
      </c>
      <c r="X762" s="29" t="str">
        <f t="shared" si="113"/>
        <v/>
      </c>
      <c r="Y762" s="32" t="str">
        <f t="shared" si="114"/>
        <v/>
      </c>
      <c r="Z762" s="29" t="str">
        <f t="shared" si="115"/>
        <v/>
      </c>
      <c r="AA762" s="29" t="str">
        <f t="shared" si="119"/>
        <v/>
      </c>
      <c r="AB762" s="29" t="str">
        <f t="shared" si="116"/>
        <v/>
      </c>
      <c r="AC762" t="str">
        <f t="shared" si="117"/>
        <v/>
      </c>
    </row>
    <row r="763" spans="20:29" x14ac:dyDescent="0.3">
      <c r="T763" s="29">
        <f t="shared" si="110"/>
        <v>0</v>
      </c>
      <c r="U763" s="29">
        <f t="shared" si="111"/>
        <v>0</v>
      </c>
      <c r="V763" s="29">
        <f t="shared" si="112"/>
        <v>0</v>
      </c>
      <c r="W763" s="29" t="str">
        <f t="shared" si="118"/>
        <v/>
      </c>
      <c r="X763" s="29" t="str">
        <f t="shared" si="113"/>
        <v/>
      </c>
      <c r="Y763" s="32" t="str">
        <f t="shared" si="114"/>
        <v/>
      </c>
      <c r="Z763" s="29" t="str">
        <f t="shared" si="115"/>
        <v/>
      </c>
      <c r="AA763" s="29" t="str">
        <f t="shared" si="119"/>
        <v/>
      </c>
      <c r="AB763" s="29" t="str">
        <f t="shared" si="116"/>
        <v/>
      </c>
      <c r="AC763" t="str">
        <f t="shared" si="117"/>
        <v/>
      </c>
    </row>
    <row r="764" spans="20:29" x14ac:dyDescent="0.3">
      <c r="T764" s="29">
        <f t="shared" si="110"/>
        <v>0</v>
      </c>
      <c r="U764" s="29">
        <f t="shared" si="111"/>
        <v>0</v>
      </c>
      <c r="V764" s="29">
        <f t="shared" si="112"/>
        <v>0</v>
      </c>
      <c r="W764" s="29" t="str">
        <f t="shared" si="118"/>
        <v/>
      </c>
      <c r="X764" s="29" t="str">
        <f t="shared" si="113"/>
        <v/>
      </c>
      <c r="Y764" s="32" t="str">
        <f t="shared" si="114"/>
        <v/>
      </c>
      <c r="Z764" s="29" t="str">
        <f t="shared" si="115"/>
        <v/>
      </c>
      <c r="AA764" s="29" t="str">
        <f t="shared" si="119"/>
        <v/>
      </c>
      <c r="AB764" s="29" t="str">
        <f t="shared" si="116"/>
        <v/>
      </c>
      <c r="AC764" t="str">
        <f t="shared" si="117"/>
        <v/>
      </c>
    </row>
    <row r="765" spans="20:29" x14ac:dyDescent="0.3">
      <c r="T765" s="29">
        <f t="shared" si="110"/>
        <v>0</v>
      </c>
      <c r="U765" s="29">
        <f t="shared" si="111"/>
        <v>0</v>
      </c>
      <c r="V765" s="29">
        <f t="shared" si="112"/>
        <v>0</v>
      </c>
      <c r="W765" s="29" t="str">
        <f t="shared" si="118"/>
        <v/>
      </c>
      <c r="X765" s="29" t="str">
        <f t="shared" si="113"/>
        <v/>
      </c>
      <c r="Y765" s="32" t="str">
        <f t="shared" si="114"/>
        <v/>
      </c>
      <c r="Z765" s="29" t="str">
        <f t="shared" si="115"/>
        <v/>
      </c>
      <c r="AA765" s="29" t="str">
        <f t="shared" si="119"/>
        <v/>
      </c>
      <c r="AB765" s="29" t="str">
        <f t="shared" si="116"/>
        <v/>
      </c>
      <c r="AC765" t="str">
        <f t="shared" si="117"/>
        <v/>
      </c>
    </row>
    <row r="766" spans="20:29" x14ac:dyDescent="0.3">
      <c r="T766" s="29">
        <f t="shared" si="110"/>
        <v>0</v>
      </c>
      <c r="U766" s="29">
        <f t="shared" si="111"/>
        <v>0</v>
      </c>
      <c r="V766" s="29">
        <f t="shared" si="112"/>
        <v>0</v>
      </c>
      <c r="W766" s="29" t="str">
        <f t="shared" si="118"/>
        <v/>
      </c>
      <c r="X766" s="29" t="str">
        <f t="shared" si="113"/>
        <v/>
      </c>
      <c r="Y766" s="32" t="str">
        <f t="shared" si="114"/>
        <v/>
      </c>
      <c r="Z766" s="29" t="str">
        <f t="shared" si="115"/>
        <v/>
      </c>
      <c r="AA766" s="29" t="str">
        <f t="shared" si="119"/>
        <v/>
      </c>
      <c r="AB766" s="29" t="str">
        <f t="shared" si="116"/>
        <v/>
      </c>
      <c r="AC766" t="str">
        <f t="shared" si="117"/>
        <v/>
      </c>
    </row>
    <row r="767" spans="20:29" x14ac:dyDescent="0.3">
      <c r="T767" s="29">
        <f t="shared" si="110"/>
        <v>0</v>
      </c>
      <c r="U767" s="29">
        <f t="shared" si="111"/>
        <v>0</v>
      </c>
      <c r="V767" s="29">
        <f t="shared" si="112"/>
        <v>0</v>
      </c>
      <c r="W767" s="29" t="str">
        <f t="shared" si="118"/>
        <v/>
      </c>
      <c r="X767" s="29" t="str">
        <f t="shared" si="113"/>
        <v/>
      </c>
      <c r="Y767" s="32" t="str">
        <f t="shared" si="114"/>
        <v/>
      </c>
      <c r="Z767" s="29" t="str">
        <f t="shared" si="115"/>
        <v/>
      </c>
      <c r="AA767" s="29" t="str">
        <f t="shared" si="119"/>
        <v/>
      </c>
      <c r="AB767" s="29" t="str">
        <f t="shared" si="116"/>
        <v/>
      </c>
      <c r="AC767" t="str">
        <f t="shared" si="117"/>
        <v/>
      </c>
    </row>
    <row r="768" spans="20:29" x14ac:dyDescent="0.3">
      <c r="T768" s="29">
        <f t="shared" si="110"/>
        <v>0</v>
      </c>
      <c r="U768" s="29">
        <f t="shared" si="111"/>
        <v>0</v>
      </c>
      <c r="V768" s="29">
        <f t="shared" si="112"/>
        <v>0</v>
      </c>
      <c r="W768" s="29" t="str">
        <f t="shared" si="118"/>
        <v/>
      </c>
      <c r="X768" s="29" t="str">
        <f t="shared" si="113"/>
        <v/>
      </c>
      <c r="Y768" s="32" t="str">
        <f t="shared" si="114"/>
        <v/>
      </c>
      <c r="Z768" s="29" t="str">
        <f t="shared" si="115"/>
        <v/>
      </c>
      <c r="AA768" s="29" t="str">
        <f t="shared" si="119"/>
        <v/>
      </c>
      <c r="AB768" s="29" t="str">
        <f t="shared" si="116"/>
        <v/>
      </c>
      <c r="AC768" t="str">
        <f t="shared" si="117"/>
        <v/>
      </c>
    </row>
    <row r="769" spans="20:29" x14ac:dyDescent="0.3">
      <c r="T769" s="29">
        <f t="shared" si="110"/>
        <v>0</v>
      </c>
      <c r="U769" s="29">
        <f t="shared" si="111"/>
        <v>0</v>
      </c>
      <c r="V769" s="29">
        <f t="shared" si="112"/>
        <v>0</v>
      </c>
      <c r="W769" s="29" t="str">
        <f t="shared" si="118"/>
        <v/>
      </c>
      <c r="X769" s="29" t="str">
        <f t="shared" si="113"/>
        <v/>
      </c>
      <c r="Y769" s="32" t="str">
        <f t="shared" si="114"/>
        <v/>
      </c>
      <c r="Z769" s="29" t="str">
        <f t="shared" si="115"/>
        <v/>
      </c>
      <c r="AA769" s="29" t="str">
        <f t="shared" si="119"/>
        <v/>
      </c>
      <c r="AB769" s="29" t="str">
        <f t="shared" si="116"/>
        <v/>
      </c>
      <c r="AC769" t="str">
        <f t="shared" si="117"/>
        <v/>
      </c>
    </row>
    <row r="770" spans="20:29" x14ac:dyDescent="0.3">
      <c r="T770" s="29">
        <f t="shared" si="110"/>
        <v>0</v>
      </c>
      <c r="U770" s="29">
        <f t="shared" si="111"/>
        <v>0</v>
      </c>
      <c r="V770" s="29">
        <f t="shared" si="112"/>
        <v>0</v>
      </c>
      <c r="W770" s="29" t="str">
        <f t="shared" si="118"/>
        <v/>
      </c>
      <c r="X770" s="29" t="str">
        <f t="shared" si="113"/>
        <v/>
      </c>
      <c r="Y770" s="32" t="str">
        <f t="shared" si="114"/>
        <v/>
      </c>
      <c r="Z770" s="29" t="str">
        <f t="shared" si="115"/>
        <v/>
      </c>
      <c r="AA770" s="29" t="str">
        <f t="shared" si="119"/>
        <v/>
      </c>
      <c r="AB770" s="29" t="str">
        <f t="shared" si="116"/>
        <v/>
      </c>
      <c r="AC770" t="str">
        <f t="shared" si="117"/>
        <v/>
      </c>
    </row>
    <row r="771" spans="20:29" x14ac:dyDescent="0.3">
      <c r="T771" s="29">
        <f t="shared" ref="T771:T797" si="120">+O771/1.08</f>
        <v>0</v>
      </c>
      <c r="U771" s="29">
        <f t="shared" ref="U771:U797" si="121">+T771*N771</f>
        <v>0</v>
      </c>
      <c r="V771" s="29">
        <f t="shared" ref="V771:V797" si="122">+SUMIF(B:B,B771,U:U)</f>
        <v>0</v>
      </c>
      <c r="W771" s="29" t="str">
        <f t="shared" si="118"/>
        <v/>
      </c>
      <c r="X771" s="29" t="str">
        <f t="shared" ref="X771:X797" si="123">+IF(W771&lt;&gt;0,W771,"")</f>
        <v/>
      </c>
      <c r="Y771" s="32" t="str">
        <f t="shared" ref="Y771:Y797" si="124">+IF(X771&lt;&gt;"",8,"")</f>
        <v/>
      </c>
      <c r="Z771" s="29" t="str">
        <f t="shared" ref="Z771:Z797" si="125">+IF(X771&lt;&gt;"","VND","")</f>
        <v/>
      </c>
      <c r="AA771" s="29" t="str">
        <f t="shared" si="119"/>
        <v/>
      </c>
      <c r="AB771" s="29" t="str">
        <f t="shared" ref="AB771:AB797" si="126">+IF(AA771&lt;&gt;0,AA771,"")</f>
        <v/>
      </c>
      <c r="AC771" t="str">
        <f t="shared" ref="AC771:AC797" si="127">+IF(X771&lt;&gt;"","TM/CK","")</f>
        <v/>
      </c>
    </row>
    <row r="772" spans="20:29" x14ac:dyDescent="0.3">
      <c r="T772" s="29">
        <f t="shared" si="120"/>
        <v>0</v>
      </c>
      <c r="U772" s="29">
        <f t="shared" si="121"/>
        <v>0</v>
      </c>
      <c r="V772" s="29">
        <f t="shared" si="122"/>
        <v>0</v>
      </c>
      <c r="W772" s="29" t="str">
        <f t="shared" ref="W772:W797" si="128">+IF(V772=V771,"",V772)</f>
        <v/>
      </c>
      <c r="X772" s="29" t="str">
        <f t="shared" si="123"/>
        <v/>
      </c>
      <c r="Y772" s="32" t="str">
        <f t="shared" si="124"/>
        <v/>
      </c>
      <c r="Z772" s="29" t="str">
        <f t="shared" si="125"/>
        <v/>
      </c>
      <c r="AA772" s="29" t="str">
        <f t="shared" ref="AA772:AA797" si="129">+IF(B772=B771,"",E772)</f>
        <v/>
      </c>
      <c r="AB772" s="29" t="str">
        <f t="shared" si="126"/>
        <v/>
      </c>
      <c r="AC772" t="str">
        <f t="shared" si="127"/>
        <v/>
      </c>
    </row>
    <row r="773" spans="20:29" x14ac:dyDescent="0.3">
      <c r="T773" s="29">
        <f t="shared" si="120"/>
        <v>0</v>
      </c>
      <c r="U773" s="29">
        <f t="shared" si="121"/>
        <v>0</v>
      </c>
      <c r="V773" s="29">
        <f t="shared" si="122"/>
        <v>0</v>
      </c>
      <c r="W773" s="29" t="str">
        <f t="shared" si="128"/>
        <v/>
      </c>
      <c r="X773" s="29" t="str">
        <f t="shared" si="123"/>
        <v/>
      </c>
      <c r="Y773" s="32" t="str">
        <f t="shared" si="124"/>
        <v/>
      </c>
      <c r="Z773" s="29" t="str">
        <f t="shared" si="125"/>
        <v/>
      </c>
      <c r="AA773" s="29" t="str">
        <f t="shared" si="129"/>
        <v/>
      </c>
      <c r="AB773" s="29" t="str">
        <f t="shared" si="126"/>
        <v/>
      </c>
      <c r="AC773" t="str">
        <f t="shared" si="127"/>
        <v/>
      </c>
    </row>
    <row r="774" spans="20:29" x14ac:dyDescent="0.3">
      <c r="T774" s="29">
        <f t="shared" si="120"/>
        <v>0</v>
      </c>
      <c r="U774" s="29">
        <f t="shared" si="121"/>
        <v>0</v>
      </c>
      <c r="V774" s="29">
        <f t="shared" si="122"/>
        <v>0</v>
      </c>
      <c r="W774" s="29" t="str">
        <f t="shared" si="128"/>
        <v/>
      </c>
      <c r="X774" s="29" t="str">
        <f t="shared" si="123"/>
        <v/>
      </c>
      <c r="Y774" s="32" t="str">
        <f t="shared" si="124"/>
        <v/>
      </c>
      <c r="Z774" s="29" t="str">
        <f t="shared" si="125"/>
        <v/>
      </c>
      <c r="AA774" s="29" t="str">
        <f t="shared" si="129"/>
        <v/>
      </c>
      <c r="AB774" s="29" t="str">
        <f t="shared" si="126"/>
        <v/>
      </c>
      <c r="AC774" t="str">
        <f t="shared" si="127"/>
        <v/>
      </c>
    </row>
    <row r="775" spans="20:29" x14ac:dyDescent="0.3">
      <c r="T775" s="29">
        <f t="shared" si="120"/>
        <v>0</v>
      </c>
      <c r="U775" s="29">
        <f t="shared" si="121"/>
        <v>0</v>
      </c>
      <c r="V775" s="29">
        <f t="shared" si="122"/>
        <v>0</v>
      </c>
      <c r="W775" s="29" t="str">
        <f t="shared" si="128"/>
        <v/>
      </c>
      <c r="X775" s="29" t="str">
        <f t="shared" si="123"/>
        <v/>
      </c>
      <c r="Y775" s="32" t="str">
        <f t="shared" si="124"/>
        <v/>
      </c>
      <c r="Z775" s="29" t="str">
        <f t="shared" si="125"/>
        <v/>
      </c>
      <c r="AA775" s="29" t="str">
        <f t="shared" si="129"/>
        <v/>
      </c>
      <c r="AB775" s="29" t="str">
        <f t="shared" si="126"/>
        <v/>
      </c>
      <c r="AC775" t="str">
        <f t="shared" si="127"/>
        <v/>
      </c>
    </row>
    <row r="776" spans="20:29" x14ac:dyDescent="0.3">
      <c r="T776" s="29">
        <f t="shared" si="120"/>
        <v>0</v>
      </c>
      <c r="U776" s="29">
        <f t="shared" si="121"/>
        <v>0</v>
      </c>
      <c r="V776" s="29">
        <f t="shared" si="122"/>
        <v>0</v>
      </c>
      <c r="W776" s="29" t="str">
        <f t="shared" si="128"/>
        <v/>
      </c>
      <c r="X776" s="29" t="str">
        <f t="shared" si="123"/>
        <v/>
      </c>
      <c r="Y776" s="32" t="str">
        <f t="shared" si="124"/>
        <v/>
      </c>
      <c r="Z776" s="29" t="str">
        <f t="shared" si="125"/>
        <v/>
      </c>
      <c r="AA776" s="29" t="str">
        <f t="shared" si="129"/>
        <v/>
      </c>
      <c r="AB776" s="29" t="str">
        <f t="shared" si="126"/>
        <v/>
      </c>
      <c r="AC776" t="str">
        <f t="shared" si="127"/>
        <v/>
      </c>
    </row>
    <row r="777" spans="20:29" x14ac:dyDescent="0.3">
      <c r="T777" s="29">
        <f t="shared" si="120"/>
        <v>0</v>
      </c>
      <c r="U777" s="29">
        <f t="shared" si="121"/>
        <v>0</v>
      </c>
      <c r="V777" s="29">
        <f t="shared" si="122"/>
        <v>0</v>
      </c>
      <c r="W777" s="29" t="str">
        <f t="shared" si="128"/>
        <v/>
      </c>
      <c r="X777" s="29" t="str">
        <f t="shared" si="123"/>
        <v/>
      </c>
      <c r="Y777" s="32" t="str">
        <f t="shared" si="124"/>
        <v/>
      </c>
      <c r="Z777" s="29" t="str">
        <f t="shared" si="125"/>
        <v/>
      </c>
      <c r="AA777" s="29" t="str">
        <f t="shared" si="129"/>
        <v/>
      </c>
      <c r="AB777" s="29" t="str">
        <f t="shared" si="126"/>
        <v/>
      </c>
      <c r="AC777" t="str">
        <f t="shared" si="127"/>
        <v/>
      </c>
    </row>
    <row r="778" spans="20:29" x14ac:dyDescent="0.3">
      <c r="T778" s="29">
        <f t="shared" si="120"/>
        <v>0</v>
      </c>
      <c r="U778" s="29">
        <f t="shared" si="121"/>
        <v>0</v>
      </c>
      <c r="V778" s="29">
        <f t="shared" si="122"/>
        <v>0</v>
      </c>
      <c r="W778" s="29" t="str">
        <f t="shared" si="128"/>
        <v/>
      </c>
      <c r="X778" s="29" t="str">
        <f t="shared" si="123"/>
        <v/>
      </c>
      <c r="Y778" s="32" t="str">
        <f t="shared" si="124"/>
        <v/>
      </c>
      <c r="Z778" s="29" t="str">
        <f t="shared" si="125"/>
        <v/>
      </c>
      <c r="AA778" s="29" t="str">
        <f t="shared" si="129"/>
        <v/>
      </c>
      <c r="AB778" s="29" t="str">
        <f t="shared" si="126"/>
        <v/>
      </c>
      <c r="AC778" t="str">
        <f t="shared" si="127"/>
        <v/>
      </c>
    </row>
    <row r="779" spans="20:29" x14ac:dyDescent="0.3">
      <c r="T779" s="29">
        <f t="shared" si="120"/>
        <v>0</v>
      </c>
      <c r="U779" s="29">
        <f t="shared" si="121"/>
        <v>0</v>
      </c>
      <c r="V779" s="29">
        <f t="shared" si="122"/>
        <v>0</v>
      </c>
      <c r="W779" s="29" t="str">
        <f t="shared" si="128"/>
        <v/>
      </c>
      <c r="X779" s="29" t="str">
        <f t="shared" si="123"/>
        <v/>
      </c>
      <c r="Y779" s="32" t="str">
        <f t="shared" si="124"/>
        <v/>
      </c>
      <c r="Z779" s="29" t="str">
        <f t="shared" si="125"/>
        <v/>
      </c>
      <c r="AA779" s="29" t="str">
        <f t="shared" si="129"/>
        <v/>
      </c>
      <c r="AB779" s="29" t="str">
        <f t="shared" si="126"/>
        <v/>
      </c>
      <c r="AC779" t="str">
        <f t="shared" si="127"/>
        <v/>
      </c>
    </row>
    <row r="780" spans="20:29" x14ac:dyDescent="0.3">
      <c r="T780" s="29">
        <f t="shared" si="120"/>
        <v>0</v>
      </c>
      <c r="U780" s="29">
        <f t="shared" si="121"/>
        <v>0</v>
      </c>
      <c r="V780" s="29">
        <f t="shared" si="122"/>
        <v>0</v>
      </c>
      <c r="W780" s="29" t="str">
        <f t="shared" si="128"/>
        <v/>
      </c>
      <c r="X780" s="29" t="str">
        <f t="shared" si="123"/>
        <v/>
      </c>
      <c r="Y780" s="32" t="str">
        <f t="shared" si="124"/>
        <v/>
      </c>
      <c r="Z780" s="29" t="str">
        <f t="shared" si="125"/>
        <v/>
      </c>
      <c r="AA780" s="29" t="str">
        <f t="shared" si="129"/>
        <v/>
      </c>
      <c r="AB780" s="29" t="str">
        <f t="shared" si="126"/>
        <v/>
      </c>
      <c r="AC780" t="str">
        <f t="shared" si="127"/>
        <v/>
      </c>
    </row>
    <row r="781" spans="20:29" x14ac:dyDescent="0.3">
      <c r="T781" s="29">
        <f t="shared" si="120"/>
        <v>0</v>
      </c>
      <c r="U781" s="29">
        <f t="shared" si="121"/>
        <v>0</v>
      </c>
      <c r="V781" s="29">
        <f t="shared" si="122"/>
        <v>0</v>
      </c>
      <c r="W781" s="29" t="str">
        <f t="shared" si="128"/>
        <v/>
      </c>
      <c r="X781" s="29" t="str">
        <f t="shared" si="123"/>
        <v/>
      </c>
      <c r="Y781" s="32" t="str">
        <f t="shared" si="124"/>
        <v/>
      </c>
      <c r="Z781" s="29" t="str">
        <f t="shared" si="125"/>
        <v/>
      </c>
      <c r="AA781" s="29" t="str">
        <f t="shared" si="129"/>
        <v/>
      </c>
      <c r="AB781" s="29" t="str">
        <f t="shared" si="126"/>
        <v/>
      </c>
      <c r="AC781" t="str">
        <f t="shared" si="127"/>
        <v/>
      </c>
    </row>
    <row r="782" spans="20:29" x14ac:dyDescent="0.3">
      <c r="T782" s="29">
        <f t="shared" si="120"/>
        <v>0</v>
      </c>
      <c r="U782" s="29">
        <f t="shared" si="121"/>
        <v>0</v>
      </c>
      <c r="V782" s="29">
        <f t="shared" si="122"/>
        <v>0</v>
      </c>
      <c r="W782" s="29" t="str">
        <f t="shared" si="128"/>
        <v/>
      </c>
      <c r="X782" s="29" t="str">
        <f t="shared" si="123"/>
        <v/>
      </c>
      <c r="Y782" s="32" t="str">
        <f t="shared" si="124"/>
        <v/>
      </c>
      <c r="Z782" s="29" t="str">
        <f t="shared" si="125"/>
        <v/>
      </c>
      <c r="AA782" s="29" t="str">
        <f t="shared" si="129"/>
        <v/>
      </c>
      <c r="AB782" s="29" t="str">
        <f t="shared" si="126"/>
        <v/>
      </c>
      <c r="AC782" t="str">
        <f t="shared" si="127"/>
        <v/>
      </c>
    </row>
    <row r="783" spans="20:29" x14ac:dyDescent="0.3">
      <c r="T783" s="29">
        <f t="shared" si="120"/>
        <v>0</v>
      </c>
      <c r="U783" s="29">
        <f t="shared" si="121"/>
        <v>0</v>
      </c>
      <c r="V783" s="29">
        <f t="shared" si="122"/>
        <v>0</v>
      </c>
      <c r="W783" s="29" t="str">
        <f t="shared" si="128"/>
        <v/>
      </c>
      <c r="X783" s="29" t="str">
        <f t="shared" si="123"/>
        <v/>
      </c>
      <c r="Y783" s="32" t="str">
        <f t="shared" si="124"/>
        <v/>
      </c>
      <c r="Z783" s="29" t="str">
        <f t="shared" si="125"/>
        <v/>
      </c>
      <c r="AA783" s="29" t="str">
        <f t="shared" si="129"/>
        <v/>
      </c>
      <c r="AB783" s="29" t="str">
        <f t="shared" si="126"/>
        <v/>
      </c>
      <c r="AC783" t="str">
        <f t="shared" si="127"/>
        <v/>
      </c>
    </row>
    <row r="784" spans="20:29" x14ac:dyDescent="0.3">
      <c r="T784" s="29">
        <f t="shared" si="120"/>
        <v>0</v>
      </c>
      <c r="U784" s="29">
        <f t="shared" si="121"/>
        <v>0</v>
      </c>
      <c r="V784" s="29">
        <f t="shared" si="122"/>
        <v>0</v>
      </c>
      <c r="W784" s="29" t="str">
        <f t="shared" si="128"/>
        <v/>
      </c>
      <c r="X784" s="29" t="str">
        <f t="shared" si="123"/>
        <v/>
      </c>
      <c r="Y784" s="32" t="str">
        <f t="shared" si="124"/>
        <v/>
      </c>
      <c r="Z784" s="29" t="str">
        <f t="shared" si="125"/>
        <v/>
      </c>
      <c r="AA784" s="29" t="str">
        <f t="shared" si="129"/>
        <v/>
      </c>
      <c r="AB784" s="29" t="str">
        <f t="shared" si="126"/>
        <v/>
      </c>
      <c r="AC784" t="str">
        <f t="shared" si="127"/>
        <v/>
      </c>
    </row>
    <row r="785" spans="20:29" x14ac:dyDescent="0.3">
      <c r="T785" s="29">
        <f t="shared" si="120"/>
        <v>0</v>
      </c>
      <c r="U785" s="29">
        <f t="shared" si="121"/>
        <v>0</v>
      </c>
      <c r="V785" s="29">
        <f t="shared" si="122"/>
        <v>0</v>
      </c>
      <c r="W785" s="29" t="str">
        <f t="shared" si="128"/>
        <v/>
      </c>
      <c r="X785" s="29" t="str">
        <f t="shared" si="123"/>
        <v/>
      </c>
      <c r="Y785" s="32" t="str">
        <f t="shared" si="124"/>
        <v/>
      </c>
      <c r="Z785" s="29" t="str">
        <f t="shared" si="125"/>
        <v/>
      </c>
      <c r="AA785" s="29" t="str">
        <f t="shared" si="129"/>
        <v/>
      </c>
      <c r="AB785" s="29" t="str">
        <f t="shared" si="126"/>
        <v/>
      </c>
      <c r="AC785" t="str">
        <f t="shared" si="127"/>
        <v/>
      </c>
    </row>
    <row r="786" spans="20:29" x14ac:dyDescent="0.3">
      <c r="T786" s="29">
        <f t="shared" si="120"/>
        <v>0</v>
      </c>
      <c r="U786" s="29">
        <f t="shared" si="121"/>
        <v>0</v>
      </c>
      <c r="V786" s="29">
        <f t="shared" si="122"/>
        <v>0</v>
      </c>
      <c r="W786" s="29" t="str">
        <f t="shared" si="128"/>
        <v/>
      </c>
      <c r="X786" s="29" t="str">
        <f t="shared" si="123"/>
        <v/>
      </c>
      <c r="Y786" s="32" t="str">
        <f t="shared" si="124"/>
        <v/>
      </c>
      <c r="Z786" s="29" t="str">
        <f t="shared" si="125"/>
        <v/>
      </c>
      <c r="AA786" s="29" t="str">
        <f t="shared" si="129"/>
        <v/>
      </c>
      <c r="AB786" s="29" t="str">
        <f t="shared" si="126"/>
        <v/>
      </c>
      <c r="AC786" t="str">
        <f t="shared" si="127"/>
        <v/>
      </c>
    </row>
    <row r="787" spans="20:29" x14ac:dyDescent="0.3">
      <c r="T787" s="29">
        <f t="shared" si="120"/>
        <v>0</v>
      </c>
      <c r="U787" s="29">
        <f t="shared" si="121"/>
        <v>0</v>
      </c>
      <c r="V787" s="29">
        <f t="shared" si="122"/>
        <v>0</v>
      </c>
      <c r="W787" s="29" t="str">
        <f t="shared" si="128"/>
        <v/>
      </c>
      <c r="X787" s="29" t="str">
        <f t="shared" si="123"/>
        <v/>
      </c>
      <c r="Y787" s="32" t="str">
        <f t="shared" si="124"/>
        <v/>
      </c>
      <c r="Z787" s="29" t="str">
        <f t="shared" si="125"/>
        <v/>
      </c>
      <c r="AA787" s="29" t="str">
        <f t="shared" si="129"/>
        <v/>
      </c>
      <c r="AB787" s="29" t="str">
        <f t="shared" si="126"/>
        <v/>
      </c>
      <c r="AC787" t="str">
        <f t="shared" si="127"/>
        <v/>
      </c>
    </row>
    <row r="788" spans="20:29" x14ac:dyDescent="0.3">
      <c r="T788" s="29">
        <f t="shared" si="120"/>
        <v>0</v>
      </c>
      <c r="U788" s="29">
        <f t="shared" si="121"/>
        <v>0</v>
      </c>
      <c r="V788" s="29">
        <f t="shared" si="122"/>
        <v>0</v>
      </c>
      <c r="W788" s="29" t="str">
        <f t="shared" si="128"/>
        <v/>
      </c>
      <c r="X788" s="29" t="str">
        <f t="shared" si="123"/>
        <v/>
      </c>
      <c r="Y788" s="32" t="str">
        <f t="shared" si="124"/>
        <v/>
      </c>
      <c r="Z788" s="29" t="str">
        <f t="shared" si="125"/>
        <v/>
      </c>
      <c r="AA788" s="29" t="str">
        <f t="shared" si="129"/>
        <v/>
      </c>
      <c r="AB788" s="29" t="str">
        <f t="shared" si="126"/>
        <v/>
      </c>
      <c r="AC788" t="str">
        <f t="shared" si="127"/>
        <v/>
      </c>
    </row>
    <row r="789" spans="20:29" x14ac:dyDescent="0.3">
      <c r="T789" s="29">
        <f t="shared" si="120"/>
        <v>0</v>
      </c>
      <c r="U789" s="29">
        <f t="shared" si="121"/>
        <v>0</v>
      </c>
      <c r="V789" s="29">
        <f t="shared" si="122"/>
        <v>0</v>
      </c>
      <c r="W789" s="29" t="str">
        <f t="shared" si="128"/>
        <v/>
      </c>
      <c r="X789" s="29" t="str">
        <f t="shared" si="123"/>
        <v/>
      </c>
      <c r="Y789" s="32" t="str">
        <f t="shared" si="124"/>
        <v/>
      </c>
      <c r="Z789" s="29" t="str">
        <f t="shared" si="125"/>
        <v/>
      </c>
      <c r="AA789" s="29" t="str">
        <f t="shared" si="129"/>
        <v/>
      </c>
      <c r="AB789" s="29" t="str">
        <f t="shared" si="126"/>
        <v/>
      </c>
      <c r="AC789" t="str">
        <f t="shared" si="127"/>
        <v/>
      </c>
    </row>
    <row r="790" spans="20:29" x14ac:dyDescent="0.3">
      <c r="T790" s="29">
        <f t="shared" si="120"/>
        <v>0</v>
      </c>
      <c r="U790" s="29">
        <f t="shared" si="121"/>
        <v>0</v>
      </c>
      <c r="V790" s="29">
        <f t="shared" si="122"/>
        <v>0</v>
      </c>
      <c r="W790" s="29" t="str">
        <f t="shared" si="128"/>
        <v/>
      </c>
      <c r="X790" s="29" t="str">
        <f t="shared" si="123"/>
        <v/>
      </c>
      <c r="Y790" s="32" t="str">
        <f t="shared" si="124"/>
        <v/>
      </c>
      <c r="Z790" s="29" t="str">
        <f t="shared" si="125"/>
        <v/>
      </c>
      <c r="AA790" s="29" t="str">
        <f t="shared" si="129"/>
        <v/>
      </c>
      <c r="AB790" s="29" t="str">
        <f t="shared" si="126"/>
        <v/>
      </c>
      <c r="AC790" t="str">
        <f t="shared" si="127"/>
        <v/>
      </c>
    </row>
    <row r="791" spans="20:29" x14ac:dyDescent="0.3">
      <c r="T791" s="29">
        <f t="shared" si="120"/>
        <v>0</v>
      </c>
      <c r="U791" s="29">
        <f t="shared" si="121"/>
        <v>0</v>
      </c>
      <c r="V791" s="29">
        <f t="shared" si="122"/>
        <v>0</v>
      </c>
      <c r="W791" s="29" t="str">
        <f t="shared" si="128"/>
        <v/>
      </c>
      <c r="X791" s="29" t="str">
        <f t="shared" si="123"/>
        <v/>
      </c>
      <c r="Y791" s="32" t="str">
        <f t="shared" si="124"/>
        <v/>
      </c>
      <c r="Z791" s="29" t="str">
        <f t="shared" si="125"/>
        <v/>
      </c>
      <c r="AA791" s="29" t="str">
        <f t="shared" si="129"/>
        <v/>
      </c>
      <c r="AB791" s="29" t="str">
        <f t="shared" si="126"/>
        <v/>
      </c>
      <c r="AC791" t="str">
        <f t="shared" si="127"/>
        <v/>
      </c>
    </row>
    <row r="792" spans="20:29" x14ac:dyDescent="0.3">
      <c r="T792" s="29">
        <f t="shared" si="120"/>
        <v>0</v>
      </c>
      <c r="U792" s="29">
        <f t="shared" si="121"/>
        <v>0</v>
      </c>
      <c r="V792" s="29">
        <f t="shared" si="122"/>
        <v>0</v>
      </c>
      <c r="W792" s="29" t="str">
        <f t="shared" si="128"/>
        <v/>
      </c>
      <c r="X792" s="29" t="str">
        <f t="shared" si="123"/>
        <v/>
      </c>
      <c r="Y792" s="32" t="str">
        <f t="shared" si="124"/>
        <v/>
      </c>
      <c r="Z792" s="29" t="str">
        <f t="shared" si="125"/>
        <v/>
      </c>
      <c r="AA792" s="29" t="str">
        <f t="shared" si="129"/>
        <v/>
      </c>
      <c r="AB792" s="29" t="str">
        <f t="shared" si="126"/>
        <v/>
      </c>
      <c r="AC792" t="str">
        <f t="shared" si="127"/>
        <v/>
      </c>
    </row>
    <row r="793" spans="20:29" x14ac:dyDescent="0.3">
      <c r="T793" s="29">
        <f t="shared" si="120"/>
        <v>0</v>
      </c>
      <c r="U793" s="29">
        <f t="shared" si="121"/>
        <v>0</v>
      </c>
      <c r="V793" s="29">
        <f t="shared" si="122"/>
        <v>0</v>
      </c>
      <c r="W793" s="29" t="str">
        <f t="shared" si="128"/>
        <v/>
      </c>
      <c r="X793" s="29" t="str">
        <f t="shared" si="123"/>
        <v/>
      </c>
      <c r="Y793" s="32" t="str">
        <f t="shared" si="124"/>
        <v/>
      </c>
      <c r="Z793" s="29" t="str">
        <f t="shared" si="125"/>
        <v/>
      </c>
      <c r="AA793" s="29" t="str">
        <f t="shared" si="129"/>
        <v/>
      </c>
      <c r="AB793" s="29" t="str">
        <f t="shared" si="126"/>
        <v/>
      </c>
      <c r="AC793" t="str">
        <f t="shared" si="127"/>
        <v/>
      </c>
    </row>
    <row r="794" spans="20:29" x14ac:dyDescent="0.3">
      <c r="T794" s="29">
        <f t="shared" si="120"/>
        <v>0</v>
      </c>
      <c r="U794" s="29">
        <f t="shared" si="121"/>
        <v>0</v>
      </c>
      <c r="V794" s="29">
        <f t="shared" si="122"/>
        <v>0</v>
      </c>
      <c r="W794" s="29" t="str">
        <f t="shared" si="128"/>
        <v/>
      </c>
      <c r="X794" s="29" t="str">
        <f t="shared" si="123"/>
        <v/>
      </c>
      <c r="Y794" s="32" t="str">
        <f t="shared" si="124"/>
        <v/>
      </c>
      <c r="Z794" s="29" t="str">
        <f t="shared" si="125"/>
        <v/>
      </c>
      <c r="AA794" s="29" t="str">
        <f t="shared" si="129"/>
        <v/>
      </c>
      <c r="AB794" s="29" t="str">
        <f t="shared" si="126"/>
        <v/>
      </c>
      <c r="AC794" t="str">
        <f t="shared" si="127"/>
        <v/>
      </c>
    </row>
    <row r="795" spans="20:29" x14ac:dyDescent="0.3">
      <c r="T795" s="29">
        <f t="shared" si="120"/>
        <v>0</v>
      </c>
      <c r="U795" s="29">
        <f t="shared" si="121"/>
        <v>0</v>
      </c>
      <c r="V795" s="29">
        <f t="shared" si="122"/>
        <v>0</v>
      </c>
      <c r="W795" s="29" t="str">
        <f t="shared" si="128"/>
        <v/>
      </c>
      <c r="X795" s="29" t="str">
        <f t="shared" si="123"/>
        <v/>
      </c>
      <c r="Y795" s="32" t="str">
        <f t="shared" si="124"/>
        <v/>
      </c>
      <c r="Z795" s="29" t="str">
        <f t="shared" si="125"/>
        <v/>
      </c>
      <c r="AA795" s="29" t="str">
        <f t="shared" si="129"/>
        <v/>
      </c>
      <c r="AB795" s="29" t="str">
        <f t="shared" si="126"/>
        <v/>
      </c>
      <c r="AC795" t="str">
        <f t="shared" si="127"/>
        <v/>
      </c>
    </row>
    <row r="796" spans="20:29" x14ac:dyDescent="0.3">
      <c r="T796" s="29">
        <f t="shared" si="120"/>
        <v>0</v>
      </c>
      <c r="U796" s="29">
        <f t="shared" si="121"/>
        <v>0</v>
      </c>
      <c r="V796" s="29">
        <f t="shared" si="122"/>
        <v>0</v>
      </c>
      <c r="W796" s="29" t="str">
        <f t="shared" si="128"/>
        <v/>
      </c>
      <c r="X796" s="29" t="str">
        <f t="shared" si="123"/>
        <v/>
      </c>
      <c r="Y796" s="32" t="str">
        <f t="shared" si="124"/>
        <v/>
      </c>
      <c r="Z796" s="29" t="str">
        <f t="shared" si="125"/>
        <v/>
      </c>
      <c r="AA796" s="29" t="str">
        <f t="shared" si="129"/>
        <v/>
      </c>
      <c r="AB796" s="29" t="str">
        <f t="shared" si="126"/>
        <v/>
      </c>
      <c r="AC796" t="str">
        <f t="shared" si="127"/>
        <v/>
      </c>
    </row>
    <row r="797" spans="20:29" x14ac:dyDescent="0.3">
      <c r="T797" s="29">
        <f t="shared" si="120"/>
        <v>0</v>
      </c>
      <c r="U797" s="29">
        <f t="shared" si="121"/>
        <v>0</v>
      </c>
      <c r="V797" s="29">
        <f t="shared" si="122"/>
        <v>0</v>
      </c>
      <c r="W797" s="29" t="str">
        <f t="shared" si="128"/>
        <v/>
      </c>
      <c r="X797" s="29" t="str">
        <f t="shared" si="123"/>
        <v/>
      </c>
      <c r="Y797" s="32" t="str">
        <f t="shared" si="124"/>
        <v/>
      </c>
      <c r="Z797" s="29" t="str">
        <f t="shared" si="125"/>
        <v/>
      </c>
      <c r="AA797" s="29" t="str">
        <f t="shared" si="129"/>
        <v/>
      </c>
      <c r="AB797" s="29" t="str">
        <f t="shared" si="126"/>
        <v/>
      </c>
      <c r="AC797" t="str">
        <f t="shared" si="127"/>
        <v/>
      </c>
    </row>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E260-3339-4A06-AF3F-A1D26804DAD0}">
  <dimension ref="A1:I1090"/>
  <sheetViews>
    <sheetView topLeftCell="A1070" workbookViewId="0">
      <selection activeCell="F1091" sqref="F1091"/>
    </sheetView>
  </sheetViews>
  <sheetFormatPr defaultRowHeight="14.4" x14ac:dyDescent="0.3"/>
  <cols>
    <col min="2" max="2" width="47.44140625" customWidth="1"/>
    <col min="4" max="4" width="20.77734375" customWidth="1"/>
    <col min="5" max="5" width="25.5546875" customWidth="1"/>
    <col min="6" max="6" width="25.109375" customWidth="1"/>
    <col min="7" max="7" width="55.88671875" customWidth="1"/>
    <col min="8" max="8" width="70" customWidth="1"/>
  </cols>
  <sheetData>
    <row r="1" spans="1:8" x14ac:dyDescent="0.3">
      <c r="C1" t="s">
        <v>2571</v>
      </c>
      <c r="F1" t="e">
        <v>#NAME?</v>
      </c>
      <c r="G1" t="s">
        <v>2572</v>
      </c>
      <c r="H1" t="s">
        <v>2573</v>
      </c>
    </row>
    <row r="2" spans="1:8" x14ac:dyDescent="0.3">
      <c r="A2">
        <v>-45001563</v>
      </c>
      <c r="B2" t="s">
        <v>2574</v>
      </c>
      <c r="C2">
        <v>45001563</v>
      </c>
      <c r="D2" t="e">
        <v>#N/A</v>
      </c>
      <c r="E2" t="e">
        <v>#N/A</v>
      </c>
      <c r="F2" t="s">
        <v>2575</v>
      </c>
      <c r="G2" t="s">
        <v>2576</v>
      </c>
      <c r="H2" t="s">
        <v>2577</v>
      </c>
    </row>
    <row r="3" spans="1:8" x14ac:dyDescent="0.3">
      <c r="A3">
        <v>-4757667</v>
      </c>
      <c r="B3" t="s">
        <v>2826</v>
      </c>
      <c r="C3">
        <v>4757667</v>
      </c>
      <c r="D3" t="s">
        <v>2821</v>
      </c>
      <c r="E3" t="s">
        <v>2822</v>
      </c>
      <c r="F3">
        <v>1</v>
      </c>
      <c r="G3" t="s">
        <v>97</v>
      </c>
      <c r="H3" t="e">
        <v>#N/A</v>
      </c>
    </row>
    <row r="4" spans="1:8" x14ac:dyDescent="0.3">
      <c r="A4">
        <v>-4757647</v>
      </c>
      <c r="B4" t="s">
        <v>2901</v>
      </c>
      <c r="C4">
        <v>4757647</v>
      </c>
      <c r="D4" t="s">
        <v>2902</v>
      </c>
      <c r="E4" t="s">
        <v>2903</v>
      </c>
      <c r="F4">
        <v>1</v>
      </c>
      <c r="G4" t="s">
        <v>97</v>
      </c>
      <c r="H4" t="e">
        <v>#N/A</v>
      </c>
    </row>
    <row r="5" spans="1:8" x14ac:dyDescent="0.3">
      <c r="A5">
        <v>-4501963</v>
      </c>
      <c r="B5" t="s">
        <v>2938</v>
      </c>
      <c r="C5">
        <v>4501963</v>
      </c>
      <c r="D5" t="s">
        <v>2938</v>
      </c>
      <c r="E5" t="s">
        <v>2939</v>
      </c>
      <c r="F5">
        <v>1</v>
      </c>
      <c r="G5" t="s">
        <v>97</v>
      </c>
      <c r="H5" t="e">
        <v>#N/A</v>
      </c>
    </row>
    <row r="6" spans="1:8" x14ac:dyDescent="0.3">
      <c r="A6">
        <v>-4501910</v>
      </c>
      <c r="B6" t="s">
        <v>2809</v>
      </c>
      <c r="C6">
        <v>4501910</v>
      </c>
      <c r="D6" t="s">
        <v>2809</v>
      </c>
      <c r="E6" t="s">
        <v>2939</v>
      </c>
      <c r="F6">
        <v>1</v>
      </c>
      <c r="G6" t="s">
        <v>97</v>
      </c>
      <c r="H6" t="e">
        <v>#N/A</v>
      </c>
    </row>
    <row r="7" spans="1:8" x14ac:dyDescent="0.3">
      <c r="A7">
        <v>-4501453</v>
      </c>
      <c r="B7" t="s">
        <v>3862</v>
      </c>
      <c r="C7">
        <v>4501453</v>
      </c>
      <c r="D7" t="s">
        <v>3863</v>
      </c>
      <c r="E7" t="s">
        <v>3017</v>
      </c>
      <c r="F7">
        <v>1</v>
      </c>
      <c r="G7" t="s">
        <v>97</v>
      </c>
      <c r="H7" t="e">
        <v>#N/A</v>
      </c>
    </row>
    <row r="8" spans="1:8" x14ac:dyDescent="0.3">
      <c r="A8">
        <v>-4501361</v>
      </c>
      <c r="B8" t="s">
        <v>3954</v>
      </c>
      <c r="C8">
        <v>4501361</v>
      </c>
      <c r="D8" t="s">
        <v>3955</v>
      </c>
      <c r="E8" t="s">
        <v>3131</v>
      </c>
      <c r="F8">
        <v>1</v>
      </c>
      <c r="G8" t="s">
        <v>97</v>
      </c>
      <c r="H8" t="e">
        <v>#N/A</v>
      </c>
    </row>
    <row r="9" spans="1:8" x14ac:dyDescent="0.3">
      <c r="A9">
        <v>-4501133</v>
      </c>
      <c r="B9" t="s">
        <v>3759</v>
      </c>
      <c r="C9">
        <v>4501133</v>
      </c>
      <c r="D9" t="s">
        <v>3759</v>
      </c>
      <c r="E9" t="s">
        <v>4267</v>
      </c>
      <c r="F9">
        <v>1</v>
      </c>
      <c r="G9" t="s">
        <v>97</v>
      </c>
      <c r="H9" t="e">
        <v>#N/A</v>
      </c>
    </row>
    <row r="10" spans="1:8" x14ac:dyDescent="0.3">
      <c r="A10">
        <v>-4499783</v>
      </c>
      <c r="B10" t="s">
        <v>5616</v>
      </c>
      <c r="C10">
        <v>4499783</v>
      </c>
      <c r="D10" t="s">
        <v>5616</v>
      </c>
      <c r="E10" t="s">
        <v>4885</v>
      </c>
      <c r="F10">
        <v>1</v>
      </c>
      <c r="G10" t="s">
        <v>97</v>
      </c>
      <c r="H10" t="e">
        <v>#N/A</v>
      </c>
    </row>
    <row r="11" spans="1:8" x14ac:dyDescent="0.3">
      <c r="A11">
        <v>4501252</v>
      </c>
      <c r="B11" t="e">
        <v>#NAME?</v>
      </c>
      <c r="C11">
        <v>4501252</v>
      </c>
      <c r="D11" t="s">
        <v>5995</v>
      </c>
      <c r="E11" t="s">
        <v>2964</v>
      </c>
      <c r="F11">
        <v>1</v>
      </c>
      <c r="G11" t="s">
        <v>97</v>
      </c>
      <c r="H11" t="e">
        <v>#N/A</v>
      </c>
    </row>
    <row r="12" spans="1:8" x14ac:dyDescent="0.3">
      <c r="A12" t="s">
        <v>6006</v>
      </c>
      <c r="B12" t="e">
        <v>#NAME?</v>
      </c>
      <c r="C12" t="s">
        <v>6007</v>
      </c>
      <c r="D12" t="e">
        <v>#N/A</v>
      </c>
      <c r="E12" t="e">
        <v>#N/A</v>
      </c>
      <c r="F12">
        <v>1</v>
      </c>
      <c r="G12" t="s">
        <v>97</v>
      </c>
      <c r="H12" t="e">
        <v>#N/A</v>
      </c>
    </row>
    <row r="13" spans="1:8" x14ac:dyDescent="0.3">
      <c r="A13" t="s">
        <v>6015</v>
      </c>
      <c r="B13" t="e">
        <v>#NAME?</v>
      </c>
      <c r="C13" t="s">
        <v>6016</v>
      </c>
      <c r="D13" t="e">
        <v>#N/A</v>
      </c>
      <c r="E13" t="e">
        <v>#N/A</v>
      </c>
      <c r="F13">
        <v>1</v>
      </c>
      <c r="G13" t="s">
        <v>97</v>
      </c>
      <c r="H13" t="e">
        <v>#N/A</v>
      </c>
    </row>
    <row r="14" spans="1:8" x14ac:dyDescent="0.3">
      <c r="A14" t="s">
        <v>6017</v>
      </c>
      <c r="B14" t="e">
        <v>#NAME?</v>
      </c>
      <c r="C14" t="s">
        <v>6018</v>
      </c>
      <c r="D14" t="e">
        <v>#N/A</v>
      </c>
      <c r="E14" t="e">
        <v>#N/A</v>
      </c>
      <c r="F14">
        <v>1</v>
      </c>
      <c r="G14" t="s">
        <v>97</v>
      </c>
      <c r="H14" t="e">
        <v>#N/A</v>
      </c>
    </row>
    <row r="15" spans="1:8" x14ac:dyDescent="0.3">
      <c r="A15" t="s">
        <v>6025</v>
      </c>
      <c r="B15" t="e">
        <v>#NAME?</v>
      </c>
      <c r="C15">
        <v>1</v>
      </c>
      <c r="D15" t="e">
        <v>#N/A</v>
      </c>
      <c r="E15" t="e">
        <v>#N/A</v>
      </c>
      <c r="F15">
        <v>1</v>
      </c>
      <c r="G15" t="s">
        <v>97</v>
      </c>
      <c r="H15" t="e">
        <v>#N/A</v>
      </c>
    </row>
    <row r="16" spans="1:8" x14ac:dyDescent="0.3">
      <c r="A16" t="s">
        <v>6411</v>
      </c>
      <c r="C16" t="e">
        <v>#VALUE!</v>
      </c>
      <c r="D16" t="e">
        <v>#VALUE!</v>
      </c>
      <c r="E16" t="e">
        <v>#VALUE!</v>
      </c>
      <c r="F16">
        <v>1</v>
      </c>
      <c r="G16" t="s">
        <v>97</v>
      </c>
      <c r="H16" t="e">
        <v>#N/A</v>
      </c>
    </row>
    <row r="17" spans="1:9" x14ac:dyDescent="0.3">
      <c r="A17">
        <v>-4757649</v>
      </c>
      <c r="B17" t="s">
        <v>2896</v>
      </c>
      <c r="C17">
        <v>4757649</v>
      </c>
      <c r="D17" t="s">
        <v>2897</v>
      </c>
      <c r="E17" t="s">
        <v>2898</v>
      </c>
      <c r="F17">
        <v>1001319383</v>
      </c>
      <c r="G17" t="s">
        <v>2899</v>
      </c>
      <c r="H17" t="s">
        <v>2900</v>
      </c>
    </row>
    <row r="18" spans="1:9" x14ac:dyDescent="0.3">
      <c r="A18">
        <v>-4501887</v>
      </c>
      <c r="B18" t="s">
        <v>3053</v>
      </c>
      <c r="C18">
        <v>4501887</v>
      </c>
      <c r="D18" t="s">
        <v>3054</v>
      </c>
      <c r="E18" t="s">
        <v>2939</v>
      </c>
      <c r="F18" t="s">
        <v>3055</v>
      </c>
      <c r="G18" t="s">
        <v>3056</v>
      </c>
      <c r="H18" t="s">
        <v>3057</v>
      </c>
    </row>
    <row r="19" spans="1:9" x14ac:dyDescent="0.3">
      <c r="A19">
        <v>-4499782</v>
      </c>
      <c r="B19" t="s">
        <v>5617</v>
      </c>
      <c r="C19">
        <v>4499782</v>
      </c>
      <c r="D19" t="s">
        <v>5618</v>
      </c>
      <c r="E19" t="s">
        <v>4885</v>
      </c>
      <c r="F19" t="s">
        <v>6767</v>
      </c>
      <c r="G19" t="s">
        <v>6768</v>
      </c>
      <c r="H19" t="s">
        <v>2694</v>
      </c>
    </row>
    <row r="20" spans="1:9" x14ac:dyDescent="0.3">
      <c r="A20">
        <v>-4500620</v>
      </c>
      <c r="B20" t="s">
        <v>4898</v>
      </c>
      <c r="C20">
        <v>4500620</v>
      </c>
      <c r="D20" t="s">
        <v>4899</v>
      </c>
      <c r="E20" t="s">
        <v>3372</v>
      </c>
      <c r="F20" t="s">
        <v>4900</v>
      </c>
      <c r="G20" t="s">
        <v>4901</v>
      </c>
      <c r="H20" t="s">
        <v>4902</v>
      </c>
    </row>
    <row r="21" spans="1:9" x14ac:dyDescent="0.3">
      <c r="A21">
        <v>-4499692</v>
      </c>
      <c r="B21" t="s">
        <v>5691</v>
      </c>
      <c r="C21">
        <v>4499692</v>
      </c>
      <c r="D21" t="s">
        <v>5692</v>
      </c>
      <c r="E21" t="s">
        <v>3834</v>
      </c>
      <c r="F21" t="s">
        <v>5693</v>
      </c>
      <c r="G21" t="s">
        <v>5694</v>
      </c>
      <c r="H21" t="s">
        <v>2633</v>
      </c>
    </row>
    <row r="22" spans="1:9" x14ac:dyDescent="0.3">
      <c r="A22">
        <v>-4500813</v>
      </c>
      <c r="B22" t="s">
        <v>4703</v>
      </c>
      <c r="C22">
        <v>4500813</v>
      </c>
      <c r="D22" t="s">
        <v>4704</v>
      </c>
      <c r="E22" t="s">
        <v>4705</v>
      </c>
      <c r="F22" t="s">
        <v>4706</v>
      </c>
      <c r="G22" t="s">
        <v>97</v>
      </c>
      <c r="H22" t="e">
        <v>#N/A</v>
      </c>
    </row>
    <row r="23" spans="1:9" x14ac:dyDescent="0.3">
      <c r="A23">
        <v>-4757668</v>
      </c>
      <c r="B23" t="s">
        <v>2814</v>
      </c>
      <c r="C23">
        <v>4757668</v>
      </c>
      <c r="D23" t="s">
        <v>2815</v>
      </c>
      <c r="E23" t="s">
        <v>2816</v>
      </c>
      <c r="F23" t="s">
        <v>2817</v>
      </c>
      <c r="G23" t="s">
        <v>2818</v>
      </c>
      <c r="H23" t="s">
        <v>2819</v>
      </c>
    </row>
    <row r="24" spans="1:9" x14ac:dyDescent="0.3">
      <c r="A24">
        <v>-4499997</v>
      </c>
      <c r="B24" t="s">
        <v>5423</v>
      </c>
      <c r="C24">
        <v>4499997</v>
      </c>
      <c r="D24" t="s">
        <v>4114</v>
      </c>
      <c r="E24" t="s">
        <v>2939</v>
      </c>
      <c r="F24" t="s">
        <v>5424</v>
      </c>
      <c r="G24" t="s">
        <v>5425</v>
      </c>
      <c r="H24" t="s">
        <v>5426</v>
      </c>
    </row>
    <row r="25" spans="1:9" x14ac:dyDescent="0.3">
      <c r="A25" t="s">
        <v>6303</v>
      </c>
      <c r="B25" t="s">
        <v>6325</v>
      </c>
      <c r="C25">
        <v>1</v>
      </c>
      <c r="D25" t="e">
        <v>#N/A</v>
      </c>
      <c r="E25" t="e">
        <v>#N/A</v>
      </c>
      <c r="F25" t="s">
        <v>6326</v>
      </c>
      <c r="G25" t="s">
        <v>6327</v>
      </c>
      <c r="H25" t="s">
        <v>4203</v>
      </c>
    </row>
    <row r="26" spans="1:9" x14ac:dyDescent="0.3">
      <c r="A26">
        <v>-4501574</v>
      </c>
      <c r="B26" t="s">
        <v>3658</v>
      </c>
      <c r="C26">
        <v>4501574</v>
      </c>
      <c r="D26" t="s">
        <v>3659</v>
      </c>
      <c r="E26" t="s">
        <v>3655</v>
      </c>
      <c r="F26" t="s">
        <v>3660</v>
      </c>
      <c r="G26" t="s">
        <v>3661</v>
      </c>
      <c r="H26" t="s">
        <v>2633</v>
      </c>
    </row>
    <row r="27" spans="1:9" x14ac:dyDescent="0.3">
      <c r="A27">
        <v>-4994025</v>
      </c>
      <c r="B27" t="s">
        <v>2712</v>
      </c>
      <c r="C27">
        <v>4994025</v>
      </c>
      <c r="D27" t="s">
        <v>2713</v>
      </c>
      <c r="E27" t="s">
        <v>2714</v>
      </c>
      <c r="F27" t="s">
        <v>2715</v>
      </c>
      <c r="G27" t="s">
        <v>2716</v>
      </c>
      <c r="H27" t="s">
        <v>2717</v>
      </c>
    </row>
    <row r="28" spans="1:9" x14ac:dyDescent="0.3">
      <c r="A28">
        <v>-4501506</v>
      </c>
      <c r="B28" t="s">
        <v>3795</v>
      </c>
      <c r="C28">
        <v>4501506</v>
      </c>
      <c r="D28" t="s">
        <v>3796</v>
      </c>
      <c r="E28" t="s">
        <v>3793</v>
      </c>
      <c r="F28" t="s">
        <v>3797</v>
      </c>
      <c r="G28" t="s">
        <v>97</v>
      </c>
      <c r="H28" t="e">
        <v>#N/A</v>
      </c>
    </row>
    <row r="29" spans="1:9" x14ac:dyDescent="0.3">
      <c r="A29">
        <v>-4501256</v>
      </c>
      <c r="B29" t="s">
        <v>4118</v>
      </c>
      <c r="C29">
        <v>4501256</v>
      </c>
      <c r="D29" t="s">
        <v>4119</v>
      </c>
      <c r="E29" t="s">
        <v>4120</v>
      </c>
      <c r="F29" t="s">
        <v>4121</v>
      </c>
      <c r="G29" t="s">
        <v>4122</v>
      </c>
      <c r="H29" t="s">
        <v>4123</v>
      </c>
    </row>
    <row r="30" spans="1:9" x14ac:dyDescent="0.3">
      <c r="A30">
        <v>-4499569</v>
      </c>
      <c r="B30" t="s">
        <v>5828</v>
      </c>
      <c r="C30">
        <v>4499569</v>
      </c>
      <c r="D30" t="s">
        <v>5829</v>
      </c>
      <c r="E30" t="s">
        <v>4213</v>
      </c>
      <c r="F30" t="s">
        <v>5830</v>
      </c>
      <c r="G30" t="s">
        <v>5831</v>
      </c>
      <c r="H30" t="s">
        <v>4088</v>
      </c>
    </row>
    <row r="31" spans="1:9" x14ac:dyDescent="0.3">
      <c r="A31">
        <v>-4501585</v>
      </c>
      <c r="B31" t="s">
        <v>3632</v>
      </c>
      <c r="C31">
        <v>4501585</v>
      </c>
      <c r="D31" t="s">
        <v>3633</v>
      </c>
      <c r="E31" t="s">
        <v>3634</v>
      </c>
      <c r="F31" t="s">
        <v>3635</v>
      </c>
      <c r="G31" t="s">
        <v>3636</v>
      </c>
      <c r="H31" t="s">
        <v>3637</v>
      </c>
      <c r="I31" t="s">
        <v>3638</v>
      </c>
    </row>
    <row r="32" spans="1:9" x14ac:dyDescent="0.3">
      <c r="A32">
        <v>-4501298</v>
      </c>
      <c r="B32" t="s">
        <v>4035</v>
      </c>
      <c r="C32">
        <v>4501298</v>
      </c>
      <c r="D32" t="s">
        <v>4036</v>
      </c>
      <c r="E32" t="s">
        <v>4037</v>
      </c>
      <c r="F32" t="s">
        <v>4038</v>
      </c>
      <c r="G32" t="s">
        <v>4039</v>
      </c>
      <c r="H32" t="s">
        <v>4040</v>
      </c>
    </row>
    <row r="33" spans="1:8" x14ac:dyDescent="0.3">
      <c r="A33">
        <v>-4500146</v>
      </c>
      <c r="B33" t="s">
        <v>5269</v>
      </c>
      <c r="C33">
        <v>4500146</v>
      </c>
      <c r="D33" t="s">
        <v>5270</v>
      </c>
      <c r="E33" t="s">
        <v>3634</v>
      </c>
      <c r="F33" t="s">
        <v>2653</v>
      </c>
      <c r="G33" t="s">
        <v>2654</v>
      </c>
      <c r="H33" t="s">
        <v>2645</v>
      </c>
    </row>
    <row r="34" spans="1:8" x14ac:dyDescent="0.3">
      <c r="A34">
        <v>-4501332</v>
      </c>
      <c r="B34" t="s">
        <v>4003</v>
      </c>
      <c r="C34">
        <v>4501332</v>
      </c>
      <c r="D34" t="s">
        <v>3032</v>
      </c>
      <c r="E34" t="s">
        <v>4000</v>
      </c>
      <c r="F34" t="s">
        <v>4001</v>
      </c>
      <c r="G34" t="s">
        <v>4002</v>
      </c>
      <c r="H34" t="s">
        <v>3025</v>
      </c>
    </row>
    <row r="35" spans="1:8" x14ac:dyDescent="0.3">
      <c r="A35">
        <v>-4500208</v>
      </c>
      <c r="B35" t="s">
        <v>5215</v>
      </c>
      <c r="C35">
        <v>4500208</v>
      </c>
      <c r="D35" t="s">
        <v>5216</v>
      </c>
      <c r="E35" t="s">
        <v>4000</v>
      </c>
      <c r="F35" t="s">
        <v>6708</v>
      </c>
      <c r="G35" t="s">
        <v>3206</v>
      </c>
      <c r="H35" t="s">
        <v>6693</v>
      </c>
    </row>
    <row r="36" spans="1:8" x14ac:dyDescent="0.3">
      <c r="A36">
        <v>-4500606</v>
      </c>
      <c r="B36" t="s">
        <v>4910</v>
      </c>
      <c r="C36">
        <v>4500606</v>
      </c>
      <c r="D36" t="s">
        <v>4911</v>
      </c>
      <c r="E36" t="s">
        <v>2998</v>
      </c>
      <c r="F36" t="s">
        <v>4691</v>
      </c>
      <c r="G36" t="s">
        <v>4692</v>
      </c>
      <c r="H36" t="s">
        <v>4693</v>
      </c>
    </row>
    <row r="37" spans="1:8" x14ac:dyDescent="0.3">
      <c r="A37">
        <v>-4501291</v>
      </c>
      <c r="B37" t="s">
        <v>4048</v>
      </c>
      <c r="C37">
        <v>4501291</v>
      </c>
      <c r="D37" t="s">
        <v>4049</v>
      </c>
      <c r="E37" t="s">
        <v>4044</v>
      </c>
      <c r="F37" t="s">
        <v>6187</v>
      </c>
      <c r="G37" t="s">
        <v>6188</v>
      </c>
      <c r="H37" t="s">
        <v>6189</v>
      </c>
    </row>
    <row r="38" spans="1:8" x14ac:dyDescent="0.3">
      <c r="A38">
        <v>-4501173</v>
      </c>
      <c r="B38" t="s">
        <v>4232</v>
      </c>
      <c r="C38">
        <v>4501173</v>
      </c>
      <c r="D38" t="s">
        <v>4233</v>
      </c>
      <c r="E38" t="s">
        <v>4234</v>
      </c>
      <c r="F38" t="s">
        <v>6502</v>
      </c>
      <c r="G38" t="s">
        <v>6503</v>
      </c>
      <c r="H38" t="s">
        <v>2779</v>
      </c>
    </row>
    <row r="39" spans="1:8" x14ac:dyDescent="0.3">
      <c r="A39">
        <v>-4499375</v>
      </c>
      <c r="B39" t="s">
        <v>5977</v>
      </c>
      <c r="C39">
        <v>4499375</v>
      </c>
      <c r="D39" t="s">
        <v>5978</v>
      </c>
      <c r="E39" t="s">
        <v>4441</v>
      </c>
      <c r="F39" t="s">
        <v>5979</v>
      </c>
      <c r="G39" t="s">
        <v>5980</v>
      </c>
      <c r="H39" t="s">
        <v>4581</v>
      </c>
    </row>
    <row r="40" spans="1:8" x14ac:dyDescent="0.3">
      <c r="A40">
        <v>-4501333</v>
      </c>
      <c r="B40" t="s">
        <v>3996</v>
      </c>
      <c r="C40">
        <v>4501333</v>
      </c>
      <c r="D40" t="s">
        <v>3997</v>
      </c>
      <c r="E40" t="s">
        <v>3151</v>
      </c>
      <c r="F40" t="s">
        <v>3998</v>
      </c>
      <c r="G40" t="s">
        <v>3999</v>
      </c>
      <c r="H40" t="s">
        <v>2803</v>
      </c>
    </row>
    <row r="41" spans="1:8" x14ac:dyDescent="0.3">
      <c r="A41">
        <v>-4757659</v>
      </c>
      <c r="B41" t="s">
        <v>2852</v>
      </c>
      <c r="C41">
        <v>4757659</v>
      </c>
      <c r="D41" t="s">
        <v>2853</v>
      </c>
      <c r="E41" t="s">
        <v>2854</v>
      </c>
      <c r="F41" t="s">
        <v>2855</v>
      </c>
      <c r="G41" t="s">
        <v>2856</v>
      </c>
      <c r="H41" t="s">
        <v>2857</v>
      </c>
    </row>
    <row r="42" spans="1:8" x14ac:dyDescent="0.3">
      <c r="A42" t="s">
        <v>6151</v>
      </c>
      <c r="B42" t="s">
        <v>6152</v>
      </c>
      <c r="C42">
        <v>4500761</v>
      </c>
      <c r="D42" t="s">
        <v>3967</v>
      </c>
      <c r="E42" t="s">
        <v>2708</v>
      </c>
      <c r="F42" t="s">
        <v>6153</v>
      </c>
      <c r="G42" t="s">
        <v>6154</v>
      </c>
      <c r="H42" t="s">
        <v>2779</v>
      </c>
    </row>
    <row r="43" spans="1:8" x14ac:dyDescent="0.3">
      <c r="A43">
        <v>-4500074</v>
      </c>
      <c r="B43" t="s">
        <v>5337</v>
      </c>
      <c r="C43">
        <v>4500074</v>
      </c>
      <c r="D43" t="s">
        <v>5338</v>
      </c>
      <c r="E43" t="s">
        <v>4026</v>
      </c>
      <c r="F43" t="s">
        <v>5339</v>
      </c>
      <c r="G43" t="s">
        <v>5340</v>
      </c>
      <c r="H43" t="s">
        <v>3450</v>
      </c>
    </row>
    <row r="44" spans="1:8" x14ac:dyDescent="0.3">
      <c r="A44">
        <v>-4501948</v>
      </c>
      <c r="B44" t="s">
        <v>2968</v>
      </c>
      <c r="C44">
        <v>4501948</v>
      </c>
      <c r="D44" t="s">
        <v>2969</v>
      </c>
      <c r="E44" t="s">
        <v>2970</v>
      </c>
      <c r="F44" t="s">
        <v>2971</v>
      </c>
      <c r="G44" t="s">
        <v>2972</v>
      </c>
      <c r="H44" t="s">
        <v>2577</v>
      </c>
    </row>
    <row r="45" spans="1:8" x14ac:dyDescent="0.3">
      <c r="A45">
        <v>-4499989</v>
      </c>
      <c r="B45" t="s">
        <v>5429</v>
      </c>
      <c r="C45">
        <v>1</v>
      </c>
      <c r="D45" t="e">
        <v>#N/A</v>
      </c>
      <c r="E45" t="e">
        <v>#N/A</v>
      </c>
      <c r="F45" t="s">
        <v>5430</v>
      </c>
      <c r="G45" t="s">
        <v>5431</v>
      </c>
      <c r="H45" t="s">
        <v>5432</v>
      </c>
    </row>
    <row r="46" spans="1:8" x14ac:dyDescent="0.3">
      <c r="A46" t="s">
        <v>6121</v>
      </c>
      <c r="B46" t="s">
        <v>6122</v>
      </c>
      <c r="C46">
        <v>4500513</v>
      </c>
      <c r="D46" t="s">
        <v>4958</v>
      </c>
      <c r="E46" t="s">
        <v>4756</v>
      </c>
      <c r="F46" t="s">
        <v>6820</v>
      </c>
      <c r="G46" t="s">
        <v>6821</v>
      </c>
      <c r="H46" t="s">
        <v>2769</v>
      </c>
    </row>
    <row r="47" spans="1:8" x14ac:dyDescent="0.3">
      <c r="A47">
        <v>-4501251</v>
      </c>
      <c r="B47" t="s">
        <v>4128</v>
      </c>
      <c r="C47">
        <v>4501251</v>
      </c>
      <c r="D47" t="s">
        <v>4129</v>
      </c>
      <c r="E47" t="s">
        <v>4091</v>
      </c>
      <c r="F47" t="s">
        <v>6479</v>
      </c>
      <c r="G47" t="s">
        <v>6480</v>
      </c>
      <c r="H47" t="s">
        <v>4088</v>
      </c>
    </row>
    <row r="48" spans="1:8" x14ac:dyDescent="0.3">
      <c r="A48" t="s">
        <v>6123</v>
      </c>
      <c r="B48" t="s">
        <v>6124</v>
      </c>
      <c r="C48">
        <v>4500525</v>
      </c>
      <c r="D48" t="s">
        <v>6125</v>
      </c>
      <c r="E48" t="s">
        <v>3121</v>
      </c>
      <c r="F48" t="s">
        <v>5594</v>
      </c>
      <c r="G48" t="s">
        <v>97</v>
      </c>
      <c r="H48" t="e">
        <v>#N/A</v>
      </c>
    </row>
    <row r="49" spans="1:8" x14ac:dyDescent="0.3">
      <c r="A49">
        <v>-4500016</v>
      </c>
      <c r="B49" t="s">
        <v>5408</v>
      </c>
      <c r="C49">
        <v>4500016</v>
      </c>
      <c r="D49" t="s">
        <v>3117</v>
      </c>
      <c r="E49" t="s">
        <v>3585</v>
      </c>
      <c r="F49" t="s">
        <v>5409</v>
      </c>
      <c r="G49" t="s">
        <v>5410</v>
      </c>
      <c r="H49" t="s">
        <v>2613</v>
      </c>
    </row>
    <row r="50" spans="1:8" x14ac:dyDescent="0.3">
      <c r="A50">
        <v>-4501780</v>
      </c>
      <c r="B50" t="s">
        <v>3260</v>
      </c>
      <c r="C50">
        <v>4501780</v>
      </c>
      <c r="D50" t="s">
        <v>3261</v>
      </c>
      <c r="E50" t="s">
        <v>3262</v>
      </c>
      <c r="F50" t="s">
        <v>3263</v>
      </c>
      <c r="G50" t="s">
        <v>3264</v>
      </c>
      <c r="H50" t="s">
        <v>2613</v>
      </c>
    </row>
    <row r="51" spans="1:8" x14ac:dyDescent="0.3">
      <c r="A51">
        <v>-4501773</v>
      </c>
      <c r="B51" t="s">
        <v>3270</v>
      </c>
      <c r="C51">
        <v>4501773</v>
      </c>
      <c r="D51" t="s">
        <v>3271</v>
      </c>
      <c r="E51" t="s">
        <v>3262</v>
      </c>
      <c r="F51" t="s">
        <v>3272</v>
      </c>
      <c r="G51" t="s">
        <v>3273</v>
      </c>
      <c r="H51" t="s">
        <v>3274</v>
      </c>
    </row>
    <row r="52" spans="1:8" x14ac:dyDescent="0.3">
      <c r="A52">
        <v>-4994136</v>
      </c>
      <c r="B52" t="s">
        <v>2602</v>
      </c>
      <c r="C52">
        <v>4994136</v>
      </c>
      <c r="D52" t="s">
        <v>2603</v>
      </c>
      <c r="E52" t="s">
        <v>2604</v>
      </c>
      <c r="F52" t="s">
        <v>2605</v>
      </c>
      <c r="G52" t="s">
        <v>2606</v>
      </c>
      <c r="H52" t="s">
        <v>2607</v>
      </c>
    </row>
    <row r="53" spans="1:8" x14ac:dyDescent="0.3">
      <c r="A53">
        <v>-4501187</v>
      </c>
      <c r="B53" t="s">
        <v>4211</v>
      </c>
      <c r="C53">
        <v>4501187</v>
      </c>
      <c r="D53" t="s">
        <v>4212</v>
      </c>
      <c r="E53" t="s">
        <v>4213</v>
      </c>
      <c r="F53" t="s">
        <v>6494</v>
      </c>
      <c r="G53" t="s">
        <v>6495</v>
      </c>
      <c r="H53" t="s">
        <v>4088</v>
      </c>
    </row>
    <row r="54" spans="1:8" x14ac:dyDescent="0.3">
      <c r="A54">
        <v>-4501334</v>
      </c>
      <c r="B54" t="s">
        <v>3992</v>
      </c>
      <c r="C54">
        <v>4501334</v>
      </c>
      <c r="D54" t="s">
        <v>3993</v>
      </c>
      <c r="E54" t="s">
        <v>3151</v>
      </c>
      <c r="F54" t="s">
        <v>3994</v>
      </c>
      <c r="G54" t="s">
        <v>3995</v>
      </c>
      <c r="H54" t="s">
        <v>2779</v>
      </c>
    </row>
    <row r="55" spans="1:8" x14ac:dyDescent="0.3">
      <c r="A55">
        <v>-4500839</v>
      </c>
      <c r="B55" t="s">
        <v>4670</v>
      </c>
      <c r="C55">
        <v>4500839</v>
      </c>
      <c r="D55" t="s">
        <v>3032</v>
      </c>
      <c r="E55" t="s">
        <v>3110</v>
      </c>
      <c r="F55" t="s">
        <v>6564</v>
      </c>
      <c r="G55" t="s">
        <v>6565</v>
      </c>
      <c r="H55" t="s">
        <v>3181</v>
      </c>
    </row>
    <row r="56" spans="1:8" x14ac:dyDescent="0.3">
      <c r="A56">
        <v>-4499596</v>
      </c>
      <c r="B56" t="s">
        <v>5793</v>
      </c>
      <c r="C56">
        <v>4499596</v>
      </c>
      <c r="D56" t="s">
        <v>5794</v>
      </c>
      <c r="E56" t="s">
        <v>4368</v>
      </c>
      <c r="F56" t="s">
        <v>5795</v>
      </c>
      <c r="G56" t="s">
        <v>5796</v>
      </c>
      <c r="H56" t="s">
        <v>4389</v>
      </c>
    </row>
    <row r="57" spans="1:8" x14ac:dyDescent="0.3">
      <c r="A57">
        <v>-4994078</v>
      </c>
      <c r="B57" t="s">
        <v>2695</v>
      </c>
      <c r="C57">
        <v>4994078</v>
      </c>
      <c r="D57" t="s">
        <v>2696</v>
      </c>
      <c r="E57" t="s">
        <v>2691</v>
      </c>
      <c r="F57" t="s">
        <v>2697</v>
      </c>
      <c r="G57" t="s">
        <v>2698</v>
      </c>
      <c r="H57" t="s">
        <v>2699</v>
      </c>
    </row>
    <row r="58" spans="1:8" x14ac:dyDescent="0.3">
      <c r="A58">
        <v>-4501808</v>
      </c>
      <c r="B58" t="s">
        <v>3191</v>
      </c>
      <c r="C58">
        <v>4501808</v>
      </c>
      <c r="D58" t="s">
        <v>3192</v>
      </c>
      <c r="E58" t="s">
        <v>2970</v>
      </c>
      <c r="F58" t="s">
        <v>3193</v>
      </c>
      <c r="G58" t="s">
        <v>3194</v>
      </c>
      <c r="H58" t="s">
        <v>2945</v>
      </c>
    </row>
    <row r="59" spans="1:8" x14ac:dyDescent="0.3">
      <c r="A59">
        <v>-4501760</v>
      </c>
      <c r="B59" t="s">
        <v>3298</v>
      </c>
      <c r="C59">
        <v>4501760</v>
      </c>
      <c r="D59" t="s">
        <v>3299</v>
      </c>
      <c r="E59" t="s">
        <v>2580</v>
      </c>
      <c r="F59" t="s">
        <v>3300</v>
      </c>
      <c r="G59" t="s">
        <v>3301</v>
      </c>
      <c r="H59" t="s">
        <v>2827</v>
      </c>
    </row>
    <row r="60" spans="1:8" x14ac:dyDescent="0.3">
      <c r="A60">
        <v>-4501216</v>
      </c>
      <c r="B60" t="s">
        <v>4163</v>
      </c>
      <c r="C60">
        <v>4501216</v>
      </c>
      <c r="D60" t="s">
        <v>4164</v>
      </c>
      <c r="E60" t="s">
        <v>2842</v>
      </c>
      <c r="F60" t="s">
        <v>4165</v>
      </c>
      <c r="G60" t="s">
        <v>4166</v>
      </c>
      <c r="H60" t="s">
        <v>4167</v>
      </c>
    </row>
    <row r="61" spans="1:8" x14ac:dyDescent="0.3">
      <c r="A61">
        <v>-4501207</v>
      </c>
      <c r="B61" t="s">
        <v>4186</v>
      </c>
      <c r="C61">
        <v>4501207</v>
      </c>
      <c r="D61" t="s">
        <v>4187</v>
      </c>
      <c r="E61" t="s">
        <v>2964</v>
      </c>
      <c r="F61" t="s">
        <v>6487</v>
      </c>
      <c r="G61" t="s">
        <v>6488</v>
      </c>
      <c r="H61" t="s">
        <v>6489</v>
      </c>
    </row>
    <row r="62" spans="1:8" x14ac:dyDescent="0.3">
      <c r="A62">
        <v>-4500881</v>
      </c>
      <c r="B62" t="s">
        <v>4631</v>
      </c>
      <c r="C62">
        <v>4500881</v>
      </c>
      <c r="D62" t="s">
        <v>4632</v>
      </c>
      <c r="E62" t="s">
        <v>4633</v>
      </c>
      <c r="F62" t="s">
        <v>4634</v>
      </c>
      <c r="G62" t="s">
        <v>4635</v>
      </c>
      <c r="H62" t="s">
        <v>4532</v>
      </c>
    </row>
    <row r="63" spans="1:8" x14ac:dyDescent="0.3">
      <c r="A63">
        <v>-4500175</v>
      </c>
      <c r="B63" t="s">
        <v>5251</v>
      </c>
      <c r="C63">
        <v>4500175</v>
      </c>
      <c r="D63" t="s">
        <v>5252</v>
      </c>
      <c r="E63" t="s">
        <v>4929</v>
      </c>
      <c r="F63">
        <v>1</v>
      </c>
      <c r="G63" t="s">
        <v>97</v>
      </c>
      <c r="H63" t="e">
        <v>#N/A</v>
      </c>
    </row>
    <row r="64" spans="1:8" x14ac:dyDescent="0.3">
      <c r="A64">
        <v>-4501436</v>
      </c>
      <c r="B64" t="s">
        <v>3876</v>
      </c>
      <c r="C64">
        <v>4501436</v>
      </c>
      <c r="D64" t="s">
        <v>3877</v>
      </c>
      <c r="E64" t="s">
        <v>3017</v>
      </c>
      <c r="F64" t="s">
        <v>3878</v>
      </c>
      <c r="G64" t="s">
        <v>3879</v>
      </c>
      <c r="H64" t="s">
        <v>3880</v>
      </c>
    </row>
    <row r="65" spans="1:8" x14ac:dyDescent="0.3">
      <c r="A65">
        <v>-4499600</v>
      </c>
      <c r="B65">
        <v>34058000501</v>
      </c>
      <c r="C65">
        <v>4499600</v>
      </c>
      <c r="D65" t="s">
        <v>5787</v>
      </c>
      <c r="E65" t="s">
        <v>3705</v>
      </c>
      <c r="F65" t="s">
        <v>6785</v>
      </c>
      <c r="G65" t="s">
        <v>6786</v>
      </c>
      <c r="H65" t="s">
        <v>6787</v>
      </c>
    </row>
    <row r="66" spans="1:8" x14ac:dyDescent="0.3">
      <c r="A66">
        <v>-4501757</v>
      </c>
      <c r="B66" t="s">
        <v>3309</v>
      </c>
      <c r="C66">
        <v>4501757</v>
      </c>
      <c r="D66" t="s">
        <v>3310</v>
      </c>
      <c r="E66" t="s">
        <v>3311</v>
      </c>
      <c r="F66" t="s">
        <v>3312</v>
      </c>
      <c r="G66" t="s">
        <v>3313</v>
      </c>
      <c r="H66" t="s">
        <v>3314</v>
      </c>
    </row>
    <row r="67" spans="1:8" x14ac:dyDescent="0.3">
      <c r="A67">
        <v>-4499368</v>
      </c>
      <c r="B67" t="s">
        <v>5988</v>
      </c>
      <c r="C67">
        <v>4499368</v>
      </c>
      <c r="D67" t="s">
        <v>5989</v>
      </c>
      <c r="E67" t="s">
        <v>5990</v>
      </c>
      <c r="F67">
        <v>1</v>
      </c>
      <c r="G67" t="s">
        <v>97</v>
      </c>
      <c r="H67" t="e">
        <v>#N/A</v>
      </c>
    </row>
    <row r="68" spans="1:8" x14ac:dyDescent="0.3">
      <c r="A68">
        <v>-4501826</v>
      </c>
      <c r="B68" t="s">
        <v>3171</v>
      </c>
      <c r="C68">
        <v>4501826</v>
      </c>
      <c r="D68" t="s">
        <v>3172</v>
      </c>
      <c r="E68" t="s">
        <v>3173</v>
      </c>
      <c r="F68" t="s">
        <v>3174</v>
      </c>
      <c r="G68" t="s">
        <v>3175</v>
      </c>
      <c r="H68" t="s">
        <v>3176</v>
      </c>
    </row>
    <row r="69" spans="1:8" x14ac:dyDescent="0.3">
      <c r="A69">
        <v>-4501701</v>
      </c>
      <c r="B69" t="s">
        <v>3424</v>
      </c>
      <c r="C69">
        <v>4501701</v>
      </c>
      <c r="D69" t="s">
        <v>3425</v>
      </c>
      <c r="E69" t="s">
        <v>3423</v>
      </c>
      <c r="F69" t="s">
        <v>3336</v>
      </c>
      <c r="G69" t="s">
        <v>3337</v>
      </c>
      <c r="H69" t="s">
        <v>3338</v>
      </c>
    </row>
    <row r="70" spans="1:8" x14ac:dyDescent="0.3">
      <c r="A70" t="s">
        <v>6043</v>
      </c>
      <c r="B70" t="s">
        <v>6044</v>
      </c>
      <c r="C70">
        <v>4499565</v>
      </c>
      <c r="D70" t="s">
        <v>6045</v>
      </c>
      <c r="E70" t="s">
        <v>4253</v>
      </c>
      <c r="F70" t="s">
        <v>6798</v>
      </c>
      <c r="G70" t="s">
        <v>6799</v>
      </c>
      <c r="H70" t="s">
        <v>6800</v>
      </c>
    </row>
    <row r="71" spans="1:8" x14ac:dyDescent="0.3">
      <c r="A71">
        <v>-4499511</v>
      </c>
      <c r="B71" t="s">
        <v>5893</v>
      </c>
      <c r="C71">
        <v>4499511</v>
      </c>
      <c r="D71" t="s">
        <v>5892</v>
      </c>
      <c r="E71" t="s">
        <v>4174</v>
      </c>
      <c r="F71" t="s">
        <v>5894</v>
      </c>
      <c r="G71" t="s">
        <v>5895</v>
      </c>
      <c r="H71" t="s">
        <v>4088</v>
      </c>
    </row>
    <row r="72" spans="1:8" x14ac:dyDescent="0.3">
      <c r="A72">
        <v>-4500193</v>
      </c>
      <c r="B72" t="s">
        <v>5240</v>
      </c>
      <c r="C72">
        <v>4500193</v>
      </c>
      <c r="D72" t="s">
        <v>5241</v>
      </c>
      <c r="E72" t="s">
        <v>4037</v>
      </c>
      <c r="F72" t="s">
        <v>6712</v>
      </c>
      <c r="G72" t="s">
        <v>6713</v>
      </c>
      <c r="H72" t="s">
        <v>2785</v>
      </c>
    </row>
    <row r="73" spans="1:8" x14ac:dyDescent="0.3">
      <c r="A73">
        <v>-4500849</v>
      </c>
      <c r="B73" t="s">
        <v>4659</v>
      </c>
      <c r="C73">
        <v>4500849</v>
      </c>
      <c r="D73" t="s">
        <v>4660</v>
      </c>
      <c r="E73" t="s">
        <v>3162</v>
      </c>
      <c r="F73" t="s">
        <v>6558</v>
      </c>
      <c r="G73" t="s">
        <v>6559</v>
      </c>
      <c r="H73" t="s">
        <v>3165</v>
      </c>
    </row>
    <row r="74" spans="1:8" x14ac:dyDescent="0.3">
      <c r="A74">
        <v>-4501359</v>
      </c>
      <c r="B74" t="s">
        <v>3956</v>
      </c>
      <c r="C74">
        <v>4501359</v>
      </c>
      <c r="D74" t="s">
        <v>3957</v>
      </c>
      <c r="E74" t="s">
        <v>2948</v>
      </c>
      <c r="F74" t="s">
        <v>3958</v>
      </c>
      <c r="G74" t="s">
        <v>3959</v>
      </c>
      <c r="H74" t="s">
        <v>3960</v>
      </c>
    </row>
    <row r="75" spans="1:8" x14ac:dyDescent="0.3">
      <c r="A75" t="s">
        <v>6076</v>
      </c>
      <c r="B75" t="s">
        <v>6077</v>
      </c>
      <c r="C75">
        <v>4500005</v>
      </c>
      <c r="D75" t="s">
        <v>6078</v>
      </c>
      <c r="E75" t="s">
        <v>4821</v>
      </c>
      <c r="F75" t="s">
        <v>6809</v>
      </c>
      <c r="G75" t="s">
        <v>6810</v>
      </c>
      <c r="H75" t="s">
        <v>6811</v>
      </c>
    </row>
    <row r="76" spans="1:8" x14ac:dyDescent="0.3">
      <c r="A76">
        <v>-4501635</v>
      </c>
      <c r="B76" t="s">
        <v>3549</v>
      </c>
      <c r="C76">
        <v>4501635</v>
      </c>
      <c r="D76" t="s">
        <v>3550</v>
      </c>
      <c r="E76" t="s">
        <v>3551</v>
      </c>
      <c r="F76" t="s">
        <v>3552</v>
      </c>
      <c r="G76" t="s">
        <v>3553</v>
      </c>
      <c r="H76" t="s">
        <v>2613</v>
      </c>
    </row>
    <row r="77" spans="1:8" x14ac:dyDescent="0.3">
      <c r="A77">
        <v>-4501289</v>
      </c>
      <c r="B77">
        <v>34060017455</v>
      </c>
      <c r="C77">
        <v>4501289</v>
      </c>
      <c r="D77" t="s">
        <v>4050</v>
      </c>
      <c r="E77" t="s">
        <v>4044</v>
      </c>
      <c r="F77" t="s">
        <v>6182</v>
      </c>
      <c r="G77" t="s">
        <v>6183</v>
      </c>
      <c r="H77" t="s">
        <v>6184</v>
      </c>
    </row>
    <row r="78" spans="1:8" x14ac:dyDescent="0.3">
      <c r="A78" t="s">
        <v>6351</v>
      </c>
      <c r="B78" t="s">
        <v>6352</v>
      </c>
      <c r="C78">
        <v>1</v>
      </c>
      <c r="D78" t="e">
        <v>#N/A</v>
      </c>
      <c r="E78" t="e">
        <v>#N/A</v>
      </c>
      <c r="F78" t="s">
        <v>6353</v>
      </c>
      <c r="G78" t="s">
        <v>6354</v>
      </c>
      <c r="H78" t="s">
        <v>2757</v>
      </c>
    </row>
    <row r="79" spans="1:8" x14ac:dyDescent="0.3">
      <c r="A79">
        <v>-4499714</v>
      </c>
      <c r="B79" t="s">
        <v>5673</v>
      </c>
      <c r="C79">
        <v>4499714</v>
      </c>
      <c r="D79" t="s">
        <v>5674</v>
      </c>
      <c r="E79" t="s">
        <v>5046</v>
      </c>
      <c r="F79" t="s">
        <v>4569</v>
      </c>
      <c r="G79" t="s">
        <v>4570</v>
      </c>
      <c r="H79" t="s">
        <v>2694</v>
      </c>
    </row>
    <row r="80" spans="1:8" x14ac:dyDescent="0.3">
      <c r="A80">
        <v>-4500735</v>
      </c>
      <c r="B80" t="s">
        <v>4779</v>
      </c>
      <c r="C80">
        <v>4500735</v>
      </c>
      <c r="D80" t="s">
        <v>4780</v>
      </c>
      <c r="E80" t="s">
        <v>4781</v>
      </c>
      <c r="F80" t="s">
        <v>6615</v>
      </c>
      <c r="G80" t="s">
        <v>6616</v>
      </c>
      <c r="H80" t="s">
        <v>2769</v>
      </c>
    </row>
    <row r="81" spans="1:8" x14ac:dyDescent="0.3">
      <c r="A81">
        <v>-4501166</v>
      </c>
      <c r="B81" t="s">
        <v>4244</v>
      </c>
      <c r="C81">
        <v>4501166</v>
      </c>
      <c r="D81" t="s">
        <v>4245</v>
      </c>
      <c r="E81" t="s">
        <v>4120</v>
      </c>
      <c r="F81" t="s">
        <v>4246</v>
      </c>
      <c r="G81" t="s">
        <v>4247</v>
      </c>
      <c r="H81" t="s">
        <v>4112</v>
      </c>
    </row>
    <row r="82" spans="1:8" x14ac:dyDescent="0.3">
      <c r="A82" t="s">
        <v>6190</v>
      </c>
      <c r="B82" t="s">
        <v>6191</v>
      </c>
      <c r="C82">
        <v>4501313</v>
      </c>
      <c r="D82" t="s">
        <v>6192</v>
      </c>
      <c r="E82" t="s">
        <v>4034</v>
      </c>
      <c r="F82" t="s">
        <v>6193</v>
      </c>
      <c r="G82" t="s">
        <v>6194</v>
      </c>
      <c r="H82" t="s">
        <v>6195</v>
      </c>
    </row>
    <row r="83" spans="1:8" x14ac:dyDescent="0.3">
      <c r="A83">
        <v>-4499647</v>
      </c>
      <c r="B83" t="s">
        <v>5749</v>
      </c>
      <c r="C83">
        <v>4499647</v>
      </c>
      <c r="D83" t="s">
        <v>5750</v>
      </c>
      <c r="E83" t="s">
        <v>5751</v>
      </c>
      <c r="F83" t="s">
        <v>5752</v>
      </c>
      <c r="G83" t="s">
        <v>97</v>
      </c>
      <c r="H83" t="e">
        <v>#N/A</v>
      </c>
    </row>
    <row r="84" spans="1:8" x14ac:dyDescent="0.3">
      <c r="A84">
        <v>-4500258</v>
      </c>
      <c r="B84" t="s">
        <v>5174</v>
      </c>
      <c r="C84">
        <v>4500258</v>
      </c>
      <c r="D84" t="s">
        <v>5175</v>
      </c>
      <c r="E84" t="s">
        <v>2948</v>
      </c>
      <c r="F84" t="s">
        <v>6840</v>
      </c>
      <c r="G84" t="s">
        <v>6841</v>
      </c>
      <c r="H84" t="s">
        <v>6842</v>
      </c>
    </row>
    <row r="85" spans="1:8" x14ac:dyDescent="0.3">
      <c r="A85">
        <v>-4993989</v>
      </c>
      <c r="B85" t="s">
        <v>2774</v>
      </c>
      <c r="C85">
        <v>4993989</v>
      </c>
      <c r="D85" t="s">
        <v>2775</v>
      </c>
      <c r="E85" t="s">
        <v>2776</v>
      </c>
      <c r="F85" t="s">
        <v>2777</v>
      </c>
      <c r="G85" t="s">
        <v>2778</v>
      </c>
      <c r="H85" t="s">
        <v>2779</v>
      </c>
    </row>
    <row r="86" spans="1:8" x14ac:dyDescent="0.3">
      <c r="A86">
        <v>4501573</v>
      </c>
      <c r="B86" t="s">
        <v>6004</v>
      </c>
      <c r="C86">
        <v>4501573</v>
      </c>
      <c r="D86" t="s">
        <v>6005</v>
      </c>
      <c r="E86" t="s">
        <v>3655</v>
      </c>
      <c r="F86" t="s">
        <v>6843</v>
      </c>
      <c r="G86" t="s">
        <v>6844</v>
      </c>
      <c r="H86" t="s">
        <v>2633</v>
      </c>
    </row>
    <row r="87" spans="1:8" x14ac:dyDescent="0.3">
      <c r="A87">
        <v>-4499899</v>
      </c>
      <c r="B87" t="s">
        <v>5512</v>
      </c>
      <c r="C87">
        <v>4499899</v>
      </c>
      <c r="D87" t="s">
        <v>5513</v>
      </c>
      <c r="E87" t="s">
        <v>4213</v>
      </c>
      <c r="F87" t="s">
        <v>5514</v>
      </c>
      <c r="G87" t="s">
        <v>5515</v>
      </c>
      <c r="H87" t="s">
        <v>5516</v>
      </c>
    </row>
    <row r="88" spans="1:8" x14ac:dyDescent="0.3">
      <c r="A88">
        <v>-4501198</v>
      </c>
      <c r="B88" t="s">
        <v>4200</v>
      </c>
      <c r="C88">
        <v>4501198</v>
      </c>
      <c r="D88" t="s">
        <v>2809</v>
      </c>
      <c r="E88" t="s">
        <v>4199</v>
      </c>
      <c r="F88" t="s">
        <v>4201</v>
      </c>
      <c r="G88" t="s">
        <v>4202</v>
      </c>
      <c r="H88" t="s">
        <v>4203</v>
      </c>
    </row>
    <row r="89" spans="1:8" x14ac:dyDescent="0.3">
      <c r="A89">
        <v>-4500903</v>
      </c>
      <c r="B89" t="s">
        <v>4587</v>
      </c>
      <c r="C89">
        <v>4500903</v>
      </c>
      <c r="D89" t="s">
        <v>4588</v>
      </c>
      <c r="E89" t="s">
        <v>4100</v>
      </c>
      <c r="F89" t="s">
        <v>4589</v>
      </c>
      <c r="G89" t="s">
        <v>4590</v>
      </c>
      <c r="H89" t="s">
        <v>4591</v>
      </c>
    </row>
    <row r="90" spans="1:8" x14ac:dyDescent="0.3">
      <c r="A90">
        <v>-4500774</v>
      </c>
      <c r="B90" t="s">
        <v>4744</v>
      </c>
      <c r="C90">
        <v>4500774</v>
      </c>
      <c r="D90" t="s">
        <v>3114</v>
      </c>
      <c r="E90" t="s">
        <v>4690</v>
      </c>
      <c r="F90" t="s">
        <v>4745</v>
      </c>
      <c r="G90" t="s">
        <v>97</v>
      </c>
      <c r="H90" t="e">
        <v>#N/A</v>
      </c>
    </row>
    <row r="91" spans="1:8" x14ac:dyDescent="0.3">
      <c r="A91">
        <v>-4501273</v>
      </c>
      <c r="B91" t="s">
        <v>4083</v>
      </c>
      <c r="C91">
        <v>4501273</v>
      </c>
      <c r="D91" t="s">
        <v>4084</v>
      </c>
      <c r="E91" t="s">
        <v>4085</v>
      </c>
      <c r="F91" t="s">
        <v>4086</v>
      </c>
      <c r="G91" t="s">
        <v>4087</v>
      </c>
      <c r="H91" t="s">
        <v>4088</v>
      </c>
    </row>
    <row r="92" spans="1:8" x14ac:dyDescent="0.3">
      <c r="A92">
        <v>-4500049</v>
      </c>
      <c r="B92" t="s">
        <v>5363</v>
      </c>
      <c r="C92">
        <v>4500049</v>
      </c>
      <c r="D92" t="s">
        <v>5364</v>
      </c>
      <c r="E92" t="s">
        <v>3464</v>
      </c>
      <c r="F92" t="s">
        <v>5365</v>
      </c>
      <c r="G92" t="s">
        <v>5366</v>
      </c>
      <c r="H92" t="s">
        <v>2607</v>
      </c>
    </row>
    <row r="93" spans="1:8" x14ac:dyDescent="0.3">
      <c r="A93">
        <v>-4501457</v>
      </c>
      <c r="B93" t="s">
        <v>3856</v>
      </c>
      <c r="C93">
        <v>4501457</v>
      </c>
      <c r="D93" t="s">
        <v>3855</v>
      </c>
      <c r="E93" t="s">
        <v>3818</v>
      </c>
      <c r="F93" t="s">
        <v>6441</v>
      </c>
      <c r="G93" t="s">
        <v>6442</v>
      </c>
      <c r="H93" t="s">
        <v>3250</v>
      </c>
    </row>
    <row r="94" spans="1:8" x14ac:dyDescent="0.3">
      <c r="A94" t="s">
        <v>6219</v>
      </c>
      <c r="B94" t="s">
        <v>6220</v>
      </c>
      <c r="C94">
        <v>4501968</v>
      </c>
      <c r="D94" t="s">
        <v>6221</v>
      </c>
      <c r="E94" t="s">
        <v>4753</v>
      </c>
      <c r="F94" t="s">
        <v>6838</v>
      </c>
      <c r="G94" t="s">
        <v>6839</v>
      </c>
      <c r="H94" t="s">
        <v>2803</v>
      </c>
    </row>
    <row r="95" spans="1:8" x14ac:dyDescent="0.3">
      <c r="A95">
        <v>-4501961</v>
      </c>
      <c r="B95" t="s">
        <v>2940</v>
      </c>
      <c r="C95">
        <v>4501961</v>
      </c>
      <c r="D95" t="s">
        <v>2941</v>
      </c>
      <c r="E95" t="s">
        <v>2942</v>
      </c>
      <c r="F95" t="s">
        <v>2943</v>
      </c>
      <c r="G95" t="s">
        <v>2944</v>
      </c>
      <c r="H95" t="s">
        <v>2945</v>
      </c>
    </row>
    <row r="96" spans="1:8" x14ac:dyDescent="0.3">
      <c r="A96">
        <v>-4499504</v>
      </c>
      <c r="B96" t="s">
        <v>5909</v>
      </c>
      <c r="C96">
        <v>4499504</v>
      </c>
      <c r="D96" t="s">
        <v>5910</v>
      </c>
      <c r="E96" t="s">
        <v>5911</v>
      </c>
      <c r="F96" t="s">
        <v>5912</v>
      </c>
      <c r="G96" t="s">
        <v>5913</v>
      </c>
      <c r="H96" t="s">
        <v>5914</v>
      </c>
    </row>
    <row r="97" spans="1:8" x14ac:dyDescent="0.3">
      <c r="A97">
        <v>-4501486</v>
      </c>
      <c r="B97" t="s">
        <v>3830</v>
      </c>
      <c r="C97">
        <v>4501486</v>
      </c>
      <c r="D97" t="s">
        <v>3329</v>
      </c>
      <c r="E97" t="s">
        <v>3818</v>
      </c>
      <c r="F97" t="s">
        <v>3831</v>
      </c>
      <c r="G97" t="s">
        <v>3832</v>
      </c>
      <c r="H97" t="s">
        <v>2577</v>
      </c>
    </row>
    <row r="98" spans="1:8" x14ac:dyDescent="0.3">
      <c r="A98">
        <v>-4501297</v>
      </c>
      <c r="B98" t="s">
        <v>4041</v>
      </c>
      <c r="C98">
        <v>4501297</v>
      </c>
      <c r="D98" t="s">
        <v>3150</v>
      </c>
      <c r="E98" t="s">
        <v>4028</v>
      </c>
      <c r="F98" t="s">
        <v>6474</v>
      </c>
      <c r="G98" t="s">
        <v>6475</v>
      </c>
      <c r="H98" t="s">
        <v>2757</v>
      </c>
    </row>
    <row r="99" spans="1:8" x14ac:dyDescent="0.3">
      <c r="A99">
        <v>-4501575</v>
      </c>
      <c r="B99" t="s">
        <v>3653</v>
      </c>
      <c r="C99">
        <v>4501575</v>
      </c>
      <c r="D99" t="s">
        <v>3654</v>
      </c>
      <c r="E99" t="s">
        <v>3655</v>
      </c>
      <c r="F99" t="s">
        <v>3656</v>
      </c>
      <c r="G99" t="s">
        <v>3657</v>
      </c>
      <c r="H99" t="s">
        <v>2633</v>
      </c>
    </row>
    <row r="100" spans="1:8" x14ac:dyDescent="0.3">
      <c r="A100">
        <v>-4501927</v>
      </c>
      <c r="B100" t="s">
        <v>2996</v>
      </c>
      <c r="C100">
        <v>4501927</v>
      </c>
      <c r="D100" t="s">
        <v>2997</v>
      </c>
      <c r="E100" t="s">
        <v>2998</v>
      </c>
      <c r="F100" t="s">
        <v>2999</v>
      </c>
      <c r="G100" t="s">
        <v>3000</v>
      </c>
      <c r="H100" t="s">
        <v>2779</v>
      </c>
    </row>
    <row r="101" spans="1:8" x14ac:dyDescent="0.3">
      <c r="A101">
        <v>-4501446</v>
      </c>
      <c r="B101" t="s">
        <v>3869</v>
      </c>
      <c r="C101">
        <v>4501446</v>
      </c>
      <c r="D101" t="s">
        <v>3150</v>
      </c>
      <c r="E101" t="s">
        <v>3017</v>
      </c>
      <c r="F101" t="s">
        <v>3870</v>
      </c>
      <c r="G101" t="s">
        <v>3871</v>
      </c>
      <c r="H101" t="s">
        <v>3025</v>
      </c>
    </row>
    <row r="102" spans="1:8" x14ac:dyDescent="0.3">
      <c r="A102">
        <v>-4501798</v>
      </c>
      <c r="B102" t="s">
        <v>3208</v>
      </c>
      <c r="C102">
        <v>4501798</v>
      </c>
      <c r="D102" t="s">
        <v>3209</v>
      </c>
      <c r="E102" t="s">
        <v>3210</v>
      </c>
      <c r="F102" t="s">
        <v>3211</v>
      </c>
      <c r="G102" t="s">
        <v>3212</v>
      </c>
      <c r="H102" t="s">
        <v>3213</v>
      </c>
    </row>
    <row r="103" spans="1:8" x14ac:dyDescent="0.3">
      <c r="A103">
        <v>-4501796</v>
      </c>
      <c r="B103" t="s">
        <v>3219</v>
      </c>
      <c r="C103">
        <v>4501796</v>
      </c>
      <c r="D103" t="s">
        <v>3220</v>
      </c>
      <c r="E103" t="s">
        <v>2970</v>
      </c>
      <c r="F103" t="s">
        <v>3221</v>
      </c>
      <c r="G103" t="s">
        <v>3222</v>
      </c>
      <c r="H103" t="s">
        <v>2577</v>
      </c>
    </row>
    <row r="104" spans="1:8" x14ac:dyDescent="0.3">
      <c r="A104">
        <v>-4501771</v>
      </c>
      <c r="B104" t="s">
        <v>3280</v>
      </c>
      <c r="C104">
        <v>4501771</v>
      </c>
      <c r="D104" t="s">
        <v>3281</v>
      </c>
      <c r="E104" t="s">
        <v>3262</v>
      </c>
      <c r="F104" t="s">
        <v>3282</v>
      </c>
      <c r="G104" t="s">
        <v>3283</v>
      </c>
      <c r="H104" t="s">
        <v>3284</v>
      </c>
    </row>
    <row r="105" spans="1:8" x14ac:dyDescent="0.3">
      <c r="A105" t="s">
        <v>6158</v>
      </c>
      <c r="B105" t="s">
        <v>6159</v>
      </c>
      <c r="C105">
        <v>4500841</v>
      </c>
      <c r="D105" t="s">
        <v>6160</v>
      </c>
      <c r="E105" t="s">
        <v>3173</v>
      </c>
      <c r="F105" t="s">
        <v>6829</v>
      </c>
      <c r="G105" t="s">
        <v>6830</v>
      </c>
      <c r="H105" t="s">
        <v>3176</v>
      </c>
    </row>
    <row r="106" spans="1:8" x14ac:dyDescent="0.3">
      <c r="A106">
        <v>-4757641</v>
      </c>
      <c r="B106" t="s">
        <v>2909</v>
      </c>
      <c r="C106">
        <v>4501709</v>
      </c>
      <c r="D106" t="s">
        <v>2910</v>
      </c>
      <c r="E106" t="s">
        <v>2911</v>
      </c>
      <c r="F106" t="s">
        <v>2912</v>
      </c>
      <c r="G106" t="s">
        <v>2913</v>
      </c>
      <c r="H106" t="s">
        <v>2914</v>
      </c>
    </row>
    <row r="107" spans="1:8" x14ac:dyDescent="0.3">
      <c r="A107">
        <v>-4499759</v>
      </c>
      <c r="B107" t="s">
        <v>5636</v>
      </c>
      <c r="C107">
        <v>4499759</v>
      </c>
      <c r="D107" t="s">
        <v>5637</v>
      </c>
      <c r="E107" t="s">
        <v>5638</v>
      </c>
      <c r="F107" t="s">
        <v>6845</v>
      </c>
      <c r="G107" t="s">
        <v>6846</v>
      </c>
      <c r="H107" t="s">
        <v>6847</v>
      </c>
    </row>
    <row r="108" spans="1:8" x14ac:dyDescent="0.3">
      <c r="A108">
        <v>-4501797</v>
      </c>
      <c r="B108" t="s">
        <v>3214</v>
      </c>
      <c r="C108">
        <v>4501797</v>
      </c>
      <c r="D108" t="s">
        <v>3215</v>
      </c>
      <c r="E108" t="s">
        <v>3162</v>
      </c>
      <c r="F108" t="s">
        <v>3216</v>
      </c>
      <c r="G108" t="s">
        <v>3217</v>
      </c>
      <c r="H108" t="s">
        <v>3218</v>
      </c>
    </row>
    <row r="109" spans="1:8" x14ac:dyDescent="0.3">
      <c r="A109">
        <v>-4501319</v>
      </c>
      <c r="B109" t="s">
        <v>4023</v>
      </c>
      <c r="C109">
        <v>4501319</v>
      </c>
      <c r="D109" t="s">
        <v>3775</v>
      </c>
      <c r="E109" t="s">
        <v>4019</v>
      </c>
      <c r="F109" t="s">
        <v>6466</v>
      </c>
      <c r="G109" t="s">
        <v>6467</v>
      </c>
      <c r="H109" t="s">
        <v>3450</v>
      </c>
    </row>
    <row r="110" spans="1:8" x14ac:dyDescent="0.3">
      <c r="A110">
        <v>-4500826</v>
      </c>
      <c r="B110" t="s">
        <v>4685</v>
      </c>
      <c r="C110">
        <v>4500826</v>
      </c>
      <c r="D110" t="s">
        <v>4686</v>
      </c>
      <c r="E110" t="s">
        <v>3110</v>
      </c>
      <c r="F110">
        <v>1</v>
      </c>
      <c r="G110" t="s">
        <v>97</v>
      </c>
      <c r="H110" t="e">
        <v>#N/A</v>
      </c>
    </row>
    <row r="111" spans="1:8" x14ac:dyDescent="0.3">
      <c r="A111">
        <v>-4500708</v>
      </c>
      <c r="B111" t="s">
        <v>4804</v>
      </c>
      <c r="C111">
        <v>4500708</v>
      </c>
      <c r="D111" t="s">
        <v>4802</v>
      </c>
      <c r="E111" t="s">
        <v>4803</v>
      </c>
      <c r="F111" t="s">
        <v>4805</v>
      </c>
      <c r="G111" t="s">
        <v>4806</v>
      </c>
      <c r="H111" t="s">
        <v>3637</v>
      </c>
    </row>
    <row r="112" spans="1:8" x14ac:dyDescent="0.3">
      <c r="A112">
        <v>-4500045</v>
      </c>
      <c r="B112" t="s">
        <v>5377</v>
      </c>
      <c r="C112">
        <v>4500045</v>
      </c>
      <c r="D112" t="s">
        <v>5378</v>
      </c>
      <c r="E112" t="s">
        <v>2911</v>
      </c>
      <c r="F112" t="s">
        <v>5379</v>
      </c>
      <c r="G112" t="s">
        <v>5380</v>
      </c>
      <c r="H112" t="s">
        <v>3430</v>
      </c>
    </row>
    <row r="113" spans="1:9" x14ac:dyDescent="0.3">
      <c r="A113">
        <v>-4501246</v>
      </c>
      <c r="B113" t="s">
        <v>4136</v>
      </c>
      <c r="C113">
        <v>4501246</v>
      </c>
      <c r="D113" t="s">
        <v>4137</v>
      </c>
      <c r="E113" t="s">
        <v>4091</v>
      </c>
      <c r="F113" t="s">
        <v>4138</v>
      </c>
      <c r="G113" t="s">
        <v>4139</v>
      </c>
      <c r="H113" t="s">
        <v>4088</v>
      </c>
    </row>
    <row r="114" spans="1:9" x14ac:dyDescent="0.3">
      <c r="A114">
        <v>-4501563</v>
      </c>
      <c r="B114" t="s">
        <v>3671</v>
      </c>
      <c r="C114">
        <v>4501563</v>
      </c>
      <c r="D114" t="s">
        <v>3672</v>
      </c>
      <c r="E114" t="s">
        <v>3673</v>
      </c>
      <c r="F114" t="s">
        <v>2575</v>
      </c>
      <c r="G114" t="s">
        <v>2576</v>
      </c>
      <c r="H114" t="s">
        <v>2577</v>
      </c>
    </row>
    <row r="115" spans="1:9" x14ac:dyDescent="0.3">
      <c r="A115">
        <v>-4500000</v>
      </c>
      <c r="B115" t="s">
        <v>5418</v>
      </c>
      <c r="C115">
        <v>4500000</v>
      </c>
      <c r="D115" t="s">
        <v>4319</v>
      </c>
      <c r="E115" t="s">
        <v>3818</v>
      </c>
      <c r="F115" t="s">
        <v>2575</v>
      </c>
      <c r="G115" t="s">
        <v>2576</v>
      </c>
      <c r="H115" t="s">
        <v>2577</v>
      </c>
    </row>
    <row r="116" spans="1:9" x14ac:dyDescent="0.3">
      <c r="A116">
        <v>-4501517</v>
      </c>
      <c r="B116" t="s">
        <v>3770</v>
      </c>
      <c r="C116">
        <v>4501517</v>
      </c>
      <c r="D116" t="s">
        <v>3329</v>
      </c>
      <c r="E116" t="s">
        <v>3655</v>
      </c>
      <c r="F116" t="s">
        <v>3771</v>
      </c>
      <c r="G116" t="s">
        <v>3772</v>
      </c>
      <c r="H116" t="s">
        <v>3773</v>
      </c>
    </row>
    <row r="117" spans="1:9" x14ac:dyDescent="0.3">
      <c r="A117" t="s">
        <v>6155</v>
      </c>
      <c r="B117" t="s">
        <v>6156</v>
      </c>
      <c r="C117">
        <v>4500821</v>
      </c>
      <c r="D117" t="s">
        <v>6157</v>
      </c>
      <c r="E117" t="s">
        <v>4690</v>
      </c>
      <c r="F117" t="s">
        <v>6827</v>
      </c>
      <c r="G117" t="s">
        <v>6828</v>
      </c>
      <c r="H117" t="s">
        <v>5007</v>
      </c>
    </row>
    <row r="118" spans="1:9" x14ac:dyDescent="0.3">
      <c r="A118">
        <v>-4501745</v>
      </c>
      <c r="B118" t="s">
        <v>3361</v>
      </c>
      <c r="C118">
        <v>4501745</v>
      </c>
      <c r="D118" t="s">
        <v>3357</v>
      </c>
      <c r="E118" t="s">
        <v>3330</v>
      </c>
      <c r="F118" t="s">
        <v>3362</v>
      </c>
      <c r="G118" t="s">
        <v>3363</v>
      </c>
      <c r="H118" t="s">
        <v>3349</v>
      </c>
    </row>
    <row r="119" spans="1:9" x14ac:dyDescent="0.3">
      <c r="A119">
        <v>-4501614</v>
      </c>
      <c r="B119" t="s">
        <v>3599</v>
      </c>
      <c r="C119">
        <v>4501614</v>
      </c>
      <c r="D119" t="s">
        <v>3600</v>
      </c>
      <c r="E119" t="s">
        <v>3585</v>
      </c>
      <c r="F119" t="s">
        <v>3601</v>
      </c>
      <c r="G119" t="s">
        <v>3602</v>
      </c>
      <c r="H119" t="s">
        <v>3603</v>
      </c>
    </row>
    <row r="120" spans="1:9" x14ac:dyDescent="0.3">
      <c r="A120">
        <v>-4993958</v>
      </c>
      <c r="B120" t="s">
        <v>2798</v>
      </c>
      <c r="C120">
        <v>4993958</v>
      </c>
      <c r="D120" t="s">
        <v>2799</v>
      </c>
      <c r="E120" t="s">
        <v>2800</v>
      </c>
      <c r="F120" t="s">
        <v>2801</v>
      </c>
      <c r="G120" t="s">
        <v>2802</v>
      </c>
      <c r="H120" t="s">
        <v>2803</v>
      </c>
    </row>
    <row r="121" spans="1:9" x14ac:dyDescent="0.3">
      <c r="A121" t="s">
        <v>6085</v>
      </c>
      <c r="B121" t="s">
        <v>6086</v>
      </c>
      <c r="C121">
        <v>4500030</v>
      </c>
      <c r="D121" t="s">
        <v>6087</v>
      </c>
      <c r="E121" t="s">
        <v>4633</v>
      </c>
      <c r="F121">
        <v>1</v>
      </c>
      <c r="G121" t="s">
        <v>97</v>
      </c>
      <c r="H121" t="e">
        <v>#N/A</v>
      </c>
    </row>
    <row r="122" spans="1:9" x14ac:dyDescent="0.3">
      <c r="A122">
        <v>-4501634</v>
      </c>
      <c r="B122" t="s">
        <v>3554</v>
      </c>
      <c r="C122">
        <v>4501634</v>
      </c>
      <c r="D122" t="s">
        <v>3555</v>
      </c>
      <c r="E122" t="s">
        <v>3544</v>
      </c>
      <c r="F122" t="s">
        <v>3556</v>
      </c>
      <c r="G122" t="s">
        <v>3557</v>
      </c>
      <c r="H122" t="s">
        <v>2613</v>
      </c>
    </row>
    <row r="123" spans="1:9" x14ac:dyDescent="0.3">
      <c r="A123">
        <v>-4501708</v>
      </c>
      <c r="B123" t="s">
        <v>3421</v>
      </c>
      <c r="C123">
        <v>4501708</v>
      </c>
      <c r="D123" t="s">
        <v>3422</v>
      </c>
      <c r="E123" t="s">
        <v>3423</v>
      </c>
      <c r="F123" t="s">
        <v>3347</v>
      </c>
      <c r="G123" t="s">
        <v>3348</v>
      </c>
      <c r="H123" t="s">
        <v>3349</v>
      </c>
      <c r="I123" t="s">
        <v>3350</v>
      </c>
    </row>
    <row r="124" spans="1:9" x14ac:dyDescent="0.3">
      <c r="A124">
        <v>-4501736</v>
      </c>
      <c r="B124" t="s">
        <v>3376</v>
      </c>
      <c r="C124">
        <v>4501736</v>
      </c>
      <c r="D124" t="s">
        <v>3377</v>
      </c>
      <c r="E124" t="s">
        <v>3366</v>
      </c>
      <c r="F124" t="s">
        <v>3378</v>
      </c>
      <c r="G124" t="s">
        <v>3379</v>
      </c>
      <c r="H124" t="s">
        <v>3375</v>
      </c>
    </row>
    <row r="125" spans="1:9" x14ac:dyDescent="0.3">
      <c r="A125">
        <v>-4500626</v>
      </c>
      <c r="B125" t="s">
        <v>4881</v>
      </c>
      <c r="C125">
        <v>4500626</v>
      </c>
      <c r="D125" t="s">
        <v>4882</v>
      </c>
      <c r="E125" t="s">
        <v>4880</v>
      </c>
      <c r="F125" t="s">
        <v>6638</v>
      </c>
      <c r="G125" t="s">
        <v>6639</v>
      </c>
      <c r="H125" t="s">
        <v>5657</v>
      </c>
    </row>
    <row r="126" spans="1:9" x14ac:dyDescent="0.3">
      <c r="A126">
        <v>-4501048</v>
      </c>
      <c r="B126" t="s">
        <v>4394</v>
      </c>
      <c r="C126">
        <v>4501048</v>
      </c>
      <c r="D126" t="s">
        <v>4393</v>
      </c>
      <c r="E126" t="s">
        <v>2989</v>
      </c>
      <c r="F126" t="s">
        <v>6514</v>
      </c>
      <c r="G126" t="s">
        <v>6515</v>
      </c>
      <c r="H126" t="s">
        <v>2873</v>
      </c>
    </row>
    <row r="127" spans="1:9" x14ac:dyDescent="0.3">
      <c r="A127">
        <v>-4501331</v>
      </c>
      <c r="B127" t="s">
        <v>4004</v>
      </c>
      <c r="C127">
        <v>4501331</v>
      </c>
      <c r="D127" t="s">
        <v>4005</v>
      </c>
      <c r="E127" t="s">
        <v>4000</v>
      </c>
      <c r="F127" t="s">
        <v>4006</v>
      </c>
      <c r="G127" t="s">
        <v>4007</v>
      </c>
      <c r="H127" t="s">
        <v>4008</v>
      </c>
    </row>
    <row r="128" spans="1:9" x14ac:dyDescent="0.3">
      <c r="A128" t="s">
        <v>6260</v>
      </c>
      <c r="B128" t="s">
        <v>6299</v>
      </c>
      <c r="C128">
        <v>4501510</v>
      </c>
      <c r="D128" t="s">
        <v>6848</v>
      </c>
      <c r="E128" t="s">
        <v>3765</v>
      </c>
      <c r="F128" t="s">
        <v>6300</v>
      </c>
      <c r="G128" t="s">
        <v>6301</v>
      </c>
      <c r="H128" t="s">
        <v>6302</v>
      </c>
    </row>
    <row r="129" spans="1:9" x14ac:dyDescent="0.3">
      <c r="A129">
        <v>-4500959</v>
      </c>
      <c r="B129" t="s">
        <v>4512</v>
      </c>
      <c r="C129">
        <v>4500959</v>
      </c>
      <c r="D129" t="s">
        <v>4513</v>
      </c>
      <c r="E129" t="s">
        <v>4514</v>
      </c>
      <c r="F129" t="s">
        <v>4515</v>
      </c>
      <c r="G129" t="s">
        <v>4516</v>
      </c>
      <c r="H129" t="s">
        <v>2694</v>
      </c>
    </row>
    <row r="130" spans="1:9" x14ac:dyDescent="0.3">
      <c r="A130">
        <v>-4500697</v>
      </c>
      <c r="B130" t="s">
        <v>4819</v>
      </c>
      <c r="C130">
        <v>4500697</v>
      </c>
      <c r="D130" t="s">
        <v>4820</v>
      </c>
      <c r="E130" t="s">
        <v>4821</v>
      </c>
      <c r="F130" t="s">
        <v>6627</v>
      </c>
      <c r="G130" t="s">
        <v>6628</v>
      </c>
      <c r="H130" t="s">
        <v>6629</v>
      </c>
    </row>
    <row r="131" spans="1:9" x14ac:dyDescent="0.3">
      <c r="A131" t="s">
        <v>6260</v>
      </c>
      <c r="B131" t="s">
        <v>6287</v>
      </c>
      <c r="C131">
        <v>1</v>
      </c>
      <c r="D131" t="e">
        <v>#N/A</v>
      </c>
      <c r="E131" t="e">
        <v>#N/A</v>
      </c>
      <c r="F131" t="s">
        <v>6288</v>
      </c>
      <c r="G131" t="s">
        <v>6289</v>
      </c>
      <c r="H131" t="s">
        <v>6290</v>
      </c>
    </row>
    <row r="132" spans="1:9" x14ac:dyDescent="0.3">
      <c r="A132">
        <v>-4501535</v>
      </c>
      <c r="B132" t="s">
        <v>3730</v>
      </c>
      <c r="C132">
        <v>4501535</v>
      </c>
      <c r="D132" t="s">
        <v>3731</v>
      </c>
      <c r="E132" t="s">
        <v>3006</v>
      </c>
      <c r="F132" t="s">
        <v>3732</v>
      </c>
      <c r="G132" t="s">
        <v>3733</v>
      </c>
      <c r="H132" t="s">
        <v>3734</v>
      </c>
    </row>
    <row r="133" spans="1:9" x14ac:dyDescent="0.3">
      <c r="A133" t="s">
        <v>6303</v>
      </c>
      <c r="B133" t="s">
        <v>6316</v>
      </c>
      <c r="C133">
        <v>1</v>
      </c>
      <c r="D133" t="e">
        <v>#N/A</v>
      </c>
      <c r="E133" t="e">
        <v>#N/A</v>
      </c>
      <c r="F133" t="s">
        <v>5244</v>
      </c>
      <c r="G133" t="s">
        <v>5245</v>
      </c>
      <c r="H133" t="s">
        <v>4581</v>
      </c>
    </row>
    <row r="134" spans="1:9" x14ac:dyDescent="0.3">
      <c r="A134">
        <v>-4501749</v>
      </c>
      <c r="B134" t="s">
        <v>3331</v>
      </c>
      <c r="C134">
        <v>4501749</v>
      </c>
      <c r="D134" t="s">
        <v>3332</v>
      </c>
      <c r="E134" t="s">
        <v>3330</v>
      </c>
      <c r="F134" t="s">
        <v>3333</v>
      </c>
      <c r="G134" t="s">
        <v>3334</v>
      </c>
      <c r="H134" t="s">
        <v>3335</v>
      </c>
    </row>
    <row r="135" spans="1:9" x14ac:dyDescent="0.3">
      <c r="A135">
        <v>-4500453</v>
      </c>
      <c r="B135" t="s">
        <v>5017</v>
      </c>
      <c r="C135">
        <v>4500453</v>
      </c>
      <c r="D135" t="s">
        <v>5016</v>
      </c>
      <c r="E135" t="s">
        <v>3330</v>
      </c>
      <c r="F135" t="s">
        <v>3333</v>
      </c>
      <c r="G135" t="s">
        <v>3334</v>
      </c>
      <c r="H135" t="s">
        <v>3335</v>
      </c>
    </row>
    <row r="136" spans="1:9" x14ac:dyDescent="0.3">
      <c r="A136">
        <v>-4501508</v>
      </c>
      <c r="B136" t="s">
        <v>3787</v>
      </c>
      <c r="C136">
        <v>4501508</v>
      </c>
      <c r="D136" t="s">
        <v>3788</v>
      </c>
      <c r="E136" t="s">
        <v>3765</v>
      </c>
      <c r="F136" t="s">
        <v>3789</v>
      </c>
      <c r="G136" t="s">
        <v>3790</v>
      </c>
      <c r="H136" t="s">
        <v>2633</v>
      </c>
    </row>
    <row r="137" spans="1:9" x14ac:dyDescent="0.3">
      <c r="A137" t="s">
        <v>6395</v>
      </c>
      <c r="B137" t="s">
        <v>6396</v>
      </c>
      <c r="C137" t="e">
        <v>#VALUE!</v>
      </c>
      <c r="D137" t="e">
        <v>#VALUE!</v>
      </c>
      <c r="E137" t="e">
        <v>#VALUE!</v>
      </c>
      <c r="F137" t="s">
        <v>6397</v>
      </c>
      <c r="G137" t="s">
        <v>6398</v>
      </c>
      <c r="H137" t="s">
        <v>6399</v>
      </c>
    </row>
    <row r="138" spans="1:9" x14ac:dyDescent="0.3">
      <c r="A138">
        <v>-4500301</v>
      </c>
      <c r="B138" t="s">
        <v>5134</v>
      </c>
      <c r="C138">
        <v>4500301</v>
      </c>
      <c r="D138" t="s">
        <v>5135</v>
      </c>
      <c r="E138" t="s">
        <v>2989</v>
      </c>
      <c r="F138" t="s">
        <v>5136</v>
      </c>
      <c r="G138" t="s">
        <v>5137</v>
      </c>
      <c r="H138" t="s">
        <v>2723</v>
      </c>
    </row>
    <row r="139" spans="1:9" x14ac:dyDescent="0.3">
      <c r="A139">
        <v>-4501700</v>
      </c>
      <c r="B139" t="s">
        <v>3426</v>
      </c>
      <c r="C139">
        <v>4501700</v>
      </c>
      <c r="D139" t="s">
        <v>3427</v>
      </c>
      <c r="E139" t="s">
        <v>3423</v>
      </c>
      <c r="F139" t="s">
        <v>3428</v>
      </c>
      <c r="G139" t="s">
        <v>3429</v>
      </c>
      <c r="H139" t="s">
        <v>3430</v>
      </c>
      <c r="I139" t="s">
        <v>3431</v>
      </c>
    </row>
    <row r="140" spans="1:9" x14ac:dyDescent="0.3">
      <c r="A140">
        <v>-4501645</v>
      </c>
      <c r="B140" t="s">
        <v>3537</v>
      </c>
      <c r="C140">
        <v>4501645</v>
      </c>
      <c r="D140" t="s">
        <v>3538</v>
      </c>
      <c r="E140" t="s">
        <v>3535</v>
      </c>
      <c r="F140" t="s">
        <v>3428</v>
      </c>
      <c r="G140" t="s">
        <v>3429</v>
      </c>
      <c r="H140" t="s">
        <v>3430</v>
      </c>
    </row>
    <row r="141" spans="1:9" x14ac:dyDescent="0.3">
      <c r="A141">
        <v>-4499523</v>
      </c>
      <c r="B141" t="s">
        <v>5884</v>
      </c>
      <c r="C141">
        <v>4499523</v>
      </c>
      <c r="D141" t="s">
        <v>3975</v>
      </c>
      <c r="E141" t="s">
        <v>3535</v>
      </c>
      <c r="F141" t="s">
        <v>3428</v>
      </c>
      <c r="G141" t="s">
        <v>3429</v>
      </c>
      <c r="H141" t="s">
        <v>3430</v>
      </c>
    </row>
    <row r="142" spans="1:9" x14ac:dyDescent="0.3">
      <c r="A142">
        <v>-4501016</v>
      </c>
      <c r="B142" t="s">
        <v>4435</v>
      </c>
      <c r="C142">
        <v>4501016</v>
      </c>
      <c r="D142" t="s">
        <v>4434</v>
      </c>
      <c r="E142" t="s">
        <v>2989</v>
      </c>
      <c r="F142" t="s">
        <v>6520</v>
      </c>
      <c r="G142" t="s">
        <v>6521</v>
      </c>
      <c r="H142" t="s">
        <v>6522</v>
      </c>
    </row>
    <row r="143" spans="1:9" x14ac:dyDescent="0.3">
      <c r="A143">
        <v>-4500739</v>
      </c>
      <c r="B143" t="s">
        <v>4773</v>
      </c>
      <c r="C143">
        <v>4500739</v>
      </c>
      <c r="D143" t="s">
        <v>4774</v>
      </c>
      <c r="E143" t="s">
        <v>3197</v>
      </c>
      <c r="F143" t="s">
        <v>6610</v>
      </c>
      <c r="G143" t="s">
        <v>6611</v>
      </c>
      <c r="H143" t="s">
        <v>2757</v>
      </c>
    </row>
    <row r="144" spans="1:9" x14ac:dyDescent="0.3">
      <c r="A144">
        <v>-4499598</v>
      </c>
      <c r="B144" t="s">
        <v>5788</v>
      </c>
      <c r="C144">
        <v>4499598</v>
      </c>
      <c r="D144" t="s">
        <v>5789</v>
      </c>
      <c r="E144" t="s">
        <v>3330</v>
      </c>
      <c r="F144" t="s">
        <v>5790</v>
      </c>
      <c r="G144" t="s">
        <v>5791</v>
      </c>
      <c r="H144" t="s">
        <v>5792</v>
      </c>
    </row>
    <row r="145" spans="1:8" x14ac:dyDescent="0.3">
      <c r="A145">
        <v>-4500576</v>
      </c>
      <c r="B145" t="s">
        <v>4931</v>
      </c>
      <c r="C145">
        <v>4500576</v>
      </c>
      <c r="D145" t="s">
        <v>4932</v>
      </c>
      <c r="E145" t="s">
        <v>3173</v>
      </c>
      <c r="F145" t="s">
        <v>4933</v>
      </c>
      <c r="G145" t="s">
        <v>4934</v>
      </c>
      <c r="H145" t="s">
        <v>4678</v>
      </c>
    </row>
    <row r="146" spans="1:8" x14ac:dyDescent="0.3">
      <c r="A146">
        <v>-4501043</v>
      </c>
      <c r="B146" t="s">
        <v>4401</v>
      </c>
      <c r="C146">
        <v>4501043</v>
      </c>
      <c r="D146" t="s">
        <v>4402</v>
      </c>
      <c r="E146" t="s">
        <v>4397</v>
      </c>
      <c r="F146" t="s">
        <v>4403</v>
      </c>
      <c r="G146" t="s">
        <v>4404</v>
      </c>
      <c r="H146" t="s">
        <v>4405</v>
      </c>
    </row>
    <row r="147" spans="1:8" x14ac:dyDescent="0.3">
      <c r="A147">
        <v>-4501515</v>
      </c>
      <c r="B147" t="s">
        <v>3774</v>
      </c>
      <c r="C147">
        <v>4501515</v>
      </c>
      <c r="D147" t="s">
        <v>3775</v>
      </c>
      <c r="E147" t="s">
        <v>3765</v>
      </c>
      <c r="F147" t="s">
        <v>3776</v>
      </c>
      <c r="G147" t="s">
        <v>3777</v>
      </c>
      <c r="H147" t="s">
        <v>2633</v>
      </c>
    </row>
    <row r="148" spans="1:8" x14ac:dyDescent="0.3">
      <c r="A148">
        <v>-4501549</v>
      </c>
      <c r="B148" t="s">
        <v>3708</v>
      </c>
      <c r="C148">
        <v>4501549</v>
      </c>
      <c r="D148" t="s">
        <v>3709</v>
      </c>
      <c r="E148" t="s">
        <v>3705</v>
      </c>
      <c r="F148" t="s">
        <v>3710</v>
      </c>
      <c r="G148" t="s">
        <v>3711</v>
      </c>
      <c r="H148" t="s">
        <v>3712</v>
      </c>
    </row>
    <row r="149" spans="1:8" x14ac:dyDescent="0.3">
      <c r="A149">
        <v>-4499956</v>
      </c>
      <c r="B149" t="s">
        <v>5456</v>
      </c>
      <c r="C149">
        <v>4499956</v>
      </c>
      <c r="D149" t="s">
        <v>5457</v>
      </c>
      <c r="E149" t="s">
        <v>4937</v>
      </c>
      <c r="F149" t="s">
        <v>5458</v>
      </c>
      <c r="G149" t="s">
        <v>5459</v>
      </c>
      <c r="H149" t="s">
        <v>2803</v>
      </c>
    </row>
    <row r="150" spans="1:8" x14ac:dyDescent="0.3">
      <c r="A150">
        <v>-4501876</v>
      </c>
      <c r="B150" t="s">
        <v>3075</v>
      </c>
      <c r="C150">
        <v>4501876</v>
      </c>
      <c r="D150" t="s">
        <v>3076</v>
      </c>
      <c r="E150" t="s">
        <v>2939</v>
      </c>
      <c r="F150" t="s">
        <v>3077</v>
      </c>
      <c r="G150" t="s">
        <v>3078</v>
      </c>
      <c r="H150" t="s">
        <v>3025</v>
      </c>
    </row>
    <row r="151" spans="1:8" x14ac:dyDescent="0.3">
      <c r="A151">
        <v>-4501800</v>
      </c>
      <c r="B151" t="s">
        <v>3198</v>
      </c>
      <c r="C151">
        <v>4501800</v>
      </c>
      <c r="D151" t="s">
        <v>3199</v>
      </c>
      <c r="E151" t="s">
        <v>3115</v>
      </c>
      <c r="F151" t="s">
        <v>3200</v>
      </c>
      <c r="G151" t="s">
        <v>3201</v>
      </c>
      <c r="H151" t="s">
        <v>3202</v>
      </c>
    </row>
    <row r="152" spans="1:8" x14ac:dyDescent="0.3">
      <c r="A152">
        <v>-4500280</v>
      </c>
      <c r="B152" t="s">
        <v>5157</v>
      </c>
      <c r="C152">
        <v>4500280</v>
      </c>
      <c r="D152" t="s">
        <v>5158</v>
      </c>
      <c r="E152" t="s">
        <v>3167</v>
      </c>
      <c r="F152" t="s">
        <v>5159</v>
      </c>
      <c r="G152" t="s">
        <v>5160</v>
      </c>
      <c r="H152" t="s">
        <v>4016</v>
      </c>
    </row>
    <row r="153" spans="1:8" x14ac:dyDescent="0.3">
      <c r="A153">
        <v>-4501715</v>
      </c>
      <c r="B153" t="s">
        <v>3398</v>
      </c>
      <c r="C153">
        <v>4501715</v>
      </c>
      <c r="D153" t="s">
        <v>3399</v>
      </c>
      <c r="E153" t="s">
        <v>2906</v>
      </c>
      <c r="F153" t="s">
        <v>3400</v>
      </c>
      <c r="G153" t="s">
        <v>3401</v>
      </c>
      <c r="H153" t="s">
        <v>2613</v>
      </c>
    </row>
    <row r="154" spans="1:8" x14ac:dyDescent="0.3">
      <c r="A154">
        <v>-4501623</v>
      </c>
      <c r="B154" t="s">
        <v>3571</v>
      </c>
      <c r="C154">
        <v>4501623</v>
      </c>
      <c r="D154" t="s">
        <v>3572</v>
      </c>
      <c r="E154" t="s">
        <v>3573</v>
      </c>
      <c r="F154" t="s">
        <v>3574</v>
      </c>
      <c r="G154" t="s">
        <v>3575</v>
      </c>
      <c r="H154" t="s">
        <v>2645</v>
      </c>
    </row>
    <row r="155" spans="1:8" x14ac:dyDescent="0.3">
      <c r="A155">
        <v>-4500509</v>
      </c>
      <c r="B155" t="s">
        <v>4961</v>
      </c>
      <c r="C155">
        <v>4500509</v>
      </c>
      <c r="D155" t="s">
        <v>4962</v>
      </c>
      <c r="E155" t="s">
        <v>4000</v>
      </c>
      <c r="F155" t="s">
        <v>6655</v>
      </c>
      <c r="G155" t="s">
        <v>6656</v>
      </c>
      <c r="H155" t="s">
        <v>6657</v>
      </c>
    </row>
    <row r="156" spans="1:8" x14ac:dyDescent="0.3">
      <c r="A156">
        <v>-4501054</v>
      </c>
      <c r="B156" t="s">
        <v>4384</v>
      </c>
      <c r="C156">
        <v>4501054</v>
      </c>
      <c r="D156" t="s">
        <v>4385</v>
      </c>
      <c r="E156" t="s">
        <v>4386</v>
      </c>
      <c r="F156" t="s">
        <v>4387</v>
      </c>
      <c r="G156" t="s">
        <v>4388</v>
      </c>
      <c r="H156" t="s">
        <v>4389</v>
      </c>
    </row>
    <row r="157" spans="1:8" x14ac:dyDescent="0.3">
      <c r="A157">
        <v>-4501007</v>
      </c>
      <c r="B157" t="s">
        <v>4453</v>
      </c>
      <c r="C157">
        <v>4501007</v>
      </c>
      <c r="D157" t="s">
        <v>4454</v>
      </c>
      <c r="E157" t="s">
        <v>4373</v>
      </c>
      <c r="F157" t="s">
        <v>6523</v>
      </c>
      <c r="G157" t="s">
        <v>6524</v>
      </c>
      <c r="H157" t="s">
        <v>4447</v>
      </c>
    </row>
    <row r="158" spans="1:8" x14ac:dyDescent="0.3">
      <c r="A158">
        <v>-4499802</v>
      </c>
      <c r="B158" t="s">
        <v>5606</v>
      </c>
      <c r="C158">
        <v>4499802</v>
      </c>
      <c r="D158" t="s">
        <v>5605</v>
      </c>
      <c r="E158" t="s">
        <v>4781</v>
      </c>
      <c r="F158" t="s">
        <v>6359</v>
      </c>
      <c r="G158" t="s">
        <v>6360</v>
      </c>
      <c r="H158" t="s">
        <v>2769</v>
      </c>
    </row>
    <row r="159" spans="1:8" x14ac:dyDescent="0.3">
      <c r="A159">
        <v>-4500993</v>
      </c>
      <c r="B159" t="s">
        <v>4472</v>
      </c>
      <c r="C159">
        <v>4500993</v>
      </c>
      <c r="D159" t="s">
        <v>3002</v>
      </c>
      <c r="E159" t="s">
        <v>4462</v>
      </c>
      <c r="F159" t="s">
        <v>4473</v>
      </c>
      <c r="G159" t="s">
        <v>4474</v>
      </c>
      <c r="H159" t="s">
        <v>4475</v>
      </c>
    </row>
    <row r="160" spans="1:8" x14ac:dyDescent="0.3">
      <c r="A160">
        <v>-4501960</v>
      </c>
      <c r="B160" t="s">
        <v>2946</v>
      </c>
      <c r="C160">
        <v>4501960</v>
      </c>
      <c r="D160" t="s">
        <v>2947</v>
      </c>
      <c r="E160" t="s">
        <v>2948</v>
      </c>
      <c r="F160" t="s">
        <v>2949</v>
      </c>
      <c r="G160" t="s">
        <v>2950</v>
      </c>
      <c r="H160" t="s">
        <v>2945</v>
      </c>
    </row>
    <row r="161" spans="1:8" x14ac:dyDescent="0.3">
      <c r="A161">
        <v>-4501396</v>
      </c>
      <c r="B161" t="s">
        <v>3924</v>
      </c>
      <c r="C161">
        <v>1</v>
      </c>
      <c r="D161" t="e">
        <v>#N/A</v>
      </c>
      <c r="E161" t="e">
        <v>#N/A</v>
      </c>
      <c r="F161" t="s">
        <v>3925</v>
      </c>
      <c r="G161" t="s">
        <v>3926</v>
      </c>
      <c r="H161" t="s">
        <v>2577</v>
      </c>
    </row>
    <row r="162" spans="1:8" x14ac:dyDescent="0.3">
      <c r="A162">
        <v>-4501629</v>
      </c>
      <c r="B162" t="s">
        <v>3566</v>
      </c>
      <c r="C162">
        <v>4501629</v>
      </c>
      <c r="D162" t="s">
        <v>3567</v>
      </c>
      <c r="E162" t="s">
        <v>3544</v>
      </c>
      <c r="F162" t="s">
        <v>3568</v>
      </c>
      <c r="G162" t="s">
        <v>3569</v>
      </c>
      <c r="H162" t="s">
        <v>3570</v>
      </c>
    </row>
    <row r="163" spans="1:8" x14ac:dyDescent="0.3">
      <c r="A163">
        <v>-4501566</v>
      </c>
      <c r="B163" t="s">
        <v>3665</v>
      </c>
      <c r="C163">
        <v>4501566</v>
      </c>
      <c r="D163" t="s">
        <v>3666</v>
      </c>
      <c r="E163" t="s">
        <v>3667</v>
      </c>
      <c r="F163" t="s">
        <v>3668</v>
      </c>
      <c r="G163" t="s">
        <v>3669</v>
      </c>
      <c r="H163" t="s">
        <v>3670</v>
      </c>
    </row>
    <row r="164" spans="1:8" x14ac:dyDescent="0.3">
      <c r="A164">
        <v>-4499910</v>
      </c>
      <c r="B164" t="s">
        <v>5499</v>
      </c>
      <c r="C164">
        <v>4499910</v>
      </c>
      <c r="D164" t="s">
        <v>5500</v>
      </c>
      <c r="E164" t="s">
        <v>3673</v>
      </c>
      <c r="F164" t="s">
        <v>6751</v>
      </c>
      <c r="G164" t="s">
        <v>6752</v>
      </c>
      <c r="H164" t="s">
        <v>2577</v>
      </c>
    </row>
    <row r="165" spans="1:8" x14ac:dyDescent="0.3">
      <c r="A165">
        <v>-4994004</v>
      </c>
      <c r="B165" t="s">
        <v>2740</v>
      </c>
      <c r="C165">
        <v>4994004</v>
      </c>
      <c r="D165" t="s">
        <v>2741</v>
      </c>
      <c r="E165" t="s">
        <v>2742</v>
      </c>
      <c r="F165" t="s">
        <v>2743</v>
      </c>
      <c r="G165" t="s">
        <v>2744</v>
      </c>
      <c r="H165" t="s">
        <v>2745</v>
      </c>
    </row>
    <row r="166" spans="1:8" x14ac:dyDescent="0.3">
      <c r="A166">
        <v>-4500888</v>
      </c>
      <c r="B166" t="s">
        <v>4618</v>
      </c>
      <c r="C166">
        <v>4500888</v>
      </c>
      <c r="D166" t="s">
        <v>4617</v>
      </c>
      <c r="E166" t="s">
        <v>2806</v>
      </c>
      <c r="F166" t="s">
        <v>4619</v>
      </c>
      <c r="G166" t="s">
        <v>4620</v>
      </c>
      <c r="H166" t="s">
        <v>4061</v>
      </c>
    </row>
    <row r="167" spans="1:8" x14ac:dyDescent="0.3">
      <c r="A167">
        <v>-4500814</v>
      </c>
      <c r="B167" t="s">
        <v>4701</v>
      </c>
      <c r="C167">
        <v>4500814</v>
      </c>
      <c r="D167" t="s">
        <v>4702</v>
      </c>
      <c r="E167" t="s">
        <v>4698</v>
      </c>
      <c r="F167" t="s">
        <v>6580</v>
      </c>
      <c r="G167" t="s">
        <v>6581</v>
      </c>
      <c r="H167" t="s">
        <v>2769</v>
      </c>
    </row>
    <row r="168" spans="1:8" x14ac:dyDescent="0.3">
      <c r="A168">
        <v>-4499881</v>
      </c>
      <c r="B168" t="s">
        <v>5540</v>
      </c>
      <c r="C168">
        <v>4499881</v>
      </c>
      <c r="D168" t="s">
        <v>5541</v>
      </c>
      <c r="E168" t="s">
        <v>4037</v>
      </c>
      <c r="F168" t="s">
        <v>6757</v>
      </c>
      <c r="G168" t="s">
        <v>6758</v>
      </c>
      <c r="H168" t="s">
        <v>2785</v>
      </c>
    </row>
    <row r="169" spans="1:8" x14ac:dyDescent="0.3">
      <c r="A169">
        <v>-4501562</v>
      </c>
      <c r="B169" t="s">
        <v>3674</v>
      </c>
      <c r="C169">
        <v>4501562</v>
      </c>
      <c r="D169" t="s">
        <v>3675</v>
      </c>
      <c r="E169" t="s">
        <v>3673</v>
      </c>
      <c r="F169" t="s">
        <v>3676</v>
      </c>
      <c r="G169" t="s">
        <v>3677</v>
      </c>
      <c r="H169" t="s">
        <v>2577</v>
      </c>
    </row>
    <row r="170" spans="1:8" x14ac:dyDescent="0.3">
      <c r="A170">
        <v>-4501758</v>
      </c>
      <c r="B170" t="s">
        <v>3304</v>
      </c>
      <c r="C170">
        <v>4501758</v>
      </c>
      <c r="D170" t="s">
        <v>3305</v>
      </c>
      <c r="E170" t="s">
        <v>2580</v>
      </c>
      <c r="F170" t="s">
        <v>3306</v>
      </c>
      <c r="G170" t="s">
        <v>3307</v>
      </c>
      <c r="H170" t="s">
        <v>3308</v>
      </c>
    </row>
    <row r="171" spans="1:8" x14ac:dyDescent="0.3">
      <c r="A171">
        <v>-4501839</v>
      </c>
      <c r="B171" t="s">
        <v>3144</v>
      </c>
      <c r="C171">
        <v>4501839</v>
      </c>
      <c r="D171" t="s">
        <v>3145</v>
      </c>
      <c r="E171" t="s">
        <v>3131</v>
      </c>
      <c r="F171" t="s">
        <v>3146</v>
      </c>
      <c r="G171" t="s">
        <v>3147</v>
      </c>
      <c r="H171" t="s">
        <v>3148</v>
      </c>
    </row>
    <row r="172" spans="1:8" x14ac:dyDescent="0.3">
      <c r="A172">
        <v>-4500741</v>
      </c>
      <c r="B172" t="s">
        <v>4769</v>
      </c>
      <c r="C172">
        <v>4500741</v>
      </c>
      <c r="D172" t="s">
        <v>4770</v>
      </c>
      <c r="E172" t="s">
        <v>2983</v>
      </c>
      <c r="F172" t="s">
        <v>6606</v>
      </c>
      <c r="G172" t="s">
        <v>6607</v>
      </c>
      <c r="H172" t="s">
        <v>5657</v>
      </c>
    </row>
    <row r="173" spans="1:8" x14ac:dyDescent="0.3">
      <c r="A173" t="s">
        <v>6025</v>
      </c>
      <c r="B173" t="s">
        <v>6035</v>
      </c>
      <c r="C173">
        <v>1</v>
      </c>
      <c r="D173" t="e">
        <v>#N/A</v>
      </c>
      <c r="E173" t="e">
        <v>#N/A</v>
      </c>
      <c r="F173" t="s">
        <v>6036</v>
      </c>
      <c r="G173" t="s">
        <v>6037</v>
      </c>
      <c r="H173" t="s">
        <v>6038</v>
      </c>
    </row>
    <row r="174" spans="1:8" x14ac:dyDescent="0.3">
      <c r="A174">
        <v>-4500953</v>
      </c>
      <c r="B174" t="s">
        <v>4522</v>
      </c>
      <c r="C174">
        <v>4500953</v>
      </c>
      <c r="D174" t="s">
        <v>4523</v>
      </c>
      <c r="E174" t="s">
        <v>4514</v>
      </c>
      <c r="F174" t="s">
        <v>4524</v>
      </c>
      <c r="G174" t="s">
        <v>4525</v>
      </c>
      <c r="H174" t="s">
        <v>4526</v>
      </c>
    </row>
    <row r="175" spans="1:8" x14ac:dyDescent="0.3">
      <c r="A175">
        <v>-4501812</v>
      </c>
      <c r="B175" t="s">
        <v>3182</v>
      </c>
      <c r="C175">
        <v>4501812</v>
      </c>
      <c r="D175" t="s">
        <v>3183</v>
      </c>
      <c r="E175" t="s">
        <v>3184</v>
      </c>
      <c r="F175" t="s">
        <v>3185</v>
      </c>
      <c r="G175" t="s">
        <v>3186</v>
      </c>
      <c r="H175" t="s">
        <v>2769</v>
      </c>
    </row>
    <row r="176" spans="1:8" x14ac:dyDescent="0.3">
      <c r="A176">
        <v>-4501018</v>
      </c>
      <c r="B176" t="s">
        <v>4430</v>
      </c>
      <c r="C176">
        <v>4501018</v>
      </c>
      <c r="D176" t="s">
        <v>4431</v>
      </c>
      <c r="E176" t="s">
        <v>4361</v>
      </c>
      <c r="F176" t="s">
        <v>5851</v>
      </c>
      <c r="G176" t="s">
        <v>5852</v>
      </c>
      <c r="H176" t="s">
        <v>5853</v>
      </c>
    </row>
    <row r="177" spans="1:9" x14ac:dyDescent="0.3">
      <c r="A177">
        <v>-4500174</v>
      </c>
      <c r="B177" t="s">
        <v>5253</v>
      </c>
      <c r="C177">
        <v>4500174</v>
      </c>
      <c r="D177" t="s">
        <v>5254</v>
      </c>
      <c r="E177" t="s">
        <v>4698</v>
      </c>
      <c r="F177" t="s">
        <v>6714</v>
      </c>
      <c r="G177" t="s">
        <v>6715</v>
      </c>
      <c r="H177" t="s">
        <v>2769</v>
      </c>
    </row>
    <row r="178" spans="1:9" x14ac:dyDescent="0.3">
      <c r="A178">
        <v>-4501698</v>
      </c>
      <c r="B178" t="s">
        <v>3432</v>
      </c>
      <c r="C178">
        <v>4501698</v>
      </c>
      <c r="D178" t="s">
        <v>3433</v>
      </c>
      <c r="E178" t="s">
        <v>3423</v>
      </c>
      <c r="F178" t="s">
        <v>3434</v>
      </c>
      <c r="G178" t="s">
        <v>3435</v>
      </c>
      <c r="H178" t="s">
        <v>3436</v>
      </c>
    </row>
    <row r="179" spans="1:9" x14ac:dyDescent="0.3">
      <c r="A179">
        <v>-4500327</v>
      </c>
      <c r="B179" t="s">
        <v>5109</v>
      </c>
      <c r="C179">
        <v>4500327</v>
      </c>
      <c r="D179" t="s">
        <v>5108</v>
      </c>
      <c r="E179" t="s">
        <v>4368</v>
      </c>
      <c r="F179" t="s">
        <v>6679</v>
      </c>
      <c r="G179" t="s">
        <v>6680</v>
      </c>
      <c r="H179" t="s">
        <v>6681</v>
      </c>
    </row>
    <row r="180" spans="1:9" x14ac:dyDescent="0.3">
      <c r="A180">
        <v>-4500819</v>
      </c>
      <c r="B180" t="s">
        <v>4695</v>
      </c>
      <c r="C180">
        <v>4500819</v>
      </c>
      <c r="D180" t="s">
        <v>3750</v>
      </c>
      <c r="E180" t="s">
        <v>3110</v>
      </c>
      <c r="F180" t="s">
        <v>6371</v>
      </c>
      <c r="G180" t="s">
        <v>6372</v>
      </c>
      <c r="H180" t="s">
        <v>2785</v>
      </c>
    </row>
    <row r="181" spans="1:9" x14ac:dyDescent="0.3">
      <c r="A181">
        <v>-4501665</v>
      </c>
      <c r="B181" t="s">
        <v>3505</v>
      </c>
      <c r="C181">
        <v>4501665</v>
      </c>
      <c r="D181" t="s">
        <v>3506</v>
      </c>
      <c r="E181" t="s">
        <v>3507</v>
      </c>
      <c r="F181" t="s">
        <v>3508</v>
      </c>
      <c r="G181" t="s">
        <v>3509</v>
      </c>
      <c r="H181" t="s">
        <v>3510</v>
      </c>
      <c r="I181" t="s">
        <v>3511</v>
      </c>
    </row>
    <row r="182" spans="1:9" x14ac:dyDescent="0.3">
      <c r="A182">
        <v>-4501526</v>
      </c>
      <c r="B182" t="s">
        <v>3754</v>
      </c>
      <c r="C182">
        <v>4501526</v>
      </c>
      <c r="D182" t="s">
        <v>3755</v>
      </c>
      <c r="E182" t="s">
        <v>3006</v>
      </c>
      <c r="F182" t="s">
        <v>3756</v>
      </c>
      <c r="G182" t="s">
        <v>3757</v>
      </c>
      <c r="H182" t="s">
        <v>2577</v>
      </c>
    </row>
    <row r="183" spans="1:9" x14ac:dyDescent="0.3">
      <c r="A183">
        <v>-4500738</v>
      </c>
      <c r="B183" t="s">
        <v>4775</v>
      </c>
      <c r="C183">
        <v>4500738</v>
      </c>
      <c r="D183" t="s">
        <v>4776</v>
      </c>
      <c r="E183" t="s">
        <v>4690</v>
      </c>
      <c r="F183" t="s">
        <v>6612</v>
      </c>
      <c r="G183" t="s">
        <v>6613</v>
      </c>
      <c r="H183" t="s">
        <v>6614</v>
      </c>
    </row>
    <row r="184" spans="1:9" x14ac:dyDescent="0.3">
      <c r="A184">
        <v>-4501123</v>
      </c>
      <c r="B184" t="s">
        <v>4270</v>
      </c>
      <c r="C184">
        <v>4501123</v>
      </c>
      <c r="D184" t="s">
        <v>4271</v>
      </c>
      <c r="E184" t="s">
        <v>4267</v>
      </c>
      <c r="F184" t="s">
        <v>4272</v>
      </c>
      <c r="G184" t="s">
        <v>4273</v>
      </c>
      <c r="H184" t="s">
        <v>4274</v>
      </c>
    </row>
    <row r="185" spans="1:9" x14ac:dyDescent="0.3">
      <c r="A185">
        <v>-4500373</v>
      </c>
      <c r="B185" t="s">
        <v>5081</v>
      </c>
      <c r="C185">
        <v>4500373</v>
      </c>
      <c r="D185" t="s">
        <v>5080</v>
      </c>
      <c r="E185" t="s">
        <v>4223</v>
      </c>
      <c r="F185" t="s">
        <v>5082</v>
      </c>
      <c r="G185" t="s">
        <v>5083</v>
      </c>
      <c r="H185" t="s">
        <v>4243</v>
      </c>
    </row>
    <row r="186" spans="1:9" x14ac:dyDescent="0.3">
      <c r="A186">
        <v>-4499784</v>
      </c>
      <c r="B186" t="s">
        <v>5613</v>
      </c>
      <c r="C186">
        <v>4499784</v>
      </c>
      <c r="D186" t="s">
        <v>5586</v>
      </c>
      <c r="E186" t="s">
        <v>4290</v>
      </c>
      <c r="F186" t="s">
        <v>5614</v>
      </c>
      <c r="G186" t="s">
        <v>5615</v>
      </c>
      <c r="H186" t="s">
        <v>4839</v>
      </c>
    </row>
    <row r="187" spans="1:9" x14ac:dyDescent="0.3">
      <c r="A187">
        <v>-4500811</v>
      </c>
      <c r="B187" t="s">
        <v>4709</v>
      </c>
      <c r="C187">
        <v>4500811</v>
      </c>
      <c r="D187" t="s">
        <v>3342</v>
      </c>
      <c r="E187" t="s">
        <v>4705</v>
      </c>
      <c r="F187" t="s">
        <v>6584</v>
      </c>
      <c r="G187" t="s">
        <v>6585</v>
      </c>
      <c r="H187" t="s">
        <v>3181</v>
      </c>
    </row>
    <row r="188" spans="1:9" x14ac:dyDescent="0.3">
      <c r="A188">
        <v>-4499587</v>
      </c>
      <c r="B188" t="s">
        <v>5805</v>
      </c>
      <c r="C188">
        <v>4499587</v>
      </c>
      <c r="D188" t="s">
        <v>5806</v>
      </c>
      <c r="E188" t="s">
        <v>4109</v>
      </c>
      <c r="F188" t="s">
        <v>6788</v>
      </c>
      <c r="G188" t="s">
        <v>6789</v>
      </c>
      <c r="H188" t="s">
        <v>4243</v>
      </c>
    </row>
    <row r="189" spans="1:9" x14ac:dyDescent="0.3">
      <c r="A189">
        <v>-4500937</v>
      </c>
      <c r="B189" t="s">
        <v>4552</v>
      </c>
      <c r="C189">
        <v>4500937</v>
      </c>
      <c r="D189" t="s">
        <v>4553</v>
      </c>
      <c r="E189" t="s">
        <v>4549</v>
      </c>
      <c r="F189" t="s">
        <v>4554</v>
      </c>
      <c r="G189" t="s">
        <v>4555</v>
      </c>
      <c r="H189" t="s">
        <v>2694</v>
      </c>
    </row>
    <row r="190" spans="1:9" x14ac:dyDescent="0.3">
      <c r="A190">
        <v>-4501356</v>
      </c>
      <c r="B190" t="s">
        <v>3961</v>
      </c>
      <c r="C190">
        <v>4501356</v>
      </c>
      <c r="D190" t="s">
        <v>3076</v>
      </c>
      <c r="E190" t="s">
        <v>2948</v>
      </c>
      <c r="F190" t="s">
        <v>6456</v>
      </c>
      <c r="G190" t="s">
        <v>6457</v>
      </c>
      <c r="H190" t="s">
        <v>6458</v>
      </c>
    </row>
    <row r="191" spans="1:9" x14ac:dyDescent="0.3">
      <c r="A191">
        <v>-4501480</v>
      </c>
      <c r="B191" t="s">
        <v>3841</v>
      </c>
      <c r="C191">
        <v>4501480</v>
      </c>
      <c r="D191" t="s">
        <v>3842</v>
      </c>
      <c r="E191" t="s">
        <v>3818</v>
      </c>
      <c r="F191" t="s">
        <v>6439</v>
      </c>
      <c r="G191" t="s">
        <v>6440</v>
      </c>
      <c r="H191" t="s">
        <v>2577</v>
      </c>
    </row>
    <row r="192" spans="1:9" x14ac:dyDescent="0.3">
      <c r="A192">
        <v>-4500457</v>
      </c>
      <c r="B192" t="s">
        <v>5012</v>
      </c>
      <c r="C192">
        <v>4500457</v>
      </c>
      <c r="D192" t="s">
        <v>4947</v>
      </c>
      <c r="E192" t="s">
        <v>3818</v>
      </c>
      <c r="F192" t="s">
        <v>6439</v>
      </c>
      <c r="G192" t="s">
        <v>6440</v>
      </c>
      <c r="H192" t="s">
        <v>2577</v>
      </c>
    </row>
    <row r="193" spans="1:8" x14ac:dyDescent="0.3">
      <c r="A193" t="s">
        <v>6175</v>
      </c>
      <c r="B193" t="s">
        <v>6176</v>
      </c>
      <c r="C193">
        <v>4501156</v>
      </c>
      <c r="D193" t="s">
        <v>6177</v>
      </c>
      <c r="E193" t="s">
        <v>5101</v>
      </c>
      <c r="F193" t="s">
        <v>6833</v>
      </c>
      <c r="G193" t="s">
        <v>6834</v>
      </c>
      <c r="H193" t="s">
        <v>2779</v>
      </c>
    </row>
    <row r="194" spans="1:8" x14ac:dyDescent="0.3">
      <c r="A194">
        <v>-4499974</v>
      </c>
      <c r="B194" t="s">
        <v>5440</v>
      </c>
      <c r="C194">
        <v>4499974</v>
      </c>
      <c r="D194" t="s">
        <v>5439</v>
      </c>
      <c r="E194" t="s">
        <v>4267</v>
      </c>
      <c r="F194" t="s">
        <v>5441</v>
      </c>
      <c r="G194" t="s">
        <v>5442</v>
      </c>
      <c r="H194" t="s">
        <v>2589</v>
      </c>
    </row>
    <row r="195" spans="1:8" x14ac:dyDescent="0.3">
      <c r="A195">
        <v>-4501108</v>
      </c>
      <c r="B195" t="s">
        <v>4288</v>
      </c>
      <c r="C195">
        <v>4501108</v>
      </c>
      <c r="D195" t="s">
        <v>4289</v>
      </c>
      <c r="E195" t="s">
        <v>4290</v>
      </c>
      <c r="F195" t="s">
        <v>4291</v>
      </c>
      <c r="G195" t="s">
        <v>4292</v>
      </c>
      <c r="H195" t="s">
        <v>2589</v>
      </c>
    </row>
    <row r="196" spans="1:8" x14ac:dyDescent="0.3">
      <c r="A196" t="s">
        <v>6081</v>
      </c>
      <c r="B196" t="s">
        <v>6082</v>
      </c>
      <c r="C196">
        <v>4500026</v>
      </c>
      <c r="D196" t="s">
        <v>6079</v>
      </c>
      <c r="E196" t="s">
        <v>6080</v>
      </c>
      <c r="F196" t="s">
        <v>6083</v>
      </c>
      <c r="G196" t="s">
        <v>6084</v>
      </c>
      <c r="H196" t="s">
        <v>2785</v>
      </c>
    </row>
    <row r="197" spans="1:8" x14ac:dyDescent="0.3">
      <c r="A197">
        <v>-4500727</v>
      </c>
      <c r="B197" t="s">
        <v>4790</v>
      </c>
      <c r="C197">
        <v>4500727</v>
      </c>
      <c r="D197" t="s">
        <v>4791</v>
      </c>
      <c r="E197" t="s">
        <v>4011</v>
      </c>
      <c r="F197" t="s">
        <v>6620</v>
      </c>
      <c r="G197" t="s">
        <v>6621</v>
      </c>
      <c r="H197" t="s">
        <v>4016</v>
      </c>
    </row>
    <row r="198" spans="1:8" x14ac:dyDescent="0.3">
      <c r="A198">
        <v>-4501034</v>
      </c>
      <c r="B198" t="s">
        <v>4415</v>
      </c>
      <c r="C198">
        <v>4501034</v>
      </c>
      <c r="D198" t="s">
        <v>4412</v>
      </c>
      <c r="E198" t="s">
        <v>2989</v>
      </c>
      <c r="F198" t="s">
        <v>6516</v>
      </c>
      <c r="G198" t="s">
        <v>6517</v>
      </c>
      <c r="H198" t="s">
        <v>4420</v>
      </c>
    </row>
    <row r="199" spans="1:8" x14ac:dyDescent="0.3">
      <c r="A199" t="s">
        <v>6224</v>
      </c>
      <c r="B199" t="s">
        <v>6225</v>
      </c>
      <c r="C199" t="e">
        <v>#VALUE!</v>
      </c>
      <c r="D199" t="e">
        <v>#VALUE!</v>
      </c>
      <c r="E199" t="e">
        <v>#VALUE!</v>
      </c>
      <c r="F199" t="s">
        <v>6226</v>
      </c>
      <c r="G199" t="s">
        <v>6227</v>
      </c>
      <c r="H199" t="s">
        <v>2613</v>
      </c>
    </row>
    <row r="200" spans="1:8" x14ac:dyDescent="0.3">
      <c r="A200" t="s">
        <v>6144</v>
      </c>
      <c r="B200" t="s">
        <v>6145</v>
      </c>
      <c r="C200">
        <v>4500750</v>
      </c>
      <c r="D200" t="s">
        <v>6146</v>
      </c>
      <c r="E200" t="s">
        <v>3197</v>
      </c>
      <c r="F200" t="s">
        <v>6825</v>
      </c>
      <c r="G200" t="s">
        <v>6826</v>
      </c>
      <c r="H200" t="s">
        <v>2803</v>
      </c>
    </row>
    <row r="201" spans="1:8" x14ac:dyDescent="0.3">
      <c r="A201">
        <v>-4501950</v>
      </c>
      <c r="B201" t="s">
        <v>2962</v>
      </c>
      <c r="C201">
        <v>4501950</v>
      </c>
      <c r="D201" t="s">
        <v>2963</v>
      </c>
      <c r="E201" t="s">
        <v>2964</v>
      </c>
      <c r="F201" t="s">
        <v>2965</v>
      </c>
      <c r="G201" t="s">
        <v>2966</v>
      </c>
      <c r="H201" t="s">
        <v>2967</v>
      </c>
    </row>
    <row r="202" spans="1:8" x14ac:dyDescent="0.3">
      <c r="A202">
        <v>-4500907</v>
      </c>
      <c r="B202" t="s">
        <v>4582</v>
      </c>
      <c r="C202">
        <v>4499510</v>
      </c>
      <c r="D202" t="s">
        <v>2931</v>
      </c>
      <c r="E202" t="s">
        <v>5897</v>
      </c>
      <c r="F202" t="s">
        <v>4583</v>
      </c>
      <c r="G202" t="s">
        <v>4584</v>
      </c>
      <c r="H202" t="s">
        <v>4585</v>
      </c>
    </row>
    <row r="203" spans="1:8" x14ac:dyDescent="0.3">
      <c r="A203" t="s">
        <v>6303</v>
      </c>
      <c r="B203" t="s">
        <v>6317</v>
      </c>
      <c r="C203">
        <v>4629975</v>
      </c>
      <c r="D203" t="s">
        <v>2931</v>
      </c>
      <c r="E203" t="s">
        <v>2932</v>
      </c>
      <c r="F203" t="s">
        <v>4583</v>
      </c>
      <c r="G203" t="s">
        <v>4584</v>
      </c>
      <c r="H203" t="s">
        <v>4585</v>
      </c>
    </row>
    <row r="204" spans="1:8" x14ac:dyDescent="0.3">
      <c r="A204">
        <v>-4500797</v>
      </c>
      <c r="B204" t="s">
        <v>4728</v>
      </c>
      <c r="C204">
        <v>4500797</v>
      </c>
      <c r="D204" t="s">
        <v>4729</v>
      </c>
      <c r="E204" t="s">
        <v>3197</v>
      </c>
      <c r="F204" t="s">
        <v>6591</v>
      </c>
      <c r="G204" t="s">
        <v>6592</v>
      </c>
      <c r="H204" t="s">
        <v>2757</v>
      </c>
    </row>
    <row r="205" spans="1:8" x14ac:dyDescent="0.3">
      <c r="A205">
        <v>-4500956</v>
      </c>
      <c r="B205" t="s">
        <v>4518</v>
      </c>
      <c r="C205">
        <v>4500956</v>
      </c>
      <c r="D205" t="s">
        <v>4517</v>
      </c>
      <c r="E205" t="s">
        <v>4514</v>
      </c>
      <c r="F205" t="s">
        <v>4519</v>
      </c>
      <c r="G205" t="s">
        <v>4520</v>
      </c>
      <c r="H205" t="s">
        <v>4521</v>
      </c>
    </row>
    <row r="206" spans="1:8" x14ac:dyDescent="0.3">
      <c r="A206">
        <v>-4499970</v>
      </c>
      <c r="B206" t="s">
        <v>5447</v>
      </c>
      <c r="C206">
        <v>4499970</v>
      </c>
      <c r="D206" t="s">
        <v>5448</v>
      </c>
      <c r="E206" t="s">
        <v>4669</v>
      </c>
      <c r="F206" t="s">
        <v>6734</v>
      </c>
      <c r="G206" t="s">
        <v>6735</v>
      </c>
      <c r="H206" t="s">
        <v>6736</v>
      </c>
    </row>
    <row r="207" spans="1:8" x14ac:dyDescent="0.3">
      <c r="A207">
        <v>-4500625</v>
      </c>
      <c r="B207" t="s">
        <v>4883</v>
      </c>
      <c r="C207">
        <v>4500625</v>
      </c>
      <c r="D207" t="s">
        <v>4884</v>
      </c>
      <c r="E207" t="s">
        <v>4885</v>
      </c>
      <c r="F207" t="s">
        <v>4886</v>
      </c>
      <c r="G207" t="s">
        <v>4887</v>
      </c>
      <c r="H207" t="s">
        <v>4888</v>
      </c>
    </row>
    <row r="208" spans="1:8" x14ac:dyDescent="0.3">
      <c r="A208">
        <v>-4500552</v>
      </c>
      <c r="B208" t="s">
        <v>4948</v>
      </c>
      <c r="C208">
        <v>4500552</v>
      </c>
      <c r="D208" t="s">
        <v>4947</v>
      </c>
      <c r="E208" t="s">
        <v>2911</v>
      </c>
      <c r="F208" t="s">
        <v>4949</v>
      </c>
      <c r="G208" t="s">
        <v>4950</v>
      </c>
      <c r="H208" t="s">
        <v>2607</v>
      </c>
    </row>
    <row r="209" spans="1:9" x14ac:dyDescent="0.3">
      <c r="A209">
        <v>-4500996</v>
      </c>
      <c r="B209" t="s">
        <v>4468</v>
      </c>
      <c r="C209">
        <v>4500996</v>
      </c>
      <c r="D209" t="s">
        <v>4469</v>
      </c>
      <c r="E209" t="s">
        <v>4462</v>
      </c>
      <c r="F209" t="s">
        <v>4470</v>
      </c>
      <c r="G209" t="s">
        <v>4471</v>
      </c>
      <c r="H209" t="s">
        <v>4061</v>
      </c>
    </row>
    <row r="210" spans="1:9" x14ac:dyDescent="0.3">
      <c r="A210">
        <v>-4501907</v>
      </c>
      <c r="B210" t="s">
        <v>3026</v>
      </c>
      <c r="C210">
        <v>4501907</v>
      </c>
      <c r="D210" t="s">
        <v>3027</v>
      </c>
      <c r="E210" t="s">
        <v>2939</v>
      </c>
      <c r="F210" t="s">
        <v>3028</v>
      </c>
      <c r="G210" t="s">
        <v>3029</v>
      </c>
      <c r="H210" t="s">
        <v>3030</v>
      </c>
    </row>
    <row r="211" spans="1:9" x14ac:dyDescent="0.3">
      <c r="A211">
        <v>-4501107</v>
      </c>
      <c r="B211" t="s">
        <v>4293</v>
      </c>
      <c r="C211">
        <v>4501107</v>
      </c>
      <c r="D211" t="s">
        <v>4294</v>
      </c>
      <c r="E211" t="s">
        <v>2586</v>
      </c>
      <c r="F211" t="s">
        <v>4295</v>
      </c>
      <c r="G211" t="s">
        <v>4296</v>
      </c>
      <c r="H211" t="s">
        <v>4297</v>
      </c>
    </row>
    <row r="212" spans="1:9" x14ac:dyDescent="0.3">
      <c r="A212">
        <v>-4993990</v>
      </c>
      <c r="B212" t="s">
        <v>2770</v>
      </c>
      <c r="C212">
        <v>4993990</v>
      </c>
      <c r="D212" t="s">
        <v>2771</v>
      </c>
      <c r="E212" t="s">
        <v>2772</v>
      </c>
      <c r="F212" t="s">
        <v>2773</v>
      </c>
      <c r="G212" t="s">
        <v>97</v>
      </c>
      <c r="H212" t="e">
        <v>#N/A</v>
      </c>
    </row>
    <row r="213" spans="1:9" x14ac:dyDescent="0.3">
      <c r="A213">
        <v>-4500085</v>
      </c>
      <c r="B213" t="s">
        <v>5328</v>
      </c>
      <c r="C213">
        <v>4500085</v>
      </c>
      <c r="D213" t="s">
        <v>5327</v>
      </c>
      <c r="E213" t="s">
        <v>4397</v>
      </c>
      <c r="F213" t="s">
        <v>6722</v>
      </c>
      <c r="G213" t="s">
        <v>6723</v>
      </c>
      <c r="H213" t="s">
        <v>4389</v>
      </c>
    </row>
    <row r="214" spans="1:9" x14ac:dyDescent="0.3">
      <c r="A214">
        <v>-4501616</v>
      </c>
      <c r="B214" t="s">
        <v>3589</v>
      </c>
      <c r="C214">
        <v>4501616</v>
      </c>
      <c r="D214" t="s">
        <v>3590</v>
      </c>
      <c r="E214" t="s">
        <v>3585</v>
      </c>
      <c r="F214" t="s">
        <v>3591</v>
      </c>
      <c r="G214" t="s">
        <v>3592</v>
      </c>
      <c r="H214" t="s">
        <v>3593</v>
      </c>
      <c r="I214" t="s">
        <v>3594</v>
      </c>
    </row>
    <row r="215" spans="1:9" x14ac:dyDescent="0.3">
      <c r="A215">
        <v>-4501245</v>
      </c>
      <c r="B215" t="s">
        <v>4140</v>
      </c>
      <c r="C215">
        <v>4501245</v>
      </c>
      <c r="D215" t="s">
        <v>4141</v>
      </c>
      <c r="E215" t="s">
        <v>4142</v>
      </c>
      <c r="F215" t="s">
        <v>6481</v>
      </c>
      <c r="G215" t="s">
        <v>6482</v>
      </c>
      <c r="H215" t="s">
        <v>4088</v>
      </c>
    </row>
    <row r="216" spans="1:9" x14ac:dyDescent="0.3">
      <c r="A216">
        <v>-4993992</v>
      </c>
      <c r="B216" t="s">
        <v>2758</v>
      </c>
      <c r="C216">
        <v>4993992</v>
      </c>
      <c r="D216" t="s">
        <v>2759</v>
      </c>
      <c r="E216" t="s">
        <v>2760</v>
      </c>
      <c r="F216" t="s">
        <v>2761</v>
      </c>
      <c r="G216" t="s">
        <v>2762</v>
      </c>
      <c r="H216" t="s">
        <v>2763</v>
      </c>
    </row>
    <row r="217" spans="1:9" x14ac:dyDescent="0.3">
      <c r="A217">
        <v>-4501301</v>
      </c>
      <c r="B217" t="s">
        <v>4030</v>
      </c>
      <c r="C217">
        <v>4501301</v>
      </c>
      <c r="D217" t="s">
        <v>4031</v>
      </c>
      <c r="E217" t="s">
        <v>4028</v>
      </c>
      <c r="F217" t="s">
        <v>2761</v>
      </c>
      <c r="G217" t="s">
        <v>2762</v>
      </c>
      <c r="H217" t="s">
        <v>2763</v>
      </c>
    </row>
    <row r="218" spans="1:9" x14ac:dyDescent="0.3">
      <c r="A218">
        <v>-4500136</v>
      </c>
      <c r="B218" t="s">
        <v>5276</v>
      </c>
      <c r="C218">
        <v>4500136</v>
      </c>
      <c r="D218" t="s">
        <v>5277</v>
      </c>
      <c r="E218" t="s">
        <v>3464</v>
      </c>
      <c r="F218" t="s">
        <v>5278</v>
      </c>
      <c r="G218" t="s">
        <v>5279</v>
      </c>
      <c r="H218" t="s">
        <v>3430</v>
      </c>
    </row>
    <row r="219" spans="1:9" x14ac:dyDescent="0.3">
      <c r="A219" t="s">
        <v>6199</v>
      </c>
      <c r="B219" t="s">
        <v>6200</v>
      </c>
      <c r="C219">
        <v>4501803</v>
      </c>
      <c r="D219" t="s">
        <v>6201</v>
      </c>
      <c r="E219" t="s">
        <v>4741</v>
      </c>
      <c r="F219" t="s">
        <v>6202</v>
      </c>
      <c r="G219" t="s">
        <v>6203</v>
      </c>
      <c r="H219" t="s">
        <v>6120</v>
      </c>
    </row>
    <row r="220" spans="1:9" x14ac:dyDescent="0.3">
      <c r="A220">
        <v>-4500848</v>
      </c>
      <c r="B220" t="s">
        <v>4661</v>
      </c>
      <c r="C220">
        <v>4500848</v>
      </c>
      <c r="D220" t="s">
        <v>4662</v>
      </c>
      <c r="E220" t="s">
        <v>3121</v>
      </c>
      <c r="F220" t="s">
        <v>4663</v>
      </c>
      <c r="G220" t="s">
        <v>4664</v>
      </c>
      <c r="H220" t="s">
        <v>4665</v>
      </c>
    </row>
    <row r="221" spans="1:9" x14ac:dyDescent="0.3">
      <c r="A221">
        <v>-4500131</v>
      </c>
      <c r="B221" t="s">
        <v>5285</v>
      </c>
      <c r="C221">
        <v>4500131</v>
      </c>
      <c r="D221" t="s">
        <v>5286</v>
      </c>
      <c r="E221" t="s">
        <v>4000</v>
      </c>
      <c r="F221" t="s">
        <v>5287</v>
      </c>
      <c r="G221" t="s">
        <v>5288</v>
      </c>
      <c r="H221" t="s">
        <v>5289</v>
      </c>
    </row>
    <row r="222" spans="1:9" x14ac:dyDescent="0.3">
      <c r="A222">
        <v>-4499624</v>
      </c>
      <c r="B222" t="s">
        <v>5765</v>
      </c>
      <c r="C222">
        <v>4499624</v>
      </c>
      <c r="D222" t="s">
        <v>5766</v>
      </c>
      <c r="E222" t="s">
        <v>5767</v>
      </c>
      <c r="F222" t="s">
        <v>6779</v>
      </c>
      <c r="G222" t="s">
        <v>6780</v>
      </c>
      <c r="H222" t="s">
        <v>6781</v>
      </c>
    </row>
    <row r="223" spans="1:9" x14ac:dyDescent="0.3">
      <c r="A223">
        <v>-4501353</v>
      </c>
      <c r="B223" t="s">
        <v>3962</v>
      </c>
      <c r="C223">
        <v>4501353</v>
      </c>
      <c r="D223" t="s">
        <v>2963</v>
      </c>
      <c r="E223" t="s">
        <v>2948</v>
      </c>
      <c r="F223" t="s">
        <v>3963</v>
      </c>
      <c r="G223" t="s">
        <v>3964</v>
      </c>
      <c r="H223" t="s">
        <v>3965</v>
      </c>
    </row>
    <row r="224" spans="1:9" x14ac:dyDescent="0.3">
      <c r="A224">
        <v>-4499795</v>
      </c>
      <c r="B224" t="s">
        <v>5607</v>
      </c>
      <c r="C224">
        <v>4499795</v>
      </c>
      <c r="D224" t="s">
        <v>5608</v>
      </c>
      <c r="E224" t="s">
        <v>3453</v>
      </c>
      <c r="F224" t="s">
        <v>6761</v>
      </c>
      <c r="G224" t="s">
        <v>6762</v>
      </c>
      <c r="H224" t="s">
        <v>6763</v>
      </c>
    </row>
    <row r="225" spans="1:8" x14ac:dyDescent="0.3">
      <c r="A225">
        <v>-4499952</v>
      </c>
      <c r="B225" t="s">
        <v>5460</v>
      </c>
      <c r="C225">
        <v>4499952</v>
      </c>
      <c r="D225" t="s">
        <v>5461</v>
      </c>
      <c r="E225" t="s">
        <v>4669</v>
      </c>
      <c r="F225" t="s">
        <v>5462</v>
      </c>
      <c r="G225" t="s">
        <v>97</v>
      </c>
      <c r="H225" t="e">
        <v>#N/A</v>
      </c>
    </row>
    <row r="226" spans="1:8" x14ac:dyDescent="0.3">
      <c r="A226">
        <v>-4500122</v>
      </c>
      <c r="B226" t="s">
        <v>5299</v>
      </c>
      <c r="C226">
        <v>4500122</v>
      </c>
      <c r="D226" t="s">
        <v>3645</v>
      </c>
      <c r="E226" t="s">
        <v>3818</v>
      </c>
      <c r="F226" t="s">
        <v>6720</v>
      </c>
      <c r="G226" t="s">
        <v>6721</v>
      </c>
      <c r="H226" t="s">
        <v>3250</v>
      </c>
    </row>
    <row r="227" spans="1:8" x14ac:dyDescent="0.3">
      <c r="A227">
        <v>-4500805</v>
      </c>
      <c r="B227" t="s">
        <v>4716</v>
      </c>
      <c r="C227">
        <v>4500805</v>
      </c>
      <c r="D227" t="s">
        <v>4717</v>
      </c>
      <c r="E227" t="s">
        <v>4705</v>
      </c>
      <c r="F227" t="s">
        <v>6589</v>
      </c>
      <c r="G227" t="s">
        <v>6590</v>
      </c>
      <c r="H227" t="s">
        <v>3181</v>
      </c>
    </row>
    <row r="228" spans="1:8" x14ac:dyDescent="0.3">
      <c r="A228">
        <v>-4500064</v>
      </c>
      <c r="B228" t="s">
        <v>5350</v>
      </c>
      <c r="C228">
        <v>4500064</v>
      </c>
      <c r="D228" t="s">
        <v>5351</v>
      </c>
      <c r="E228" t="s">
        <v>4044</v>
      </c>
      <c r="F228" t="s">
        <v>5770</v>
      </c>
      <c r="G228" t="s">
        <v>5771</v>
      </c>
      <c r="H228" t="s">
        <v>4047</v>
      </c>
    </row>
    <row r="229" spans="1:8" x14ac:dyDescent="0.3">
      <c r="A229">
        <v>-4499623</v>
      </c>
      <c r="B229" t="s">
        <v>5768</v>
      </c>
      <c r="C229">
        <v>4499623</v>
      </c>
      <c r="D229" t="s">
        <v>5769</v>
      </c>
      <c r="E229" t="s">
        <v>4234</v>
      </c>
      <c r="F229">
        <v>1</v>
      </c>
      <c r="G229" t="s">
        <v>97</v>
      </c>
      <c r="H229" t="e">
        <v>#N/A</v>
      </c>
    </row>
    <row r="230" spans="1:8" x14ac:dyDescent="0.3">
      <c r="A230" t="s">
        <v>6185</v>
      </c>
      <c r="B230" t="s">
        <v>6186</v>
      </c>
      <c r="C230">
        <v>4501290</v>
      </c>
      <c r="D230" t="s">
        <v>4788</v>
      </c>
      <c r="E230" t="s">
        <v>3156</v>
      </c>
      <c r="F230" t="s">
        <v>5770</v>
      </c>
      <c r="G230" t="s">
        <v>5771</v>
      </c>
      <c r="H230" t="s">
        <v>4047</v>
      </c>
    </row>
    <row r="231" spans="1:8" x14ac:dyDescent="0.3">
      <c r="A231">
        <v>-4499766</v>
      </c>
      <c r="B231" t="s">
        <v>5634</v>
      </c>
      <c r="C231">
        <v>4499766</v>
      </c>
      <c r="D231" t="s">
        <v>5635</v>
      </c>
      <c r="E231" t="s">
        <v>4690</v>
      </c>
      <c r="F231" t="s">
        <v>6849</v>
      </c>
      <c r="G231" t="s">
        <v>6850</v>
      </c>
      <c r="H231" t="s">
        <v>6851</v>
      </c>
    </row>
    <row r="232" spans="1:8" x14ac:dyDescent="0.3">
      <c r="A232">
        <v>-4501067</v>
      </c>
      <c r="B232" t="s">
        <v>4362</v>
      </c>
      <c r="C232">
        <v>4501067</v>
      </c>
      <c r="D232" t="s">
        <v>4360</v>
      </c>
      <c r="E232" t="s">
        <v>4361</v>
      </c>
      <c r="F232" t="s">
        <v>4363</v>
      </c>
      <c r="G232" t="s">
        <v>4364</v>
      </c>
      <c r="H232" t="s">
        <v>4365</v>
      </c>
    </row>
    <row r="233" spans="1:8" x14ac:dyDescent="0.3">
      <c r="A233">
        <v>-4501853</v>
      </c>
      <c r="B233" t="s">
        <v>3116</v>
      </c>
      <c r="C233">
        <v>4501853</v>
      </c>
      <c r="D233" t="s">
        <v>3117</v>
      </c>
      <c r="E233" t="s">
        <v>2948</v>
      </c>
      <c r="F233" t="s">
        <v>3118</v>
      </c>
      <c r="G233" t="s">
        <v>97</v>
      </c>
      <c r="H233" t="e">
        <v>#N/A</v>
      </c>
    </row>
    <row r="234" spans="1:8" x14ac:dyDescent="0.3">
      <c r="A234">
        <v>-4501343</v>
      </c>
      <c r="B234" t="s">
        <v>3982</v>
      </c>
      <c r="C234">
        <v>4501343</v>
      </c>
      <c r="D234" t="s">
        <v>3983</v>
      </c>
      <c r="E234" t="s">
        <v>2948</v>
      </c>
      <c r="F234" t="s">
        <v>3118</v>
      </c>
      <c r="G234" t="s">
        <v>97</v>
      </c>
      <c r="H234" t="e">
        <v>#N/A</v>
      </c>
    </row>
    <row r="235" spans="1:8" x14ac:dyDescent="0.3">
      <c r="A235">
        <v>-4500610</v>
      </c>
      <c r="B235" t="s">
        <v>4905</v>
      </c>
      <c r="C235">
        <v>4500610</v>
      </c>
      <c r="D235" t="s">
        <v>4906</v>
      </c>
      <c r="E235" t="s">
        <v>2942</v>
      </c>
      <c r="F235" t="s">
        <v>3118</v>
      </c>
      <c r="G235" t="s">
        <v>97</v>
      </c>
      <c r="H235" t="e">
        <v>#N/A</v>
      </c>
    </row>
    <row r="236" spans="1:8" x14ac:dyDescent="0.3">
      <c r="A236">
        <v>-4501890</v>
      </c>
      <c r="B236" t="s">
        <v>3051</v>
      </c>
      <c r="C236">
        <v>4501890</v>
      </c>
      <c r="D236" t="s">
        <v>3052</v>
      </c>
      <c r="E236" t="s">
        <v>2939</v>
      </c>
      <c r="F236">
        <v>1001304330</v>
      </c>
      <c r="G236" t="s">
        <v>6921</v>
      </c>
      <c r="H236" t="s">
        <v>6922</v>
      </c>
    </row>
    <row r="237" spans="1:8" x14ac:dyDescent="0.3">
      <c r="A237" t="s">
        <v>6303</v>
      </c>
      <c r="B237" t="s">
        <v>6343</v>
      </c>
      <c r="C237">
        <v>1</v>
      </c>
      <c r="D237" t="e">
        <v>#N/A</v>
      </c>
      <c r="E237" t="e">
        <v>#N/A</v>
      </c>
      <c r="F237" t="s">
        <v>6344</v>
      </c>
      <c r="G237" t="s">
        <v>97</v>
      </c>
      <c r="H237" t="e">
        <v>#N/A</v>
      </c>
    </row>
    <row r="238" spans="1:8" x14ac:dyDescent="0.3">
      <c r="A238">
        <v>-4500048</v>
      </c>
      <c r="B238" t="s">
        <v>5367</v>
      </c>
      <c r="C238">
        <v>4500048</v>
      </c>
      <c r="D238" t="s">
        <v>5368</v>
      </c>
      <c r="E238" t="s">
        <v>5369</v>
      </c>
      <c r="F238" t="s">
        <v>5370</v>
      </c>
      <c r="G238" t="s">
        <v>5371</v>
      </c>
      <c r="H238" t="s">
        <v>3430</v>
      </c>
    </row>
    <row r="239" spans="1:8" x14ac:dyDescent="0.3">
      <c r="A239">
        <v>-4757662</v>
      </c>
      <c r="B239" t="s">
        <v>2846</v>
      </c>
      <c r="C239">
        <v>4757662</v>
      </c>
      <c r="D239" t="s">
        <v>2847</v>
      </c>
      <c r="E239" t="s">
        <v>2848</v>
      </c>
      <c r="F239" t="s">
        <v>2849</v>
      </c>
      <c r="G239" t="s">
        <v>2850</v>
      </c>
      <c r="H239" t="s">
        <v>2851</v>
      </c>
    </row>
    <row r="240" spans="1:8" x14ac:dyDescent="0.3">
      <c r="A240">
        <v>-4500889</v>
      </c>
      <c r="B240" t="s">
        <v>4616</v>
      </c>
      <c r="C240">
        <v>4500889</v>
      </c>
      <c r="D240" t="s">
        <v>3469</v>
      </c>
      <c r="E240" t="s">
        <v>2806</v>
      </c>
      <c r="F240" t="s">
        <v>6545</v>
      </c>
      <c r="G240" t="s">
        <v>6546</v>
      </c>
      <c r="H240" t="s">
        <v>6547</v>
      </c>
    </row>
    <row r="241" spans="1:8" x14ac:dyDescent="0.3">
      <c r="A241">
        <v>-4501189</v>
      </c>
      <c r="B241" t="s">
        <v>4210</v>
      </c>
      <c r="C241">
        <v>4501189</v>
      </c>
      <c r="D241" t="s">
        <v>4209</v>
      </c>
      <c r="E241" t="s">
        <v>4206</v>
      </c>
      <c r="F241" t="s">
        <v>6492</v>
      </c>
      <c r="G241" t="s">
        <v>6493</v>
      </c>
      <c r="H241" t="s">
        <v>5516</v>
      </c>
    </row>
    <row r="242" spans="1:8" x14ac:dyDescent="0.3">
      <c r="A242">
        <v>-4501283</v>
      </c>
      <c r="B242" t="s">
        <v>4057</v>
      </c>
      <c r="C242">
        <v>4501283</v>
      </c>
      <c r="D242" t="s">
        <v>4058</v>
      </c>
      <c r="E242" t="s">
        <v>2979</v>
      </c>
      <c r="F242" t="s">
        <v>4059</v>
      </c>
      <c r="G242" t="s">
        <v>4060</v>
      </c>
      <c r="H242" t="s">
        <v>4061</v>
      </c>
    </row>
    <row r="243" spans="1:8" x14ac:dyDescent="0.3">
      <c r="A243">
        <v>-4501283</v>
      </c>
      <c r="B243" t="s">
        <v>4062</v>
      </c>
      <c r="C243">
        <v>4501283</v>
      </c>
      <c r="D243" t="s">
        <v>4058</v>
      </c>
      <c r="E243" t="s">
        <v>2979</v>
      </c>
      <c r="F243" t="s">
        <v>4063</v>
      </c>
      <c r="G243" t="s">
        <v>4064</v>
      </c>
      <c r="H243" t="s">
        <v>2589</v>
      </c>
    </row>
    <row r="244" spans="1:8" x14ac:dyDescent="0.3">
      <c r="A244">
        <v>-4499789</v>
      </c>
      <c r="B244" t="s">
        <v>5609</v>
      </c>
      <c r="C244">
        <v>4499789</v>
      </c>
      <c r="D244" t="s">
        <v>5610</v>
      </c>
      <c r="E244" t="s">
        <v>3765</v>
      </c>
      <c r="F244" t="s">
        <v>6764</v>
      </c>
      <c r="G244" t="s">
        <v>6765</v>
      </c>
      <c r="H244" t="s">
        <v>6766</v>
      </c>
    </row>
    <row r="245" spans="1:8" x14ac:dyDescent="0.3">
      <c r="A245">
        <v>-4501267</v>
      </c>
      <c r="B245" t="s">
        <v>4101</v>
      </c>
      <c r="C245">
        <v>4501267</v>
      </c>
      <c r="D245" t="s">
        <v>4099</v>
      </c>
      <c r="E245" t="s">
        <v>4100</v>
      </c>
      <c r="F245" t="s">
        <v>4102</v>
      </c>
      <c r="G245" t="s">
        <v>4103</v>
      </c>
      <c r="H245" t="s">
        <v>4104</v>
      </c>
    </row>
    <row r="246" spans="1:8" x14ac:dyDescent="0.3">
      <c r="A246" t="s">
        <v>6166</v>
      </c>
      <c r="B246" t="s">
        <v>6167</v>
      </c>
      <c r="C246">
        <v>4500884</v>
      </c>
      <c r="D246" t="s">
        <v>6168</v>
      </c>
      <c r="E246" t="s">
        <v>2806</v>
      </c>
      <c r="F246" t="s">
        <v>6169</v>
      </c>
      <c r="G246" t="s">
        <v>6170</v>
      </c>
      <c r="H246" t="s">
        <v>6171</v>
      </c>
    </row>
    <row r="247" spans="1:8" x14ac:dyDescent="0.3">
      <c r="A247">
        <v>-4500806</v>
      </c>
      <c r="B247" t="s">
        <v>4714</v>
      </c>
      <c r="C247">
        <v>4500806</v>
      </c>
      <c r="D247" t="s">
        <v>4715</v>
      </c>
      <c r="E247" t="s">
        <v>3156</v>
      </c>
      <c r="F247" t="s">
        <v>6586</v>
      </c>
      <c r="G247" t="s">
        <v>6587</v>
      </c>
      <c r="H247" t="s">
        <v>6588</v>
      </c>
    </row>
    <row r="248" spans="1:8" x14ac:dyDescent="0.3">
      <c r="A248">
        <v>-4501532</v>
      </c>
      <c r="B248" t="s">
        <v>3738</v>
      </c>
      <c r="C248">
        <v>4501532</v>
      </c>
      <c r="D248" t="s">
        <v>3739</v>
      </c>
      <c r="E248" t="s">
        <v>3006</v>
      </c>
      <c r="F248" t="s">
        <v>3740</v>
      </c>
      <c r="G248" t="s">
        <v>3741</v>
      </c>
      <c r="H248" t="s">
        <v>3742</v>
      </c>
    </row>
    <row r="249" spans="1:8" x14ac:dyDescent="0.3">
      <c r="A249">
        <v>-4501615</v>
      </c>
      <c r="B249" t="s">
        <v>3595</v>
      </c>
      <c r="C249">
        <v>4501615</v>
      </c>
      <c r="D249" t="s">
        <v>3596</v>
      </c>
      <c r="E249" t="s">
        <v>3585</v>
      </c>
      <c r="F249" t="s">
        <v>3597</v>
      </c>
      <c r="G249" t="s">
        <v>3598</v>
      </c>
      <c r="H249" t="s">
        <v>2613</v>
      </c>
    </row>
    <row r="250" spans="1:8" x14ac:dyDescent="0.3">
      <c r="A250">
        <v>-4499977</v>
      </c>
      <c r="B250" t="s">
        <v>5438</v>
      </c>
      <c r="C250">
        <v>4499977</v>
      </c>
      <c r="D250" t="s">
        <v>5437</v>
      </c>
      <c r="E250" t="s">
        <v>4368</v>
      </c>
      <c r="F250" t="s">
        <v>6732</v>
      </c>
      <c r="G250" t="s">
        <v>6733</v>
      </c>
      <c r="H250" t="s">
        <v>2723</v>
      </c>
    </row>
    <row r="251" spans="1:8" x14ac:dyDescent="0.3">
      <c r="A251">
        <v>-4500917</v>
      </c>
      <c r="B251" t="s">
        <v>4572</v>
      </c>
      <c r="C251">
        <v>4500917</v>
      </c>
      <c r="D251" t="s">
        <v>4573</v>
      </c>
      <c r="E251" t="s">
        <v>4100</v>
      </c>
      <c r="F251" t="s">
        <v>6536</v>
      </c>
      <c r="G251" t="s">
        <v>6537</v>
      </c>
      <c r="H251" t="s">
        <v>6538</v>
      </c>
    </row>
    <row r="252" spans="1:8" x14ac:dyDescent="0.3">
      <c r="A252">
        <v>-4500145</v>
      </c>
      <c r="B252" t="s">
        <v>5271</v>
      </c>
      <c r="C252">
        <v>4500145</v>
      </c>
      <c r="D252" t="s">
        <v>5272</v>
      </c>
      <c r="E252" t="s">
        <v>3585</v>
      </c>
      <c r="F252" t="s">
        <v>5273</v>
      </c>
      <c r="G252" t="s">
        <v>5274</v>
      </c>
      <c r="H252" t="s">
        <v>5275</v>
      </c>
    </row>
    <row r="253" spans="1:8" x14ac:dyDescent="0.3">
      <c r="A253">
        <v>-4500304</v>
      </c>
      <c r="B253" t="s">
        <v>5132</v>
      </c>
      <c r="C253">
        <v>4500304</v>
      </c>
      <c r="D253" t="s">
        <v>5133</v>
      </c>
      <c r="E253" t="s">
        <v>4000</v>
      </c>
      <c r="F253" t="s">
        <v>6691</v>
      </c>
      <c r="G253" t="s">
        <v>6692</v>
      </c>
      <c r="H253" t="s">
        <v>6693</v>
      </c>
    </row>
    <row r="254" spans="1:8" x14ac:dyDescent="0.3">
      <c r="A254">
        <v>-4499585</v>
      </c>
      <c r="B254" t="s">
        <v>5812</v>
      </c>
      <c r="C254">
        <v>4499585</v>
      </c>
      <c r="D254" t="s">
        <v>5813</v>
      </c>
      <c r="E254" t="s">
        <v>2989</v>
      </c>
      <c r="F254" t="s">
        <v>4413</v>
      </c>
      <c r="G254" t="s">
        <v>4414</v>
      </c>
      <c r="H254" t="s">
        <v>2723</v>
      </c>
    </row>
    <row r="255" spans="1:8" x14ac:dyDescent="0.3">
      <c r="A255">
        <v>-4500412</v>
      </c>
      <c r="B255" t="s">
        <v>5049</v>
      </c>
      <c r="C255">
        <v>4500412</v>
      </c>
      <c r="D255" t="s">
        <v>5050</v>
      </c>
      <c r="E255" t="s">
        <v>3110</v>
      </c>
      <c r="F255" t="s">
        <v>5051</v>
      </c>
      <c r="G255" t="s">
        <v>5052</v>
      </c>
      <c r="H255" t="s">
        <v>2785</v>
      </c>
    </row>
    <row r="256" spans="1:8" x14ac:dyDescent="0.3">
      <c r="A256">
        <v>-4499508</v>
      </c>
      <c r="B256" t="s">
        <v>5900</v>
      </c>
      <c r="C256">
        <v>4499508</v>
      </c>
      <c r="D256" t="s">
        <v>5901</v>
      </c>
      <c r="E256" t="s">
        <v>5140</v>
      </c>
      <c r="F256" t="s">
        <v>5902</v>
      </c>
      <c r="G256" t="s">
        <v>5903</v>
      </c>
      <c r="H256" t="s">
        <v>3450</v>
      </c>
    </row>
    <row r="257" spans="1:9" x14ac:dyDescent="0.3">
      <c r="A257">
        <v>-4500793</v>
      </c>
      <c r="B257" t="s">
        <v>4730</v>
      </c>
      <c r="C257">
        <v>4500793</v>
      </c>
      <c r="D257" t="s">
        <v>4731</v>
      </c>
      <c r="E257" t="s">
        <v>3017</v>
      </c>
      <c r="F257" t="s">
        <v>6593</v>
      </c>
      <c r="G257" t="s">
        <v>6594</v>
      </c>
      <c r="H257" t="s">
        <v>6595</v>
      </c>
    </row>
    <row r="258" spans="1:9" x14ac:dyDescent="0.3">
      <c r="A258">
        <v>-4501607</v>
      </c>
      <c r="B258" t="s">
        <v>3620</v>
      </c>
      <c r="C258">
        <v>4501607</v>
      </c>
      <c r="D258" t="s">
        <v>3621</v>
      </c>
      <c r="E258" t="s">
        <v>2906</v>
      </c>
      <c r="F258" t="s">
        <v>3622</v>
      </c>
      <c r="G258" t="s">
        <v>3623</v>
      </c>
      <c r="H258" t="s">
        <v>2613</v>
      </c>
    </row>
    <row r="259" spans="1:9" x14ac:dyDescent="0.3">
      <c r="A259">
        <v>-4499944</v>
      </c>
      <c r="B259" t="s">
        <v>5472</v>
      </c>
      <c r="C259">
        <v>4499944</v>
      </c>
      <c r="D259" t="s">
        <v>5473</v>
      </c>
      <c r="E259" t="s">
        <v>3131</v>
      </c>
      <c r="F259" t="s">
        <v>6737</v>
      </c>
      <c r="G259" t="s">
        <v>6738</v>
      </c>
      <c r="H259" t="s">
        <v>3960</v>
      </c>
    </row>
    <row r="260" spans="1:9" x14ac:dyDescent="0.3">
      <c r="A260">
        <v>-4501477</v>
      </c>
      <c r="B260" t="s">
        <v>3846</v>
      </c>
      <c r="C260">
        <v>4501477</v>
      </c>
      <c r="D260" t="s">
        <v>3844</v>
      </c>
      <c r="E260" t="s">
        <v>3823</v>
      </c>
      <c r="F260">
        <v>1</v>
      </c>
      <c r="G260" t="s">
        <v>97</v>
      </c>
      <c r="H260" t="e">
        <v>#N/A</v>
      </c>
    </row>
    <row r="261" spans="1:9" x14ac:dyDescent="0.3">
      <c r="A261">
        <v>-4501456</v>
      </c>
      <c r="B261" t="s">
        <v>3857</v>
      </c>
      <c r="C261">
        <v>4501456</v>
      </c>
      <c r="D261" t="s">
        <v>3858</v>
      </c>
      <c r="E261" t="s">
        <v>3834</v>
      </c>
      <c r="F261" t="s">
        <v>3859</v>
      </c>
      <c r="G261" t="s">
        <v>3860</v>
      </c>
      <c r="H261" t="s">
        <v>2633</v>
      </c>
    </row>
    <row r="262" spans="1:9" x14ac:dyDescent="0.3">
      <c r="A262">
        <v>-4501784</v>
      </c>
      <c r="B262" t="s">
        <v>3251</v>
      </c>
      <c r="C262">
        <v>4501784</v>
      </c>
      <c r="D262" t="s">
        <v>3252</v>
      </c>
      <c r="E262" t="s">
        <v>3162</v>
      </c>
      <c r="F262" t="s">
        <v>3253</v>
      </c>
      <c r="G262" t="s">
        <v>3254</v>
      </c>
      <c r="H262" t="s">
        <v>3255</v>
      </c>
    </row>
    <row r="263" spans="1:9" x14ac:dyDescent="0.3">
      <c r="A263">
        <v>-4500019</v>
      </c>
      <c r="B263" t="s">
        <v>5398</v>
      </c>
      <c r="C263">
        <v>4500019</v>
      </c>
      <c r="D263" t="s">
        <v>5399</v>
      </c>
      <c r="E263" t="s">
        <v>5400</v>
      </c>
      <c r="F263" t="s">
        <v>5401</v>
      </c>
      <c r="G263" t="s">
        <v>5402</v>
      </c>
      <c r="H263" t="s">
        <v>2945</v>
      </c>
    </row>
    <row r="264" spans="1:9" x14ac:dyDescent="0.3">
      <c r="A264">
        <v>-4499668</v>
      </c>
      <c r="B264" t="s">
        <v>5716</v>
      </c>
      <c r="C264">
        <v>4499668</v>
      </c>
      <c r="D264" t="s">
        <v>5717</v>
      </c>
      <c r="E264" t="s">
        <v>3673</v>
      </c>
      <c r="F264" t="s">
        <v>5718</v>
      </c>
      <c r="G264" t="s">
        <v>5719</v>
      </c>
      <c r="H264" t="s">
        <v>2577</v>
      </c>
    </row>
    <row r="265" spans="1:9" x14ac:dyDescent="0.3">
      <c r="A265">
        <v>-4501790</v>
      </c>
      <c r="B265" t="s">
        <v>3236</v>
      </c>
      <c r="C265">
        <v>4501790</v>
      </c>
      <c r="D265" t="s">
        <v>3237</v>
      </c>
      <c r="E265" t="s">
        <v>3162</v>
      </c>
      <c r="F265" t="s">
        <v>3238</v>
      </c>
      <c r="G265" t="s">
        <v>3239</v>
      </c>
      <c r="H265" t="s">
        <v>3240</v>
      </c>
    </row>
    <row r="266" spans="1:9" x14ac:dyDescent="0.3">
      <c r="A266">
        <v>-4500822</v>
      </c>
      <c r="B266" t="s">
        <v>4694</v>
      </c>
      <c r="C266">
        <v>4500822</v>
      </c>
      <c r="D266" t="s">
        <v>4689</v>
      </c>
      <c r="E266" t="s">
        <v>4690</v>
      </c>
      <c r="F266" t="s">
        <v>6364</v>
      </c>
      <c r="G266" t="s">
        <v>6365</v>
      </c>
      <c r="H266" t="s">
        <v>6366</v>
      </c>
    </row>
    <row r="267" spans="1:9" x14ac:dyDescent="0.3">
      <c r="A267">
        <v>-4501671</v>
      </c>
      <c r="B267" t="s">
        <v>3490</v>
      </c>
      <c r="C267">
        <v>4501671</v>
      </c>
      <c r="D267" t="s">
        <v>3491</v>
      </c>
      <c r="E267" t="s">
        <v>2911</v>
      </c>
      <c r="F267" t="s">
        <v>3492</v>
      </c>
      <c r="G267" t="s">
        <v>3493</v>
      </c>
      <c r="H267" t="s">
        <v>2607</v>
      </c>
      <c r="I267" t="s">
        <v>3494</v>
      </c>
    </row>
    <row r="268" spans="1:9" x14ac:dyDescent="0.3">
      <c r="A268">
        <v>-4500891</v>
      </c>
      <c r="B268" t="s">
        <v>4611</v>
      </c>
      <c r="C268">
        <v>4500891</v>
      </c>
      <c r="D268" t="s">
        <v>4612</v>
      </c>
      <c r="E268" t="s">
        <v>2806</v>
      </c>
      <c r="F268" t="s">
        <v>6542</v>
      </c>
      <c r="G268" t="s">
        <v>6543</v>
      </c>
      <c r="H268" t="s">
        <v>6544</v>
      </c>
    </row>
    <row r="269" spans="1:9" x14ac:dyDescent="0.3">
      <c r="A269">
        <v>-4994090</v>
      </c>
      <c r="B269" t="s">
        <v>2672</v>
      </c>
      <c r="C269">
        <v>4994090</v>
      </c>
      <c r="D269" t="s">
        <v>2673</v>
      </c>
      <c r="E269" t="s">
        <v>2652</v>
      </c>
      <c r="F269" t="s">
        <v>2674</v>
      </c>
      <c r="G269" t="s">
        <v>2675</v>
      </c>
      <c r="H269" t="s">
        <v>2676</v>
      </c>
    </row>
    <row r="270" spans="1:9" x14ac:dyDescent="0.3">
      <c r="A270">
        <v>-4501577</v>
      </c>
      <c r="B270" t="s">
        <v>3651</v>
      </c>
      <c r="C270">
        <v>4501577</v>
      </c>
      <c r="D270" t="s">
        <v>3316</v>
      </c>
      <c r="E270" t="s">
        <v>3634</v>
      </c>
      <c r="F270">
        <v>1</v>
      </c>
      <c r="G270" t="s">
        <v>97</v>
      </c>
      <c r="H270" t="e">
        <v>#N/A</v>
      </c>
      <c r="I270" t="s">
        <v>3652</v>
      </c>
    </row>
    <row r="271" spans="1:9" x14ac:dyDescent="0.3">
      <c r="A271">
        <v>-4500117</v>
      </c>
      <c r="B271" t="s">
        <v>5300</v>
      </c>
      <c r="C271">
        <v>4500117</v>
      </c>
      <c r="D271" t="s">
        <v>5301</v>
      </c>
      <c r="E271" t="s">
        <v>3464</v>
      </c>
      <c r="F271" t="s">
        <v>3696</v>
      </c>
      <c r="G271" t="s">
        <v>3697</v>
      </c>
      <c r="H271" t="s">
        <v>3698</v>
      </c>
    </row>
    <row r="272" spans="1:9" x14ac:dyDescent="0.3">
      <c r="A272" t="s">
        <v>6110</v>
      </c>
      <c r="B272" t="s">
        <v>6111</v>
      </c>
      <c r="C272">
        <v>4500349</v>
      </c>
      <c r="D272" t="s">
        <v>6112</v>
      </c>
      <c r="E272" t="s">
        <v>5140</v>
      </c>
      <c r="F272" t="s">
        <v>6816</v>
      </c>
      <c r="G272" t="s">
        <v>6817</v>
      </c>
      <c r="H272" t="s">
        <v>6605</v>
      </c>
    </row>
    <row r="273" spans="1:8" x14ac:dyDescent="0.3">
      <c r="A273">
        <v>-4501618</v>
      </c>
      <c r="B273" t="s">
        <v>3583</v>
      </c>
      <c r="C273">
        <v>4501618</v>
      </c>
      <c r="D273" t="s">
        <v>3584</v>
      </c>
      <c r="E273" t="s">
        <v>3585</v>
      </c>
      <c r="F273" t="s">
        <v>3586</v>
      </c>
      <c r="G273" t="s">
        <v>3587</v>
      </c>
      <c r="H273" t="s">
        <v>3588</v>
      </c>
    </row>
    <row r="274" spans="1:8" x14ac:dyDescent="0.3">
      <c r="A274">
        <v>-4500014</v>
      </c>
      <c r="B274" t="s">
        <v>3583</v>
      </c>
      <c r="C274">
        <v>4500014</v>
      </c>
      <c r="D274" t="s">
        <v>5411</v>
      </c>
      <c r="E274" t="s">
        <v>3585</v>
      </c>
      <c r="F274" t="s">
        <v>3586</v>
      </c>
      <c r="G274" t="s">
        <v>3587</v>
      </c>
      <c r="H274" t="s">
        <v>3588</v>
      </c>
    </row>
    <row r="275" spans="1:8" x14ac:dyDescent="0.3">
      <c r="A275">
        <v>-4500458</v>
      </c>
      <c r="B275" t="s">
        <v>5008</v>
      </c>
      <c r="C275">
        <v>4500458</v>
      </c>
      <c r="D275" t="s">
        <v>5009</v>
      </c>
      <c r="E275" t="s">
        <v>3131</v>
      </c>
      <c r="F275" t="s">
        <v>5010</v>
      </c>
      <c r="G275" t="s">
        <v>5011</v>
      </c>
      <c r="H275" t="s">
        <v>3134</v>
      </c>
    </row>
    <row r="276" spans="1:8" x14ac:dyDescent="0.3">
      <c r="A276">
        <v>-4499909</v>
      </c>
      <c r="B276" t="s">
        <v>5501</v>
      </c>
      <c r="C276">
        <v>4499909</v>
      </c>
      <c r="D276" t="s">
        <v>5502</v>
      </c>
      <c r="E276" t="s">
        <v>3673</v>
      </c>
      <c r="F276" t="s">
        <v>6753</v>
      </c>
      <c r="G276" t="s">
        <v>6754</v>
      </c>
      <c r="H276" t="s">
        <v>2739</v>
      </c>
    </row>
    <row r="277" spans="1:8" x14ac:dyDescent="0.3">
      <c r="A277">
        <v>-4500201</v>
      </c>
      <c r="B277" t="s">
        <v>5230</v>
      </c>
      <c r="C277">
        <v>4500201</v>
      </c>
      <c r="D277" t="s">
        <v>5231</v>
      </c>
      <c r="E277" t="s">
        <v>3585</v>
      </c>
      <c r="F277" t="s">
        <v>5232</v>
      </c>
      <c r="G277" t="s">
        <v>5233</v>
      </c>
      <c r="H277" t="s">
        <v>2613</v>
      </c>
    </row>
    <row r="278" spans="1:8" x14ac:dyDescent="0.3">
      <c r="A278">
        <v>-4500021</v>
      </c>
      <c r="B278" t="s">
        <v>5393</v>
      </c>
      <c r="C278">
        <v>4500021</v>
      </c>
      <c r="D278" t="s">
        <v>5394</v>
      </c>
      <c r="E278" t="s">
        <v>3151</v>
      </c>
      <c r="F278" t="s">
        <v>6852</v>
      </c>
      <c r="G278" t="s">
        <v>6853</v>
      </c>
      <c r="H278" t="s">
        <v>6854</v>
      </c>
    </row>
    <row r="279" spans="1:8" x14ac:dyDescent="0.3">
      <c r="A279">
        <v>-4499691</v>
      </c>
      <c r="B279" t="s">
        <v>5695</v>
      </c>
      <c r="C279">
        <v>4499691</v>
      </c>
      <c r="D279" t="s">
        <v>5696</v>
      </c>
      <c r="E279" t="s">
        <v>3765</v>
      </c>
      <c r="F279" t="s">
        <v>5697</v>
      </c>
      <c r="G279" t="s">
        <v>5698</v>
      </c>
      <c r="H279" t="s">
        <v>2633</v>
      </c>
    </row>
    <row r="280" spans="1:8" x14ac:dyDescent="0.3">
      <c r="A280">
        <v>-4500228</v>
      </c>
      <c r="B280" t="s">
        <v>5196</v>
      </c>
      <c r="C280">
        <v>4500228</v>
      </c>
      <c r="D280" t="s">
        <v>5197</v>
      </c>
      <c r="E280" t="s">
        <v>3167</v>
      </c>
      <c r="F280" t="s">
        <v>6855</v>
      </c>
      <c r="G280" t="s">
        <v>6856</v>
      </c>
      <c r="H280" t="s">
        <v>6857</v>
      </c>
    </row>
    <row r="281" spans="1:8" x14ac:dyDescent="0.3">
      <c r="A281">
        <v>-4500293</v>
      </c>
      <c r="B281" t="s">
        <v>5143</v>
      </c>
      <c r="C281">
        <v>4500293</v>
      </c>
      <c r="D281" t="s">
        <v>5144</v>
      </c>
      <c r="E281" t="s">
        <v>3667</v>
      </c>
      <c r="F281" t="s">
        <v>5145</v>
      </c>
      <c r="G281" t="s">
        <v>5146</v>
      </c>
      <c r="H281" t="s">
        <v>5147</v>
      </c>
    </row>
    <row r="282" spans="1:8" x14ac:dyDescent="0.3">
      <c r="A282">
        <v>-4499951</v>
      </c>
      <c r="B282" t="s">
        <v>5463</v>
      </c>
      <c r="C282">
        <v>4499951</v>
      </c>
      <c r="D282" t="s">
        <v>5464</v>
      </c>
      <c r="E282" t="s">
        <v>3017</v>
      </c>
      <c r="F282" t="s">
        <v>5465</v>
      </c>
      <c r="G282" t="s">
        <v>5466</v>
      </c>
      <c r="H282" t="s">
        <v>4532</v>
      </c>
    </row>
    <row r="283" spans="1:8" x14ac:dyDescent="0.3">
      <c r="A283">
        <v>-4499589</v>
      </c>
      <c r="B283" t="s">
        <v>5801</v>
      </c>
      <c r="C283">
        <v>4499589</v>
      </c>
      <c r="D283" t="s">
        <v>5802</v>
      </c>
      <c r="E283" t="s">
        <v>4852</v>
      </c>
      <c r="F283" t="s">
        <v>5803</v>
      </c>
      <c r="G283" t="s">
        <v>5804</v>
      </c>
      <c r="H283" t="s">
        <v>2589</v>
      </c>
    </row>
    <row r="284" spans="1:8" x14ac:dyDescent="0.3">
      <c r="A284">
        <v>-4501017</v>
      </c>
      <c r="B284" t="s">
        <v>4433</v>
      </c>
      <c r="C284">
        <v>4501017</v>
      </c>
      <c r="D284" t="s">
        <v>4432</v>
      </c>
      <c r="E284" t="s">
        <v>2989</v>
      </c>
      <c r="F284" t="s">
        <v>4626</v>
      </c>
      <c r="G284" t="s">
        <v>4627</v>
      </c>
      <c r="H284" t="s">
        <v>4061</v>
      </c>
    </row>
    <row r="285" spans="1:8" x14ac:dyDescent="0.3">
      <c r="A285">
        <v>-4500129</v>
      </c>
      <c r="B285" t="s">
        <v>5290</v>
      </c>
      <c r="C285">
        <v>4500129</v>
      </c>
      <c r="D285" t="s">
        <v>5291</v>
      </c>
      <c r="E285" t="s">
        <v>3262</v>
      </c>
      <c r="F285" t="s">
        <v>5292</v>
      </c>
      <c r="G285" t="s">
        <v>5293</v>
      </c>
      <c r="H285" t="s">
        <v>5294</v>
      </c>
    </row>
    <row r="286" spans="1:8" x14ac:dyDescent="0.3">
      <c r="A286">
        <v>-4501875</v>
      </c>
      <c r="B286" t="s">
        <v>3079</v>
      </c>
      <c r="C286">
        <v>4501875</v>
      </c>
      <c r="D286" t="s">
        <v>3080</v>
      </c>
      <c r="E286" t="s">
        <v>2939</v>
      </c>
      <c r="F286" t="s">
        <v>3081</v>
      </c>
      <c r="G286" t="s">
        <v>3082</v>
      </c>
      <c r="H286" t="s">
        <v>3083</v>
      </c>
    </row>
    <row r="287" spans="1:8" x14ac:dyDescent="0.3">
      <c r="A287" t="s">
        <v>6303</v>
      </c>
      <c r="B287" t="s">
        <v>6336</v>
      </c>
      <c r="C287">
        <v>4499591</v>
      </c>
      <c r="D287" t="s">
        <v>5800</v>
      </c>
      <c r="E287" t="s">
        <v>4514</v>
      </c>
      <c r="F287" t="s">
        <v>6337</v>
      </c>
      <c r="G287" t="s">
        <v>6338</v>
      </c>
      <c r="H287" t="s">
        <v>5762</v>
      </c>
    </row>
    <row r="288" spans="1:8" x14ac:dyDescent="0.3">
      <c r="A288">
        <v>-4500300</v>
      </c>
      <c r="B288" t="s">
        <v>5138</v>
      </c>
      <c r="C288">
        <v>4500300</v>
      </c>
      <c r="D288" t="s">
        <v>5139</v>
      </c>
      <c r="E288" t="s">
        <v>5140</v>
      </c>
      <c r="F288" t="s">
        <v>6694</v>
      </c>
      <c r="G288" t="s">
        <v>6695</v>
      </c>
      <c r="H288" t="s">
        <v>6605</v>
      </c>
    </row>
    <row r="289" spans="1:9" x14ac:dyDescent="0.3">
      <c r="A289">
        <v>-4500442</v>
      </c>
      <c r="B289" t="s">
        <v>5020</v>
      </c>
      <c r="C289">
        <v>4500442</v>
      </c>
      <c r="D289" t="s">
        <v>5021</v>
      </c>
      <c r="E289" t="s">
        <v>3453</v>
      </c>
      <c r="F289" t="s">
        <v>5022</v>
      </c>
      <c r="G289" t="s">
        <v>5023</v>
      </c>
      <c r="H289" t="s">
        <v>5024</v>
      </c>
    </row>
    <row r="290" spans="1:9" x14ac:dyDescent="0.3">
      <c r="A290">
        <v>-4501620</v>
      </c>
      <c r="B290" t="s">
        <v>3578</v>
      </c>
      <c r="C290">
        <v>4501620</v>
      </c>
      <c r="D290" t="s">
        <v>3579</v>
      </c>
      <c r="E290" t="s">
        <v>3573</v>
      </c>
      <c r="F290" t="s">
        <v>3580</v>
      </c>
      <c r="G290" t="s">
        <v>3581</v>
      </c>
      <c r="H290" t="s">
        <v>3582</v>
      </c>
    </row>
    <row r="291" spans="1:9" x14ac:dyDescent="0.3">
      <c r="A291">
        <v>-4499486</v>
      </c>
      <c r="B291" t="s">
        <v>5953</v>
      </c>
      <c r="C291">
        <v>1</v>
      </c>
      <c r="D291" t="e">
        <v>#N/A</v>
      </c>
      <c r="E291" t="e">
        <v>#N/A</v>
      </c>
      <c r="F291" t="s">
        <v>5954</v>
      </c>
      <c r="G291" t="s">
        <v>5955</v>
      </c>
      <c r="H291" t="s">
        <v>2739</v>
      </c>
    </row>
    <row r="292" spans="1:9" x14ac:dyDescent="0.3">
      <c r="A292">
        <v>-4501645</v>
      </c>
      <c r="B292" t="s">
        <v>3539</v>
      </c>
      <c r="C292">
        <v>4501645</v>
      </c>
      <c r="D292" t="s">
        <v>3538</v>
      </c>
      <c r="E292" t="s">
        <v>3535</v>
      </c>
      <c r="F292" t="s">
        <v>3540</v>
      </c>
      <c r="G292" t="s">
        <v>3541</v>
      </c>
      <c r="H292" t="s">
        <v>2613</v>
      </c>
    </row>
    <row r="293" spans="1:9" x14ac:dyDescent="0.3">
      <c r="A293">
        <v>-4501613</v>
      </c>
      <c r="B293" t="s">
        <v>3604</v>
      </c>
      <c r="C293">
        <v>4501613</v>
      </c>
      <c r="D293" t="s">
        <v>3605</v>
      </c>
      <c r="E293" t="s">
        <v>3585</v>
      </c>
      <c r="F293" t="s">
        <v>3606</v>
      </c>
      <c r="G293" t="s">
        <v>3607</v>
      </c>
      <c r="H293" t="s">
        <v>3603</v>
      </c>
      <c r="I293" t="s">
        <v>3608</v>
      </c>
    </row>
    <row r="294" spans="1:9" x14ac:dyDescent="0.3">
      <c r="A294">
        <v>-4500831</v>
      </c>
      <c r="B294" t="s">
        <v>4681</v>
      </c>
      <c r="C294">
        <v>4500831</v>
      </c>
      <c r="D294" t="s">
        <v>4682</v>
      </c>
      <c r="E294" t="s">
        <v>3173</v>
      </c>
      <c r="F294" t="s">
        <v>6568</v>
      </c>
      <c r="G294" t="s">
        <v>6569</v>
      </c>
      <c r="H294" t="s">
        <v>3176</v>
      </c>
    </row>
    <row r="295" spans="1:9" x14ac:dyDescent="0.3">
      <c r="A295">
        <v>-4500192</v>
      </c>
      <c r="B295" t="s">
        <v>5242</v>
      </c>
      <c r="C295">
        <v>1</v>
      </c>
      <c r="D295" t="e">
        <v>#N/A</v>
      </c>
      <c r="E295" t="e">
        <v>#N/A</v>
      </c>
      <c r="F295" t="s">
        <v>6228</v>
      </c>
      <c r="G295" t="s">
        <v>6229</v>
      </c>
      <c r="H295" t="s">
        <v>2694</v>
      </c>
    </row>
    <row r="296" spans="1:9" x14ac:dyDescent="0.3">
      <c r="A296" t="s">
        <v>6260</v>
      </c>
      <c r="B296" t="s">
        <v>6291</v>
      </c>
      <c r="C296">
        <v>4500381</v>
      </c>
      <c r="D296" t="s">
        <v>6858</v>
      </c>
      <c r="E296" t="s">
        <v>3634</v>
      </c>
      <c r="F296" t="s">
        <v>6292</v>
      </c>
      <c r="G296" t="s">
        <v>6293</v>
      </c>
      <c r="H296" t="s">
        <v>6294</v>
      </c>
    </row>
    <row r="297" spans="1:9" x14ac:dyDescent="0.3">
      <c r="A297">
        <v>-4499701</v>
      </c>
      <c r="B297" t="s">
        <v>5679</v>
      </c>
      <c r="C297">
        <v>4499701</v>
      </c>
      <c r="D297" t="s">
        <v>5680</v>
      </c>
      <c r="E297" t="s">
        <v>3311</v>
      </c>
      <c r="F297" t="s">
        <v>6775</v>
      </c>
      <c r="G297" t="s">
        <v>6776</v>
      </c>
      <c r="H297" t="s">
        <v>6777</v>
      </c>
    </row>
    <row r="298" spans="1:9" x14ac:dyDescent="0.3">
      <c r="A298">
        <v>-4501032</v>
      </c>
      <c r="B298" t="s">
        <v>4417</v>
      </c>
      <c r="C298">
        <v>4501032</v>
      </c>
      <c r="D298" t="s">
        <v>3967</v>
      </c>
      <c r="E298" t="s">
        <v>4416</v>
      </c>
      <c r="F298" t="s">
        <v>4418</v>
      </c>
      <c r="G298" t="s">
        <v>4419</v>
      </c>
      <c r="H298" t="s">
        <v>4420</v>
      </c>
    </row>
    <row r="299" spans="1:9" x14ac:dyDescent="0.3">
      <c r="A299">
        <v>-4499769</v>
      </c>
      <c r="B299" t="s">
        <v>5632</v>
      </c>
      <c r="C299">
        <v>4499769</v>
      </c>
      <c r="D299" t="s">
        <v>5633</v>
      </c>
      <c r="E299" t="s">
        <v>4034</v>
      </c>
      <c r="F299" t="s">
        <v>6859</v>
      </c>
      <c r="G299" t="s">
        <v>6860</v>
      </c>
      <c r="H299" t="s">
        <v>3181</v>
      </c>
    </row>
    <row r="300" spans="1:9" x14ac:dyDescent="0.3">
      <c r="A300">
        <v>-4994012</v>
      </c>
      <c r="B300" t="s">
        <v>2728</v>
      </c>
      <c r="C300">
        <v>4994012</v>
      </c>
      <c r="D300" t="s">
        <v>2729</v>
      </c>
      <c r="E300" t="s">
        <v>2730</v>
      </c>
      <c r="F300" t="s">
        <v>2731</v>
      </c>
      <c r="G300" t="s">
        <v>2732</v>
      </c>
      <c r="H300" t="s">
        <v>2733</v>
      </c>
    </row>
    <row r="301" spans="1:9" x14ac:dyDescent="0.3">
      <c r="A301">
        <v>-4499853</v>
      </c>
      <c r="B301" t="s">
        <v>5556</v>
      </c>
      <c r="C301">
        <v>4499853</v>
      </c>
      <c r="D301" t="s">
        <v>4058</v>
      </c>
      <c r="E301" t="s">
        <v>3673</v>
      </c>
      <c r="F301" t="s">
        <v>5557</v>
      </c>
      <c r="G301" t="s">
        <v>5558</v>
      </c>
      <c r="H301" t="s">
        <v>5559</v>
      </c>
    </row>
    <row r="302" spans="1:9" x14ac:dyDescent="0.3">
      <c r="A302">
        <v>-4499776</v>
      </c>
      <c r="B302" t="s">
        <v>5628</v>
      </c>
      <c r="C302">
        <v>4499776</v>
      </c>
      <c r="D302" t="s">
        <v>5627</v>
      </c>
      <c r="E302" t="s">
        <v>5046</v>
      </c>
      <c r="F302" t="s">
        <v>2682</v>
      </c>
      <c r="G302" t="s">
        <v>2683</v>
      </c>
      <c r="H302" t="s">
        <v>2684</v>
      </c>
    </row>
    <row r="303" spans="1:9" x14ac:dyDescent="0.3">
      <c r="A303">
        <v>-4500880</v>
      </c>
      <c r="B303" t="s">
        <v>4636</v>
      </c>
      <c r="C303">
        <v>4500880</v>
      </c>
      <c r="D303" t="s">
        <v>3788</v>
      </c>
      <c r="E303" t="s">
        <v>2810</v>
      </c>
      <c r="F303" t="s">
        <v>6548</v>
      </c>
      <c r="G303" t="s">
        <v>6549</v>
      </c>
      <c r="H303" t="s">
        <v>2791</v>
      </c>
    </row>
    <row r="304" spans="1:9" x14ac:dyDescent="0.3">
      <c r="A304">
        <v>-4993960</v>
      </c>
      <c r="B304" t="s">
        <v>2792</v>
      </c>
      <c r="C304">
        <v>4993960</v>
      </c>
      <c r="D304" t="s">
        <v>2793</v>
      </c>
      <c r="E304" t="s">
        <v>2794</v>
      </c>
      <c r="F304" t="s">
        <v>2795</v>
      </c>
      <c r="G304" t="s">
        <v>2796</v>
      </c>
      <c r="H304" t="s">
        <v>2797</v>
      </c>
    </row>
    <row r="305" spans="1:8" x14ac:dyDescent="0.3">
      <c r="A305">
        <v>-4500206</v>
      </c>
      <c r="B305" t="s">
        <v>5217</v>
      </c>
      <c r="C305">
        <v>4500206</v>
      </c>
      <c r="D305" t="s">
        <v>5218</v>
      </c>
      <c r="E305" t="s">
        <v>4641</v>
      </c>
      <c r="F305" t="s">
        <v>5219</v>
      </c>
      <c r="G305" t="s">
        <v>5220</v>
      </c>
      <c r="H305" t="s">
        <v>5221</v>
      </c>
    </row>
    <row r="306" spans="1:8" x14ac:dyDescent="0.3">
      <c r="A306">
        <v>-4500677</v>
      </c>
      <c r="B306" t="s">
        <v>4845</v>
      </c>
      <c r="C306">
        <v>4500677</v>
      </c>
      <c r="D306" t="s">
        <v>4846</v>
      </c>
      <c r="E306" t="s">
        <v>4373</v>
      </c>
      <c r="F306" t="s">
        <v>6861</v>
      </c>
      <c r="G306" t="s">
        <v>6862</v>
      </c>
      <c r="H306" t="s">
        <v>4056</v>
      </c>
    </row>
    <row r="307" spans="1:8" x14ac:dyDescent="0.3">
      <c r="A307">
        <v>-4499941</v>
      </c>
      <c r="B307" t="s">
        <v>5476</v>
      </c>
      <c r="C307">
        <v>4499941</v>
      </c>
      <c r="D307" t="s">
        <v>5477</v>
      </c>
      <c r="E307" t="s">
        <v>2948</v>
      </c>
      <c r="F307" t="s">
        <v>6741</v>
      </c>
      <c r="G307" t="s">
        <v>6742</v>
      </c>
      <c r="H307" t="s">
        <v>3960</v>
      </c>
    </row>
    <row r="308" spans="1:8" x14ac:dyDescent="0.3">
      <c r="A308">
        <v>-4500765</v>
      </c>
      <c r="B308" t="s">
        <v>4751</v>
      </c>
      <c r="C308">
        <v>4500765</v>
      </c>
      <c r="D308" t="s">
        <v>4752</v>
      </c>
      <c r="E308" t="s">
        <v>4753</v>
      </c>
      <c r="F308">
        <v>1</v>
      </c>
      <c r="G308" t="s">
        <v>97</v>
      </c>
      <c r="H308" t="e">
        <v>#N/A</v>
      </c>
    </row>
    <row r="309" spans="1:8" x14ac:dyDescent="0.3">
      <c r="A309">
        <v>-4499515</v>
      </c>
      <c r="B309" t="s">
        <v>5885</v>
      </c>
      <c r="C309">
        <v>4499515</v>
      </c>
      <c r="D309" t="s">
        <v>5886</v>
      </c>
      <c r="E309" t="s">
        <v>5140</v>
      </c>
      <c r="F309" t="s">
        <v>6603</v>
      </c>
      <c r="G309" t="s">
        <v>6604</v>
      </c>
      <c r="H309" t="s">
        <v>6605</v>
      </c>
    </row>
    <row r="310" spans="1:8" x14ac:dyDescent="0.3">
      <c r="A310">
        <v>-4500271</v>
      </c>
      <c r="B310" t="s">
        <v>5167</v>
      </c>
      <c r="C310">
        <v>4500271</v>
      </c>
      <c r="D310" t="s">
        <v>5168</v>
      </c>
      <c r="E310" t="s">
        <v>2979</v>
      </c>
      <c r="F310" t="s">
        <v>6706</v>
      </c>
      <c r="G310" t="s">
        <v>6707</v>
      </c>
      <c r="H310" t="s">
        <v>4061</v>
      </c>
    </row>
    <row r="311" spans="1:8" x14ac:dyDescent="0.3">
      <c r="A311" t="s">
        <v>6062</v>
      </c>
      <c r="B311" t="s">
        <v>6063</v>
      </c>
      <c r="C311">
        <v>4499755</v>
      </c>
      <c r="D311" t="s">
        <v>6064</v>
      </c>
      <c r="E311" t="s">
        <v>4698</v>
      </c>
      <c r="F311" t="s">
        <v>6804</v>
      </c>
      <c r="G311" t="s">
        <v>6805</v>
      </c>
      <c r="H311" t="s">
        <v>2769</v>
      </c>
    </row>
    <row r="312" spans="1:8" x14ac:dyDescent="0.3">
      <c r="A312">
        <v>-4501005</v>
      </c>
      <c r="B312" t="s">
        <v>4455</v>
      </c>
      <c r="C312">
        <v>4501005</v>
      </c>
      <c r="D312" t="s">
        <v>4456</v>
      </c>
      <c r="E312" t="s">
        <v>4361</v>
      </c>
      <c r="F312" t="s">
        <v>4457</v>
      </c>
      <c r="G312" t="s">
        <v>4458</v>
      </c>
      <c r="H312" t="s">
        <v>4459</v>
      </c>
    </row>
    <row r="313" spans="1:8" x14ac:dyDescent="0.3">
      <c r="A313">
        <v>-4500022</v>
      </c>
      <c r="B313" t="s">
        <v>5391</v>
      </c>
      <c r="C313">
        <v>4500022</v>
      </c>
      <c r="D313" t="s">
        <v>5392</v>
      </c>
      <c r="E313" t="s">
        <v>4026</v>
      </c>
      <c r="F313" t="s">
        <v>6863</v>
      </c>
      <c r="G313" t="s">
        <v>6864</v>
      </c>
      <c r="H313" t="s">
        <v>3450</v>
      </c>
    </row>
    <row r="314" spans="1:8" x14ac:dyDescent="0.3">
      <c r="A314">
        <v>-4500667</v>
      </c>
      <c r="B314" t="s">
        <v>4856</v>
      </c>
      <c r="C314">
        <v>4500667</v>
      </c>
      <c r="D314" t="s">
        <v>4851</v>
      </c>
      <c r="E314" t="s">
        <v>4852</v>
      </c>
      <c r="F314" t="s">
        <v>4853</v>
      </c>
      <c r="G314" t="s">
        <v>4854</v>
      </c>
      <c r="H314" t="s">
        <v>4855</v>
      </c>
    </row>
    <row r="315" spans="1:8" x14ac:dyDescent="0.3">
      <c r="A315">
        <v>-4501488</v>
      </c>
      <c r="B315" t="s">
        <v>3821</v>
      </c>
      <c r="C315">
        <v>4501488</v>
      </c>
      <c r="D315" t="s">
        <v>3822</v>
      </c>
      <c r="E315" t="s">
        <v>3823</v>
      </c>
      <c r="F315" t="s">
        <v>3824</v>
      </c>
      <c r="G315" t="s">
        <v>3825</v>
      </c>
      <c r="H315" t="s">
        <v>2633</v>
      </c>
    </row>
    <row r="316" spans="1:8" x14ac:dyDescent="0.3">
      <c r="A316">
        <v>-4499667</v>
      </c>
      <c r="B316" t="s">
        <v>3821</v>
      </c>
      <c r="C316">
        <v>4499667</v>
      </c>
      <c r="D316" t="s">
        <v>5720</v>
      </c>
      <c r="E316" t="s">
        <v>3823</v>
      </c>
      <c r="F316" t="s">
        <v>3824</v>
      </c>
      <c r="G316" t="s">
        <v>3825</v>
      </c>
      <c r="H316" t="s">
        <v>2633</v>
      </c>
    </row>
    <row r="317" spans="1:8" x14ac:dyDescent="0.3">
      <c r="A317">
        <v>-4499497</v>
      </c>
      <c r="B317" t="s">
        <v>5919</v>
      </c>
      <c r="C317">
        <v>4499497</v>
      </c>
      <c r="D317" t="s">
        <v>5917</v>
      </c>
      <c r="E317" t="s">
        <v>5918</v>
      </c>
      <c r="F317" t="s">
        <v>5920</v>
      </c>
      <c r="G317" t="s">
        <v>5921</v>
      </c>
      <c r="H317" t="s">
        <v>5589</v>
      </c>
    </row>
    <row r="318" spans="1:8" x14ac:dyDescent="0.3">
      <c r="A318" t="s">
        <v>6102</v>
      </c>
      <c r="B318" t="s">
        <v>6103</v>
      </c>
      <c r="C318">
        <v>4500246</v>
      </c>
      <c r="D318" t="s">
        <v>6104</v>
      </c>
      <c r="E318" t="s">
        <v>5101</v>
      </c>
      <c r="F318" t="s">
        <v>6814</v>
      </c>
      <c r="G318" t="s">
        <v>6815</v>
      </c>
      <c r="H318" t="s">
        <v>6676</v>
      </c>
    </row>
    <row r="319" spans="1:8" x14ac:dyDescent="0.3">
      <c r="A319">
        <v>-4499846</v>
      </c>
      <c r="B319" t="s">
        <v>5566</v>
      </c>
      <c r="C319">
        <v>4499846</v>
      </c>
      <c r="D319" t="s">
        <v>5567</v>
      </c>
      <c r="E319" t="s">
        <v>4109</v>
      </c>
      <c r="F319" t="s">
        <v>5568</v>
      </c>
      <c r="G319" t="s">
        <v>4620</v>
      </c>
      <c r="H319" t="s">
        <v>5569</v>
      </c>
    </row>
    <row r="320" spans="1:8" x14ac:dyDescent="0.3">
      <c r="A320">
        <v>-4500682</v>
      </c>
      <c r="B320" t="s">
        <v>4836</v>
      </c>
      <c r="C320">
        <v>4500682</v>
      </c>
      <c r="D320" t="s">
        <v>4835</v>
      </c>
      <c r="E320" t="s">
        <v>4290</v>
      </c>
      <c r="F320" t="s">
        <v>4837</v>
      </c>
      <c r="G320" t="s">
        <v>4838</v>
      </c>
      <c r="H320" t="s">
        <v>4839</v>
      </c>
    </row>
    <row r="321" spans="1:8" x14ac:dyDescent="0.3">
      <c r="A321">
        <v>-4501104</v>
      </c>
      <c r="B321" t="s">
        <v>4302</v>
      </c>
      <c r="C321">
        <v>4501104</v>
      </c>
      <c r="D321" t="s">
        <v>4303</v>
      </c>
      <c r="E321" t="s">
        <v>4290</v>
      </c>
      <c r="F321" t="s">
        <v>4304</v>
      </c>
      <c r="G321" t="s">
        <v>4305</v>
      </c>
      <c r="H321" t="s">
        <v>2589</v>
      </c>
    </row>
    <row r="322" spans="1:8" x14ac:dyDescent="0.3">
      <c r="A322" t="s">
        <v>6248</v>
      </c>
      <c r="B322" t="s">
        <v>6249</v>
      </c>
      <c r="C322">
        <v>4499540</v>
      </c>
      <c r="D322" t="s">
        <v>6865</v>
      </c>
      <c r="E322" t="s">
        <v>2848</v>
      </c>
      <c r="F322" t="s">
        <v>4304</v>
      </c>
      <c r="G322" t="s">
        <v>4305</v>
      </c>
      <c r="H322" t="s">
        <v>2589</v>
      </c>
    </row>
    <row r="323" spans="1:8" x14ac:dyDescent="0.3">
      <c r="A323">
        <v>-4499962</v>
      </c>
      <c r="B323" t="s">
        <v>5449</v>
      </c>
      <c r="C323">
        <v>4499962</v>
      </c>
      <c r="D323" t="s">
        <v>5450</v>
      </c>
      <c r="E323" t="s">
        <v>4821</v>
      </c>
      <c r="F323" s="30" t="s">
        <v>5451</v>
      </c>
      <c r="G323" t="s">
        <v>5452</v>
      </c>
      <c r="H323" t="s">
        <v>5453</v>
      </c>
    </row>
    <row r="324" spans="1:8" x14ac:dyDescent="0.3">
      <c r="A324">
        <v>-4501174</v>
      </c>
      <c r="B324" t="s">
        <v>4230</v>
      </c>
      <c r="C324">
        <v>4501174</v>
      </c>
      <c r="D324" t="s">
        <v>4231</v>
      </c>
      <c r="E324" t="s">
        <v>2983</v>
      </c>
      <c r="F324" t="s">
        <v>6501</v>
      </c>
      <c r="G324" t="s">
        <v>3078</v>
      </c>
      <c r="H324" t="s">
        <v>3430</v>
      </c>
    </row>
    <row r="325" spans="1:8" x14ac:dyDescent="0.3">
      <c r="A325">
        <v>-4501929</v>
      </c>
      <c r="B325" t="s">
        <v>2993</v>
      </c>
      <c r="C325">
        <v>4501929</v>
      </c>
      <c r="D325" t="s">
        <v>2994</v>
      </c>
      <c r="E325" t="s">
        <v>2995</v>
      </c>
      <c r="F325">
        <v>1</v>
      </c>
      <c r="G325" t="s">
        <v>97</v>
      </c>
      <c r="H325" t="e">
        <v>#N/A</v>
      </c>
    </row>
    <row r="326" spans="1:8" x14ac:dyDescent="0.3">
      <c r="A326">
        <v>-4501267</v>
      </c>
      <c r="B326" t="s">
        <v>4098</v>
      </c>
      <c r="C326">
        <v>1</v>
      </c>
      <c r="D326" t="e">
        <v>#N/A</v>
      </c>
      <c r="E326" t="e">
        <v>#N/A</v>
      </c>
      <c r="F326" t="s">
        <v>2812</v>
      </c>
      <c r="G326" t="s">
        <v>2813</v>
      </c>
      <c r="H326" t="s">
        <v>2589</v>
      </c>
    </row>
    <row r="327" spans="1:8" x14ac:dyDescent="0.3">
      <c r="A327">
        <v>-4501069</v>
      </c>
      <c r="B327" t="s">
        <v>4358</v>
      </c>
      <c r="C327">
        <v>4501069</v>
      </c>
      <c r="D327" t="s">
        <v>4359</v>
      </c>
      <c r="E327" t="s">
        <v>2586</v>
      </c>
      <c r="F327">
        <v>1</v>
      </c>
      <c r="G327" t="s">
        <v>97</v>
      </c>
      <c r="H327" t="e">
        <v>#N/A</v>
      </c>
    </row>
    <row r="328" spans="1:8" x14ac:dyDescent="0.3">
      <c r="A328">
        <v>-4994009</v>
      </c>
      <c r="B328" t="s">
        <v>2734</v>
      </c>
      <c r="C328">
        <v>4994009</v>
      </c>
      <c r="D328" t="s">
        <v>2735</v>
      </c>
      <c r="E328" t="s">
        <v>2736</v>
      </c>
      <c r="F328" t="s">
        <v>2737</v>
      </c>
      <c r="G328" t="s">
        <v>2738</v>
      </c>
      <c r="H328" t="s">
        <v>2739</v>
      </c>
    </row>
    <row r="329" spans="1:8" x14ac:dyDescent="0.3">
      <c r="A329">
        <v>-4499998</v>
      </c>
      <c r="B329" t="s">
        <v>5419</v>
      </c>
      <c r="C329">
        <v>4499998</v>
      </c>
      <c r="D329" t="s">
        <v>5420</v>
      </c>
      <c r="E329" t="s">
        <v>3834</v>
      </c>
      <c r="F329" t="s">
        <v>5421</v>
      </c>
      <c r="G329" t="s">
        <v>5422</v>
      </c>
      <c r="H329" t="s">
        <v>2633</v>
      </c>
    </row>
    <row r="330" spans="1:8" x14ac:dyDescent="0.3">
      <c r="A330">
        <v>-4499547</v>
      </c>
      <c r="B330" t="s">
        <v>5862</v>
      </c>
      <c r="C330">
        <v>4499547</v>
      </c>
      <c r="D330" t="s">
        <v>5863</v>
      </c>
      <c r="E330" t="s">
        <v>4549</v>
      </c>
      <c r="F330" t="s">
        <v>5864</v>
      </c>
      <c r="G330" t="s">
        <v>5865</v>
      </c>
      <c r="H330" t="s">
        <v>5866</v>
      </c>
    </row>
    <row r="331" spans="1:8" x14ac:dyDescent="0.3">
      <c r="A331">
        <v>-4500123</v>
      </c>
      <c r="B331" t="s">
        <v>5297</v>
      </c>
      <c r="C331">
        <v>4500123</v>
      </c>
      <c r="D331" t="s">
        <v>5298</v>
      </c>
      <c r="E331" t="s">
        <v>4705</v>
      </c>
      <c r="F331" t="s">
        <v>6718</v>
      </c>
      <c r="G331" t="s">
        <v>6719</v>
      </c>
      <c r="H331" t="s">
        <v>6595</v>
      </c>
    </row>
    <row r="332" spans="1:8" x14ac:dyDescent="0.3">
      <c r="A332">
        <v>-4499926</v>
      </c>
      <c r="B332" t="s">
        <v>5487</v>
      </c>
      <c r="C332">
        <v>4499926</v>
      </c>
      <c r="D332" t="s">
        <v>5488</v>
      </c>
      <c r="E332" t="s">
        <v>3765</v>
      </c>
      <c r="F332" t="s">
        <v>6746</v>
      </c>
      <c r="G332" t="s">
        <v>6747</v>
      </c>
      <c r="H332" t="s">
        <v>6748</v>
      </c>
    </row>
    <row r="333" spans="1:8" x14ac:dyDescent="0.3">
      <c r="A333">
        <v>-4499753</v>
      </c>
      <c r="B333" t="s">
        <v>5645</v>
      </c>
      <c r="C333">
        <v>4499753</v>
      </c>
      <c r="D333" t="s">
        <v>5646</v>
      </c>
      <c r="E333" t="s">
        <v>4633</v>
      </c>
      <c r="F333" t="s">
        <v>5647</v>
      </c>
      <c r="G333" t="s">
        <v>5648</v>
      </c>
      <c r="H333" t="s">
        <v>3181</v>
      </c>
    </row>
    <row r="334" spans="1:8" x14ac:dyDescent="0.3">
      <c r="A334">
        <v>-4501250</v>
      </c>
      <c r="B334" t="s">
        <v>4130</v>
      </c>
      <c r="C334">
        <v>4501250</v>
      </c>
      <c r="D334" t="s">
        <v>4131</v>
      </c>
      <c r="E334" t="s">
        <v>4132</v>
      </c>
      <c r="F334" t="s">
        <v>4133</v>
      </c>
      <c r="G334" t="s">
        <v>4134</v>
      </c>
      <c r="H334" t="s">
        <v>4135</v>
      </c>
    </row>
    <row r="335" spans="1:8" x14ac:dyDescent="0.3">
      <c r="A335">
        <v>-4499564</v>
      </c>
      <c r="B335" t="s">
        <v>4248</v>
      </c>
      <c r="C335">
        <v>4499564</v>
      </c>
      <c r="D335" t="s">
        <v>5841</v>
      </c>
      <c r="E335" t="s">
        <v>2842</v>
      </c>
      <c r="F335" t="s">
        <v>4249</v>
      </c>
      <c r="G335" t="s">
        <v>4250</v>
      </c>
      <c r="H335" t="s">
        <v>2845</v>
      </c>
    </row>
    <row r="336" spans="1:8" x14ac:dyDescent="0.3">
      <c r="A336" t="s">
        <v>6046</v>
      </c>
      <c r="B336" t="s">
        <v>6047</v>
      </c>
      <c r="C336">
        <v>4499642</v>
      </c>
      <c r="D336" t="s">
        <v>6048</v>
      </c>
      <c r="E336" t="s">
        <v>4669</v>
      </c>
      <c r="F336" t="s">
        <v>6049</v>
      </c>
      <c r="G336" t="s">
        <v>6050</v>
      </c>
      <c r="H336" t="s">
        <v>6051</v>
      </c>
    </row>
    <row r="337" spans="1:8" x14ac:dyDescent="0.3">
      <c r="A337">
        <v>-4501137</v>
      </c>
      <c r="B337" t="s">
        <v>4263</v>
      </c>
      <c r="C337">
        <v>4501137</v>
      </c>
      <c r="D337" t="s">
        <v>4261</v>
      </c>
      <c r="E337" t="s">
        <v>4262</v>
      </c>
      <c r="F337" t="s">
        <v>4264</v>
      </c>
      <c r="G337" t="s">
        <v>4265</v>
      </c>
      <c r="H337" t="s">
        <v>4266</v>
      </c>
    </row>
    <row r="338" spans="1:8" x14ac:dyDescent="0.3">
      <c r="A338">
        <v>-4500091</v>
      </c>
      <c r="B338" t="s">
        <v>5324</v>
      </c>
      <c r="C338">
        <v>4500091</v>
      </c>
      <c r="D338" t="s">
        <v>5325</v>
      </c>
      <c r="E338" t="s">
        <v>4034</v>
      </c>
      <c r="F338" t="s">
        <v>6866</v>
      </c>
      <c r="G338" t="s">
        <v>6867</v>
      </c>
      <c r="H338" t="s">
        <v>2769</v>
      </c>
    </row>
    <row r="339" spans="1:8" x14ac:dyDescent="0.3">
      <c r="A339">
        <v>-4499663</v>
      </c>
      <c r="B339" t="s">
        <v>5728</v>
      </c>
      <c r="C339">
        <v>4499663</v>
      </c>
      <c r="D339" t="s">
        <v>5729</v>
      </c>
      <c r="E339" t="s">
        <v>4669</v>
      </c>
      <c r="F339" t="s">
        <v>6055</v>
      </c>
      <c r="G339" t="s">
        <v>6056</v>
      </c>
      <c r="H339" t="s">
        <v>3181</v>
      </c>
    </row>
    <row r="340" spans="1:8" x14ac:dyDescent="0.3">
      <c r="A340">
        <v>-4501352</v>
      </c>
      <c r="B340" t="s">
        <v>3966</v>
      </c>
      <c r="C340">
        <v>4501352</v>
      </c>
      <c r="D340" t="s">
        <v>3967</v>
      </c>
      <c r="E340" t="s">
        <v>2948</v>
      </c>
      <c r="F340" t="s">
        <v>3968</v>
      </c>
      <c r="G340" t="s">
        <v>3969</v>
      </c>
      <c r="H340" t="s">
        <v>3970</v>
      </c>
    </row>
    <row r="341" spans="1:8" x14ac:dyDescent="0.3">
      <c r="A341">
        <v>-4501002</v>
      </c>
      <c r="B341" t="s">
        <v>4466</v>
      </c>
      <c r="C341">
        <v>4501002</v>
      </c>
      <c r="D341" t="s">
        <v>4467</v>
      </c>
      <c r="E341" t="s">
        <v>4462</v>
      </c>
      <c r="F341" t="s">
        <v>6525</v>
      </c>
      <c r="G341" t="s">
        <v>6526</v>
      </c>
      <c r="H341" t="s">
        <v>6527</v>
      </c>
    </row>
    <row r="342" spans="1:8" x14ac:dyDescent="0.3">
      <c r="A342">
        <v>-4499566</v>
      </c>
      <c r="B342" t="s">
        <v>5836</v>
      </c>
      <c r="C342">
        <v>4499566</v>
      </c>
      <c r="D342" t="s">
        <v>5837</v>
      </c>
      <c r="E342" t="s">
        <v>3006</v>
      </c>
      <c r="F342" t="s">
        <v>5838</v>
      </c>
      <c r="G342" t="s">
        <v>5839</v>
      </c>
      <c r="H342" t="s">
        <v>5840</v>
      </c>
    </row>
    <row r="343" spans="1:8" x14ac:dyDescent="0.3">
      <c r="A343">
        <v>-4500472</v>
      </c>
      <c r="B343" t="s">
        <v>4999</v>
      </c>
      <c r="C343">
        <v>4500472</v>
      </c>
      <c r="D343" t="s">
        <v>5000</v>
      </c>
      <c r="E343" t="s">
        <v>2580</v>
      </c>
      <c r="F343" t="s">
        <v>6665</v>
      </c>
      <c r="G343" t="s">
        <v>6666</v>
      </c>
      <c r="H343" t="s">
        <v>2827</v>
      </c>
    </row>
    <row r="344" spans="1:8" x14ac:dyDescent="0.3">
      <c r="A344" t="s">
        <v>6424</v>
      </c>
      <c r="B344" t="s">
        <v>6425</v>
      </c>
      <c r="C344" t="e">
        <v>#VALUE!</v>
      </c>
      <c r="D344" t="e">
        <v>#VALUE!</v>
      </c>
      <c r="E344" t="e">
        <v>#VALUE!</v>
      </c>
      <c r="F344" t="s">
        <v>6426</v>
      </c>
      <c r="G344" t="s">
        <v>6427</v>
      </c>
      <c r="H344" t="s">
        <v>6428</v>
      </c>
    </row>
    <row r="345" spans="1:8" x14ac:dyDescent="0.3">
      <c r="A345">
        <v>-4500061</v>
      </c>
      <c r="B345" t="s">
        <v>5352</v>
      </c>
      <c r="C345">
        <v>4500061</v>
      </c>
      <c r="D345" t="s">
        <v>5353</v>
      </c>
      <c r="E345" t="s">
        <v>2626</v>
      </c>
      <c r="F345" t="s">
        <v>6728</v>
      </c>
      <c r="G345" t="s">
        <v>6729</v>
      </c>
      <c r="H345" t="s">
        <v>2577</v>
      </c>
    </row>
    <row r="346" spans="1:8" x14ac:dyDescent="0.3">
      <c r="A346">
        <v>-4500740</v>
      </c>
      <c r="B346" t="s">
        <v>4771</v>
      </c>
      <c r="C346">
        <v>4500740</v>
      </c>
      <c r="D346" t="s">
        <v>4772</v>
      </c>
      <c r="E346" t="s">
        <v>2939</v>
      </c>
      <c r="F346" t="s">
        <v>6608</v>
      </c>
      <c r="G346" t="s">
        <v>6609</v>
      </c>
      <c r="H346" t="s">
        <v>3025</v>
      </c>
    </row>
    <row r="347" spans="1:8" x14ac:dyDescent="0.3">
      <c r="A347">
        <v>-4501279</v>
      </c>
      <c r="B347" t="s">
        <v>4070</v>
      </c>
      <c r="C347">
        <v>4501279</v>
      </c>
      <c r="D347" t="s">
        <v>4071</v>
      </c>
      <c r="E347" t="s">
        <v>2806</v>
      </c>
      <c r="F347" t="s">
        <v>4072</v>
      </c>
      <c r="G347" t="s">
        <v>4073</v>
      </c>
      <c r="H347" t="s">
        <v>4074</v>
      </c>
    </row>
    <row r="348" spans="1:8" x14ac:dyDescent="0.3">
      <c r="A348">
        <v>-4994013</v>
      </c>
      <c r="B348" t="s">
        <v>2724</v>
      </c>
      <c r="C348">
        <v>4994013</v>
      </c>
      <c r="D348" t="s">
        <v>2725</v>
      </c>
      <c r="E348" t="s">
        <v>2726</v>
      </c>
      <c r="F348" t="s">
        <v>2727</v>
      </c>
      <c r="G348" t="s">
        <v>97</v>
      </c>
      <c r="H348" t="e">
        <v>#N/A</v>
      </c>
    </row>
    <row r="349" spans="1:8" x14ac:dyDescent="0.3">
      <c r="A349">
        <v>-4500854</v>
      </c>
      <c r="B349" t="s">
        <v>4652</v>
      </c>
      <c r="C349">
        <v>4500854</v>
      </c>
      <c r="D349" t="s">
        <v>4653</v>
      </c>
      <c r="E349" t="s">
        <v>2964</v>
      </c>
      <c r="F349" t="s">
        <v>4654</v>
      </c>
      <c r="G349" t="s">
        <v>97</v>
      </c>
      <c r="H349" t="e">
        <v>#N/A</v>
      </c>
    </row>
    <row r="350" spans="1:8" x14ac:dyDescent="0.3">
      <c r="A350" t="s">
        <v>6113</v>
      </c>
      <c r="B350">
        <v>34150016149</v>
      </c>
      <c r="C350">
        <v>4500409</v>
      </c>
      <c r="D350" t="s">
        <v>6114</v>
      </c>
      <c r="E350" t="s">
        <v>5046</v>
      </c>
      <c r="F350" t="s">
        <v>6818</v>
      </c>
      <c r="G350" t="s">
        <v>6819</v>
      </c>
      <c r="H350" t="s">
        <v>2694</v>
      </c>
    </row>
    <row r="351" spans="1:8" x14ac:dyDescent="0.3">
      <c r="A351">
        <v>-4501884</v>
      </c>
      <c r="B351" t="s">
        <v>3061</v>
      </c>
      <c r="C351">
        <v>4501884</v>
      </c>
      <c r="D351" t="s">
        <v>3062</v>
      </c>
      <c r="E351" t="s">
        <v>2939</v>
      </c>
      <c r="F351" t="s">
        <v>3063</v>
      </c>
      <c r="G351" t="s">
        <v>3064</v>
      </c>
      <c r="H351" t="s">
        <v>3025</v>
      </c>
    </row>
    <row r="352" spans="1:8" x14ac:dyDescent="0.3">
      <c r="A352">
        <v>-4500001</v>
      </c>
      <c r="B352" t="s">
        <v>5416</v>
      </c>
      <c r="C352">
        <v>4500001</v>
      </c>
      <c r="D352" t="s">
        <v>3357</v>
      </c>
      <c r="E352" t="s">
        <v>3262</v>
      </c>
      <c r="F352" t="s">
        <v>5417</v>
      </c>
      <c r="G352" t="s">
        <v>97</v>
      </c>
      <c r="H352" t="e">
        <v>#N/A</v>
      </c>
    </row>
    <row r="353" spans="1:8" x14ac:dyDescent="0.3">
      <c r="A353">
        <v>-4501083</v>
      </c>
      <c r="B353" t="s">
        <v>4339</v>
      </c>
      <c r="C353">
        <v>4501083</v>
      </c>
      <c r="D353" t="s">
        <v>4340</v>
      </c>
      <c r="E353" t="s">
        <v>4290</v>
      </c>
      <c r="F353" t="s">
        <v>4341</v>
      </c>
      <c r="G353" t="s">
        <v>4342</v>
      </c>
      <c r="H353" t="s">
        <v>2589</v>
      </c>
    </row>
    <row r="354" spans="1:8" x14ac:dyDescent="0.3">
      <c r="A354">
        <v>-4500778</v>
      </c>
      <c r="B354" t="s">
        <v>4739</v>
      </c>
      <c r="C354">
        <v>4500778</v>
      </c>
      <c r="D354" t="s">
        <v>4740</v>
      </c>
      <c r="E354" t="s">
        <v>4741</v>
      </c>
      <c r="F354" t="s">
        <v>4742</v>
      </c>
      <c r="G354" t="s">
        <v>4743</v>
      </c>
      <c r="H354" t="s">
        <v>2803</v>
      </c>
    </row>
    <row r="355" spans="1:8" x14ac:dyDescent="0.3">
      <c r="A355">
        <v>-4500318</v>
      </c>
      <c r="B355" t="s">
        <v>5119</v>
      </c>
      <c r="C355">
        <v>4500318</v>
      </c>
      <c r="D355" t="s">
        <v>3365</v>
      </c>
      <c r="E355" t="s">
        <v>2998</v>
      </c>
      <c r="F355" t="s">
        <v>5120</v>
      </c>
      <c r="G355" t="s">
        <v>5121</v>
      </c>
      <c r="H355" t="s">
        <v>5122</v>
      </c>
    </row>
    <row r="356" spans="1:8" x14ac:dyDescent="0.3">
      <c r="A356">
        <v>-4501843</v>
      </c>
      <c r="B356" t="s">
        <v>3129</v>
      </c>
      <c r="C356">
        <v>4501843</v>
      </c>
      <c r="D356" t="s">
        <v>3130</v>
      </c>
      <c r="E356" t="s">
        <v>3131</v>
      </c>
      <c r="F356" t="s">
        <v>3132</v>
      </c>
      <c r="G356" t="s">
        <v>3133</v>
      </c>
      <c r="H356" t="s">
        <v>3134</v>
      </c>
    </row>
    <row r="357" spans="1:8" x14ac:dyDescent="0.3">
      <c r="A357">
        <v>-4499507</v>
      </c>
      <c r="B357" t="s">
        <v>5904</v>
      </c>
      <c r="C357">
        <v>4499507</v>
      </c>
      <c r="D357" t="s">
        <v>5888</v>
      </c>
      <c r="E357" t="s">
        <v>5905</v>
      </c>
      <c r="F357" t="s">
        <v>5906</v>
      </c>
      <c r="G357" t="s">
        <v>5907</v>
      </c>
      <c r="H357" t="s">
        <v>5908</v>
      </c>
    </row>
    <row r="358" spans="1:8" x14ac:dyDescent="0.3">
      <c r="A358">
        <v>-4500910</v>
      </c>
      <c r="B358" t="s">
        <v>4577</v>
      </c>
      <c r="C358">
        <v>4500910</v>
      </c>
      <c r="D358" t="s">
        <v>4575</v>
      </c>
      <c r="E358" t="s">
        <v>4100</v>
      </c>
      <c r="F358" t="s">
        <v>6039</v>
      </c>
      <c r="G358" t="s">
        <v>6040</v>
      </c>
      <c r="H358" t="s">
        <v>6041</v>
      </c>
    </row>
    <row r="359" spans="1:8" x14ac:dyDescent="0.3">
      <c r="A359">
        <v>-4501310</v>
      </c>
      <c r="B359" t="s">
        <v>4027</v>
      </c>
      <c r="C359">
        <v>4501310</v>
      </c>
      <c r="D359" t="s">
        <v>3543</v>
      </c>
      <c r="E359" t="s">
        <v>4028</v>
      </c>
      <c r="F359" t="s">
        <v>6468</v>
      </c>
      <c r="G359" t="s">
        <v>3044</v>
      </c>
      <c r="H359" t="s">
        <v>2757</v>
      </c>
    </row>
    <row r="360" spans="1:8" x14ac:dyDescent="0.3">
      <c r="A360">
        <v>-4500028</v>
      </c>
      <c r="B360" t="s">
        <v>5385</v>
      </c>
      <c r="C360">
        <v>4500028</v>
      </c>
      <c r="D360" t="s">
        <v>5386</v>
      </c>
      <c r="E360" t="s">
        <v>4267</v>
      </c>
      <c r="F360" t="s">
        <v>5387</v>
      </c>
      <c r="G360" t="s">
        <v>5388</v>
      </c>
      <c r="H360" t="s">
        <v>5389</v>
      </c>
    </row>
    <row r="361" spans="1:8" x14ac:dyDescent="0.3">
      <c r="A361">
        <v>-4501802</v>
      </c>
      <c r="B361" t="s">
        <v>2936</v>
      </c>
      <c r="C361">
        <v>4501802</v>
      </c>
      <c r="D361" t="s">
        <v>2961</v>
      </c>
      <c r="E361" t="s">
        <v>2948</v>
      </c>
      <c r="F361" t="s">
        <v>2937</v>
      </c>
      <c r="G361" t="s">
        <v>97</v>
      </c>
      <c r="H361" t="e">
        <v>#N/A</v>
      </c>
    </row>
    <row r="362" spans="1:8" x14ac:dyDescent="0.3">
      <c r="A362">
        <v>-4501348</v>
      </c>
      <c r="B362" t="s">
        <v>3973</v>
      </c>
      <c r="C362">
        <v>4501348</v>
      </c>
      <c r="D362" t="s">
        <v>3974</v>
      </c>
      <c r="E362" t="s">
        <v>3121</v>
      </c>
      <c r="F362" t="s">
        <v>2937</v>
      </c>
      <c r="G362" t="s">
        <v>97</v>
      </c>
      <c r="H362" t="e">
        <v>#N/A</v>
      </c>
    </row>
    <row r="363" spans="1:8" x14ac:dyDescent="0.3">
      <c r="A363">
        <v>-4499882</v>
      </c>
      <c r="B363" t="s">
        <v>5538</v>
      </c>
      <c r="C363">
        <v>4499882</v>
      </c>
      <c r="D363" t="s">
        <v>5539</v>
      </c>
      <c r="E363" t="s">
        <v>4147</v>
      </c>
      <c r="F363" t="s">
        <v>5991</v>
      </c>
      <c r="G363" t="s">
        <v>5992</v>
      </c>
      <c r="H363" t="s">
        <v>5993</v>
      </c>
    </row>
    <row r="364" spans="1:8" x14ac:dyDescent="0.3">
      <c r="A364">
        <v>-4500899</v>
      </c>
      <c r="B364" t="s">
        <v>4599</v>
      </c>
      <c r="C364">
        <v>4500899</v>
      </c>
      <c r="D364" t="s">
        <v>4600</v>
      </c>
      <c r="E364" t="s">
        <v>4100</v>
      </c>
      <c r="F364" t="s">
        <v>4601</v>
      </c>
      <c r="G364" t="s">
        <v>4602</v>
      </c>
      <c r="H364" t="s">
        <v>4603</v>
      </c>
    </row>
    <row r="365" spans="1:8" x14ac:dyDescent="0.3">
      <c r="A365">
        <v>-4500281</v>
      </c>
      <c r="B365" t="s">
        <v>5155</v>
      </c>
      <c r="C365">
        <v>4500281</v>
      </c>
      <c r="D365" t="s">
        <v>5156</v>
      </c>
      <c r="E365" t="s">
        <v>4698</v>
      </c>
      <c r="F365" t="s">
        <v>6702</v>
      </c>
      <c r="G365" t="s">
        <v>6703</v>
      </c>
      <c r="H365" t="s">
        <v>2769</v>
      </c>
    </row>
    <row r="366" spans="1:8" x14ac:dyDescent="0.3">
      <c r="A366">
        <v>-4500758</v>
      </c>
      <c r="B366" t="s">
        <v>4754</v>
      </c>
      <c r="C366">
        <v>4500758</v>
      </c>
      <c r="D366" t="s">
        <v>4755</v>
      </c>
      <c r="E366" t="s">
        <v>4756</v>
      </c>
      <c r="F366" t="s">
        <v>4757</v>
      </c>
      <c r="G366" t="s">
        <v>97</v>
      </c>
      <c r="H366" t="e">
        <v>#N/A</v>
      </c>
    </row>
    <row r="367" spans="1:8" x14ac:dyDescent="0.3">
      <c r="A367">
        <v>-4500191</v>
      </c>
      <c r="B367" t="s">
        <v>5249</v>
      </c>
      <c r="C367">
        <v>4500191</v>
      </c>
      <c r="D367" t="s">
        <v>5250</v>
      </c>
      <c r="E367" t="s">
        <v>4514</v>
      </c>
      <c r="F367" t="s">
        <v>4556</v>
      </c>
      <c r="G367" t="s">
        <v>4557</v>
      </c>
      <c r="H367" t="s">
        <v>2694</v>
      </c>
    </row>
    <row r="368" spans="1:8" x14ac:dyDescent="0.3">
      <c r="A368">
        <v>-4757641</v>
      </c>
      <c r="B368" t="s">
        <v>2904</v>
      </c>
      <c r="C368">
        <v>4501721</v>
      </c>
      <c r="D368" t="s">
        <v>2905</v>
      </c>
      <c r="E368" t="s">
        <v>2906</v>
      </c>
      <c r="F368" t="s">
        <v>2907</v>
      </c>
      <c r="G368" t="s">
        <v>2908</v>
      </c>
      <c r="H368" t="s">
        <v>2645</v>
      </c>
    </row>
    <row r="369" spans="1:9" x14ac:dyDescent="0.3">
      <c r="A369">
        <v>-4501714</v>
      </c>
      <c r="B369" t="s">
        <v>3402</v>
      </c>
      <c r="C369">
        <v>1</v>
      </c>
      <c r="D369" t="e">
        <v>#N/A</v>
      </c>
      <c r="E369" t="e">
        <v>#N/A</v>
      </c>
      <c r="F369" t="s">
        <v>2907</v>
      </c>
      <c r="G369" t="s">
        <v>2908</v>
      </c>
      <c r="H369" t="s">
        <v>2645</v>
      </c>
      <c r="I369" t="s">
        <v>3403</v>
      </c>
    </row>
    <row r="370" spans="1:9" x14ac:dyDescent="0.3">
      <c r="A370">
        <v>-4501621</v>
      </c>
      <c r="B370" t="s">
        <v>3576</v>
      </c>
      <c r="C370">
        <v>4501621</v>
      </c>
      <c r="D370" t="s">
        <v>3577</v>
      </c>
      <c r="E370" t="s">
        <v>3573</v>
      </c>
      <c r="F370" t="s">
        <v>2907</v>
      </c>
      <c r="G370" t="s">
        <v>2908</v>
      </c>
      <c r="H370" t="s">
        <v>2645</v>
      </c>
    </row>
    <row r="371" spans="1:9" x14ac:dyDescent="0.3">
      <c r="A371">
        <v>-4501583</v>
      </c>
      <c r="B371" t="s">
        <v>3639</v>
      </c>
      <c r="C371">
        <v>1</v>
      </c>
      <c r="D371" t="e">
        <v>#N/A</v>
      </c>
      <c r="E371" t="e">
        <v>#N/A</v>
      </c>
      <c r="F371" t="s">
        <v>2907</v>
      </c>
      <c r="G371" t="s">
        <v>2908</v>
      </c>
      <c r="H371" t="s">
        <v>2645</v>
      </c>
      <c r="I371" t="s">
        <v>3403</v>
      </c>
    </row>
    <row r="372" spans="1:9" x14ac:dyDescent="0.3">
      <c r="A372">
        <v>-4501537</v>
      </c>
      <c r="B372" t="s">
        <v>3729</v>
      </c>
      <c r="C372">
        <v>1</v>
      </c>
      <c r="D372" t="e">
        <v>#N/A</v>
      </c>
      <c r="E372" t="e">
        <v>#N/A</v>
      </c>
      <c r="F372" t="s">
        <v>2907</v>
      </c>
      <c r="G372" t="s">
        <v>2908</v>
      </c>
      <c r="H372" t="s">
        <v>2645</v>
      </c>
      <c r="I372" t="s">
        <v>3403</v>
      </c>
    </row>
    <row r="373" spans="1:9" x14ac:dyDescent="0.3">
      <c r="A373">
        <v>-4499836</v>
      </c>
      <c r="B373" t="s">
        <v>5584</v>
      </c>
      <c r="C373">
        <v>4499836</v>
      </c>
      <c r="D373" t="s">
        <v>5585</v>
      </c>
      <c r="E373" t="s">
        <v>3722</v>
      </c>
      <c r="F373" t="s">
        <v>2907</v>
      </c>
      <c r="G373" t="s">
        <v>2908</v>
      </c>
      <c r="H373" t="s">
        <v>2645</v>
      </c>
    </row>
    <row r="374" spans="1:9" x14ac:dyDescent="0.3">
      <c r="A374">
        <v>-4500990</v>
      </c>
      <c r="B374" t="s">
        <v>4481</v>
      </c>
      <c r="C374">
        <v>4500990</v>
      </c>
      <c r="D374" t="s">
        <v>3700</v>
      </c>
      <c r="E374" t="s">
        <v>4053</v>
      </c>
      <c r="F374" t="s">
        <v>4482</v>
      </c>
      <c r="G374" t="s">
        <v>4483</v>
      </c>
      <c r="H374" t="s">
        <v>4484</v>
      </c>
    </row>
    <row r="375" spans="1:9" x14ac:dyDescent="0.3">
      <c r="A375">
        <v>-4501829</v>
      </c>
      <c r="B375" t="s">
        <v>3160</v>
      </c>
      <c r="C375">
        <v>4501829</v>
      </c>
      <c r="D375" t="s">
        <v>3161</v>
      </c>
      <c r="E375" t="s">
        <v>3162</v>
      </c>
      <c r="F375" t="s">
        <v>3163</v>
      </c>
      <c r="G375" t="s">
        <v>3164</v>
      </c>
      <c r="H375" t="s">
        <v>3165</v>
      </c>
    </row>
    <row r="376" spans="1:9" x14ac:dyDescent="0.3">
      <c r="A376">
        <v>-4501795</v>
      </c>
      <c r="B376" t="s">
        <v>3223</v>
      </c>
      <c r="C376">
        <v>4501795</v>
      </c>
      <c r="D376" t="s">
        <v>3224</v>
      </c>
      <c r="E376" t="s">
        <v>2970</v>
      </c>
      <c r="F376" t="s">
        <v>3225</v>
      </c>
      <c r="G376" t="s">
        <v>3226</v>
      </c>
      <c r="H376" t="s">
        <v>3227</v>
      </c>
    </row>
    <row r="377" spans="1:9" x14ac:dyDescent="0.3">
      <c r="A377">
        <v>-4500106</v>
      </c>
      <c r="B377" t="s">
        <v>5304</v>
      </c>
      <c r="C377">
        <v>4500106</v>
      </c>
      <c r="D377" t="s">
        <v>5305</v>
      </c>
      <c r="E377" t="s">
        <v>3262</v>
      </c>
      <c r="F377" t="s">
        <v>5306</v>
      </c>
      <c r="G377" t="s">
        <v>5307</v>
      </c>
      <c r="H377" t="s">
        <v>5308</v>
      </c>
    </row>
    <row r="378" spans="1:9" x14ac:dyDescent="0.3">
      <c r="A378">
        <v>-4501487</v>
      </c>
      <c r="B378" t="s">
        <v>3827</v>
      </c>
      <c r="C378">
        <v>4501487</v>
      </c>
      <c r="D378" t="s">
        <v>3828</v>
      </c>
      <c r="E378" t="s">
        <v>3818</v>
      </c>
      <c r="F378" t="s">
        <v>3829</v>
      </c>
      <c r="G378" t="s">
        <v>97</v>
      </c>
      <c r="H378" t="e">
        <v>#N/A</v>
      </c>
    </row>
    <row r="379" spans="1:9" x14ac:dyDescent="0.3">
      <c r="A379">
        <v>-4500768</v>
      </c>
      <c r="B379" t="s">
        <v>4749</v>
      </c>
      <c r="C379">
        <v>4500768</v>
      </c>
      <c r="D379" t="s">
        <v>4750</v>
      </c>
      <c r="E379" t="s">
        <v>2708</v>
      </c>
      <c r="F379" t="s">
        <v>6600</v>
      </c>
      <c r="G379" t="s">
        <v>6601</v>
      </c>
      <c r="H379" t="s">
        <v>6602</v>
      </c>
    </row>
    <row r="380" spans="1:9" x14ac:dyDescent="0.3">
      <c r="A380">
        <v>-4500784</v>
      </c>
      <c r="B380" t="s">
        <v>4737</v>
      </c>
      <c r="C380">
        <v>4500784</v>
      </c>
      <c r="D380" t="s">
        <v>4738</v>
      </c>
      <c r="E380" t="s">
        <v>3167</v>
      </c>
      <c r="F380" t="s">
        <v>6596</v>
      </c>
      <c r="G380" t="s">
        <v>5598</v>
      </c>
      <c r="H380" t="s">
        <v>4016</v>
      </c>
    </row>
    <row r="381" spans="1:9" x14ac:dyDescent="0.3">
      <c r="A381">
        <v>-4499733</v>
      </c>
      <c r="B381" t="s">
        <v>5659</v>
      </c>
      <c r="C381">
        <v>4499733</v>
      </c>
      <c r="D381" t="s">
        <v>5660</v>
      </c>
      <c r="E381" t="s">
        <v>4011</v>
      </c>
      <c r="F381">
        <v>1</v>
      </c>
      <c r="G381" t="s">
        <v>97</v>
      </c>
      <c r="H381" t="e">
        <v>#N/A</v>
      </c>
    </row>
    <row r="382" spans="1:9" x14ac:dyDescent="0.3">
      <c r="A382">
        <v>-4501329</v>
      </c>
      <c r="B382" t="s">
        <v>4012</v>
      </c>
      <c r="C382">
        <v>4501329</v>
      </c>
      <c r="D382" t="s">
        <v>4013</v>
      </c>
      <c r="E382" t="s">
        <v>4011</v>
      </c>
      <c r="F382" t="s">
        <v>4014</v>
      </c>
      <c r="G382" t="s">
        <v>4015</v>
      </c>
      <c r="H382" t="s">
        <v>4016</v>
      </c>
    </row>
    <row r="383" spans="1:9" x14ac:dyDescent="0.3">
      <c r="A383">
        <v>-5052927</v>
      </c>
      <c r="B383" t="s">
        <v>2578</v>
      </c>
      <c r="C383">
        <v>5052927</v>
      </c>
      <c r="D383" t="s">
        <v>2579</v>
      </c>
      <c r="E383" t="s">
        <v>2580</v>
      </c>
      <c r="F383" t="s">
        <v>2581</v>
      </c>
      <c r="G383" t="s">
        <v>2582</v>
      </c>
      <c r="H383" t="s">
        <v>2583</v>
      </c>
    </row>
    <row r="384" spans="1:9" x14ac:dyDescent="0.3">
      <c r="A384" t="s">
        <v>6412</v>
      </c>
      <c r="B384" t="s">
        <v>6413</v>
      </c>
      <c r="C384">
        <v>4993966</v>
      </c>
      <c r="D384" t="s">
        <v>6868</v>
      </c>
      <c r="E384" t="s">
        <v>6869</v>
      </c>
      <c r="F384" t="s">
        <v>6414</v>
      </c>
      <c r="G384" t="s">
        <v>6415</v>
      </c>
      <c r="H384" t="s">
        <v>6416</v>
      </c>
    </row>
    <row r="385" spans="1:9" x14ac:dyDescent="0.3">
      <c r="A385">
        <v>-4500664</v>
      </c>
      <c r="B385" t="s">
        <v>4858</v>
      </c>
      <c r="C385">
        <v>4500664</v>
      </c>
      <c r="D385" t="s">
        <v>4859</v>
      </c>
      <c r="E385" t="s">
        <v>3655</v>
      </c>
      <c r="F385" t="s">
        <v>4860</v>
      </c>
      <c r="G385" t="s">
        <v>4861</v>
      </c>
      <c r="H385" t="s">
        <v>2633</v>
      </c>
    </row>
    <row r="386" spans="1:9" x14ac:dyDescent="0.3">
      <c r="A386">
        <v>-4501865</v>
      </c>
      <c r="B386" t="s">
        <v>3103</v>
      </c>
      <c r="C386">
        <v>4501865</v>
      </c>
      <c r="D386" t="s">
        <v>3104</v>
      </c>
      <c r="E386" t="s">
        <v>2964</v>
      </c>
      <c r="F386" t="s">
        <v>3105</v>
      </c>
      <c r="G386" t="s">
        <v>3106</v>
      </c>
      <c r="H386" t="s">
        <v>3107</v>
      </c>
    </row>
    <row r="387" spans="1:9" x14ac:dyDescent="0.3">
      <c r="A387">
        <v>-4500590</v>
      </c>
      <c r="B387" t="s">
        <v>4920</v>
      </c>
      <c r="C387">
        <v>4500590</v>
      </c>
      <c r="D387" t="s">
        <v>4921</v>
      </c>
      <c r="E387" t="s">
        <v>3184</v>
      </c>
      <c r="F387" t="s">
        <v>6644</v>
      </c>
      <c r="G387" t="s">
        <v>6645</v>
      </c>
      <c r="H387" t="s">
        <v>2769</v>
      </c>
    </row>
    <row r="388" spans="1:9" x14ac:dyDescent="0.3">
      <c r="A388">
        <v>-4501061</v>
      </c>
      <c r="B388" t="s">
        <v>4366</v>
      </c>
      <c r="C388">
        <v>4501061</v>
      </c>
      <c r="D388" t="s">
        <v>4367</v>
      </c>
      <c r="E388" t="s">
        <v>4368</v>
      </c>
      <c r="F388" t="s">
        <v>4369</v>
      </c>
      <c r="G388" t="s">
        <v>4370</v>
      </c>
      <c r="H388" t="s">
        <v>4371</v>
      </c>
    </row>
    <row r="389" spans="1:9" x14ac:dyDescent="0.3">
      <c r="A389">
        <v>-4501785</v>
      </c>
      <c r="B389" t="s">
        <v>3246</v>
      </c>
      <c r="C389">
        <v>4501785</v>
      </c>
      <c r="D389" t="s">
        <v>3247</v>
      </c>
      <c r="E389" t="s">
        <v>2970</v>
      </c>
      <c r="F389" t="s">
        <v>3248</v>
      </c>
      <c r="G389" t="s">
        <v>3249</v>
      </c>
      <c r="H389" t="s">
        <v>3250</v>
      </c>
    </row>
    <row r="390" spans="1:9" x14ac:dyDescent="0.3">
      <c r="A390">
        <v>-4501109</v>
      </c>
      <c r="B390" t="s">
        <v>4287</v>
      </c>
      <c r="C390">
        <v>4501109</v>
      </c>
      <c r="D390" t="s">
        <v>2669</v>
      </c>
      <c r="E390" t="s">
        <v>4267</v>
      </c>
      <c r="F390" t="s">
        <v>4312</v>
      </c>
      <c r="G390" t="s">
        <v>4313</v>
      </c>
      <c r="H390" t="s">
        <v>4314</v>
      </c>
    </row>
    <row r="391" spans="1:9" x14ac:dyDescent="0.3">
      <c r="A391">
        <v>-4501100</v>
      </c>
      <c r="B391" t="s">
        <v>4310</v>
      </c>
      <c r="C391">
        <v>1</v>
      </c>
      <c r="D391" t="e">
        <v>#N/A</v>
      </c>
      <c r="E391" t="e">
        <v>#N/A</v>
      </c>
      <c r="F391" t="s">
        <v>4312</v>
      </c>
      <c r="G391" t="s">
        <v>4313</v>
      </c>
      <c r="H391" t="s">
        <v>4314</v>
      </c>
    </row>
    <row r="392" spans="1:9" x14ac:dyDescent="0.3">
      <c r="A392">
        <v>-4500947</v>
      </c>
      <c r="B392" t="s">
        <v>4536</v>
      </c>
      <c r="C392">
        <v>1</v>
      </c>
      <c r="D392" t="e">
        <v>#N/A</v>
      </c>
      <c r="E392" t="e">
        <v>#N/A</v>
      </c>
      <c r="F392" t="s">
        <v>4312</v>
      </c>
      <c r="G392" t="s">
        <v>4313</v>
      </c>
      <c r="H392" t="s">
        <v>4314</v>
      </c>
    </row>
    <row r="393" spans="1:9" x14ac:dyDescent="0.3">
      <c r="A393">
        <v>-4500907</v>
      </c>
      <c r="B393" t="s">
        <v>4536</v>
      </c>
      <c r="C393">
        <v>4500907</v>
      </c>
      <c r="D393" t="s">
        <v>3234</v>
      </c>
      <c r="E393" t="s">
        <v>4100</v>
      </c>
      <c r="F393" t="s">
        <v>4312</v>
      </c>
      <c r="G393" t="s">
        <v>4313</v>
      </c>
      <c r="H393" t="s">
        <v>4314</v>
      </c>
    </row>
    <row r="394" spans="1:9" x14ac:dyDescent="0.3">
      <c r="A394">
        <v>-4500085</v>
      </c>
      <c r="B394" t="s">
        <v>5326</v>
      </c>
      <c r="C394">
        <v>1</v>
      </c>
      <c r="D394" t="e">
        <v>#N/A</v>
      </c>
      <c r="E394" t="e">
        <v>#N/A</v>
      </c>
      <c r="F394" t="s">
        <v>4312</v>
      </c>
      <c r="G394" t="s">
        <v>4313</v>
      </c>
      <c r="H394" t="s">
        <v>4314</v>
      </c>
    </row>
    <row r="395" spans="1:9" x14ac:dyDescent="0.3">
      <c r="A395">
        <v>-4501885</v>
      </c>
      <c r="B395" t="s">
        <v>3058</v>
      </c>
      <c r="C395">
        <v>4501885</v>
      </c>
      <c r="D395" t="s">
        <v>3059</v>
      </c>
      <c r="E395" t="s">
        <v>2939</v>
      </c>
      <c r="F395" t="s">
        <v>3060</v>
      </c>
      <c r="G395" t="s">
        <v>97</v>
      </c>
      <c r="H395" t="e">
        <v>#N/A</v>
      </c>
    </row>
    <row r="396" spans="1:9" x14ac:dyDescent="0.3">
      <c r="A396">
        <v>-4501430</v>
      </c>
      <c r="B396" t="s">
        <v>3885</v>
      </c>
      <c r="C396">
        <v>4501430</v>
      </c>
      <c r="D396" t="s">
        <v>3886</v>
      </c>
      <c r="E396" t="s">
        <v>2939</v>
      </c>
      <c r="F396" t="s">
        <v>3887</v>
      </c>
      <c r="G396" t="s">
        <v>97</v>
      </c>
      <c r="H396" t="e">
        <v>#N/A</v>
      </c>
    </row>
    <row r="397" spans="1:9" x14ac:dyDescent="0.3">
      <c r="A397">
        <v>-4500979</v>
      </c>
      <c r="B397" t="s">
        <v>4493</v>
      </c>
      <c r="C397">
        <v>4500979</v>
      </c>
      <c r="D397" t="s">
        <v>4494</v>
      </c>
      <c r="E397" t="s">
        <v>4441</v>
      </c>
      <c r="F397" t="s">
        <v>4495</v>
      </c>
      <c r="G397" t="s">
        <v>4496</v>
      </c>
      <c r="H397" t="s">
        <v>4314</v>
      </c>
    </row>
    <row r="398" spans="1:9" x14ac:dyDescent="0.3">
      <c r="A398">
        <v>-4500666</v>
      </c>
      <c r="B398" t="s">
        <v>4493</v>
      </c>
      <c r="C398">
        <v>4500666</v>
      </c>
      <c r="D398" t="s">
        <v>4857</v>
      </c>
      <c r="E398" t="s">
        <v>4441</v>
      </c>
      <c r="F398">
        <v>1</v>
      </c>
      <c r="G398" t="s">
        <v>97</v>
      </c>
      <c r="H398" t="e">
        <v>#N/A</v>
      </c>
    </row>
    <row r="399" spans="1:9" x14ac:dyDescent="0.3">
      <c r="A399">
        <v>-4501239</v>
      </c>
      <c r="B399" t="s">
        <v>4149</v>
      </c>
      <c r="C399">
        <v>4501239</v>
      </c>
      <c r="D399" t="s">
        <v>4146</v>
      </c>
      <c r="E399" t="s">
        <v>4147</v>
      </c>
      <c r="F399" t="s">
        <v>4150</v>
      </c>
      <c r="G399" t="s">
        <v>97</v>
      </c>
      <c r="H399" t="e">
        <v>#N/A</v>
      </c>
    </row>
    <row r="400" spans="1:9" x14ac:dyDescent="0.3">
      <c r="A400">
        <v>-4501660</v>
      </c>
      <c r="B400" t="s">
        <v>3518</v>
      </c>
      <c r="C400">
        <v>4501660</v>
      </c>
      <c r="D400" t="s">
        <v>3519</v>
      </c>
      <c r="E400" t="s">
        <v>2911</v>
      </c>
      <c r="F400" t="s">
        <v>3520</v>
      </c>
      <c r="G400" t="s">
        <v>3521</v>
      </c>
      <c r="H400" t="s">
        <v>2607</v>
      </c>
      <c r="I400" t="s">
        <v>3522</v>
      </c>
    </row>
    <row r="401" spans="1:8" x14ac:dyDescent="0.3">
      <c r="A401">
        <v>-4994095</v>
      </c>
      <c r="B401" t="s">
        <v>2666</v>
      </c>
      <c r="C401">
        <v>4994095</v>
      </c>
      <c r="D401" t="s">
        <v>2667</v>
      </c>
      <c r="E401" t="s">
        <v>2586</v>
      </c>
      <c r="F401">
        <v>1</v>
      </c>
      <c r="G401" t="s">
        <v>97</v>
      </c>
      <c r="H401" t="e">
        <v>#N/A</v>
      </c>
    </row>
    <row r="402" spans="1:8" x14ac:dyDescent="0.3">
      <c r="A402">
        <v>-4501087</v>
      </c>
      <c r="B402" t="s">
        <v>4337</v>
      </c>
      <c r="C402">
        <v>4501087</v>
      </c>
      <c r="D402" t="s">
        <v>4338</v>
      </c>
      <c r="E402" t="s">
        <v>2586</v>
      </c>
      <c r="F402">
        <v>1</v>
      </c>
      <c r="G402" t="s">
        <v>97</v>
      </c>
      <c r="H402" t="e">
        <v>#N/A</v>
      </c>
    </row>
    <row r="403" spans="1:8" x14ac:dyDescent="0.3">
      <c r="A403">
        <v>-4500744</v>
      </c>
      <c r="B403" t="s">
        <v>4765</v>
      </c>
      <c r="C403">
        <v>4500744</v>
      </c>
      <c r="D403" t="s">
        <v>4766</v>
      </c>
      <c r="E403" t="s">
        <v>3197</v>
      </c>
      <c r="F403" t="s">
        <v>4767</v>
      </c>
      <c r="G403" t="s">
        <v>4768</v>
      </c>
      <c r="H403" t="s">
        <v>2757</v>
      </c>
    </row>
    <row r="404" spans="1:8" x14ac:dyDescent="0.3">
      <c r="A404">
        <v>-4500746</v>
      </c>
      <c r="B404" t="s">
        <v>4761</v>
      </c>
      <c r="C404">
        <v>4500746</v>
      </c>
      <c r="D404" t="s">
        <v>4762</v>
      </c>
      <c r="E404" t="s">
        <v>3121</v>
      </c>
      <c r="F404" t="s">
        <v>4763</v>
      </c>
      <c r="G404" t="s">
        <v>3097</v>
      </c>
      <c r="H404" t="s">
        <v>4764</v>
      </c>
    </row>
    <row r="405" spans="1:8" x14ac:dyDescent="0.3">
      <c r="A405">
        <v>-4499930</v>
      </c>
      <c r="B405" t="s">
        <v>5486</v>
      </c>
      <c r="C405">
        <v>4499930</v>
      </c>
      <c r="D405" t="s">
        <v>5485</v>
      </c>
      <c r="E405" t="s">
        <v>3121</v>
      </c>
      <c r="F405" t="s">
        <v>4763</v>
      </c>
      <c r="G405" t="s">
        <v>3097</v>
      </c>
      <c r="H405" t="s">
        <v>4764</v>
      </c>
    </row>
    <row r="406" spans="1:8" x14ac:dyDescent="0.3">
      <c r="A406">
        <v>-4501609</v>
      </c>
      <c r="B406" t="s">
        <v>3609</v>
      </c>
      <c r="C406">
        <v>4501609</v>
      </c>
      <c r="D406" t="s">
        <v>3610</v>
      </c>
      <c r="E406" t="s">
        <v>3585</v>
      </c>
      <c r="F406" t="s">
        <v>3611</v>
      </c>
      <c r="G406" t="s">
        <v>3612</v>
      </c>
      <c r="H406" t="s">
        <v>3613</v>
      </c>
    </row>
    <row r="407" spans="1:8" x14ac:dyDescent="0.3">
      <c r="A407" t="s">
        <v>6260</v>
      </c>
      <c r="B407" t="s">
        <v>6267</v>
      </c>
      <c r="C407">
        <v>1</v>
      </c>
      <c r="D407" t="e">
        <v>#N/A</v>
      </c>
      <c r="E407" t="e">
        <v>#N/A</v>
      </c>
      <c r="F407" t="s">
        <v>6268</v>
      </c>
      <c r="G407" t="s">
        <v>97</v>
      </c>
      <c r="H407" t="e">
        <v>#N/A</v>
      </c>
    </row>
    <row r="408" spans="1:8" x14ac:dyDescent="0.3">
      <c r="A408">
        <v>-4501410</v>
      </c>
      <c r="B408" t="s">
        <v>3908</v>
      </c>
      <c r="C408">
        <v>4501410</v>
      </c>
      <c r="D408" t="s">
        <v>3909</v>
      </c>
      <c r="E408" t="s">
        <v>3131</v>
      </c>
      <c r="F408" t="s">
        <v>3910</v>
      </c>
      <c r="G408" t="s">
        <v>3911</v>
      </c>
      <c r="H408" t="s">
        <v>3134</v>
      </c>
    </row>
    <row r="409" spans="1:8" x14ac:dyDescent="0.3">
      <c r="A409">
        <v>-4501369</v>
      </c>
      <c r="B409" t="s">
        <v>3950</v>
      </c>
      <c r="C409">
        <v>4501369</v>
      </c>
      <c r="D409" t="s">
        <v>3192</v>
      </c>
      <c r="E409" t="s">
        <v>3121</v>
      </c>
      <c r="F409" t="s">
        <v>6870</v>
      </c>
      <c r="G409" t="s">
        <v>6871</v>
      </c>
      <c r="H409" t="s">
        <v>6872</v>
      </c>
    </row>
    <row r="410" spans="1:8" x14ac:dyDescent="0.3">
      <c r="A410">
        <v>-4501779</v>
      </c>
      <c r="B410" t="s">
        <v>3265</v>
      </c>
      <c r="C410">
        <v>4501779</v>
      </c>
      <c r="D410" t="s">
        <v>3266</v>
      </c>
      <c r="E410" t="s">
        <v>3262</v>
      </c>
      <c r="F410" t="s">
        <v>3267</v>
      </c>
      <c r="G410" t="s">
        <v>3268</v>
      </c>
      <c r="H410" t="s">
        <v>3269</v>
      </c>
    </row>
    <row r="411" spans="1:8" x14ac:dyDescent="0.3">
      <c r="A411">
        <v>-4500684</v>
      </c>
      <c r="B411" t="s">
        <v>4833</v>
      </c>
      <c r="C411">
        <v>4500684</v>
      </c>
      <c r="D411" t="s">
        <v>4834</v>
      </c>
      <c r="E411" t="s">
        <v>4441</v>
      </c>
      <c r="F411">
        <v>1</v>
      </c>
      <c r="G411" t="s">
        <v>97</v>
      </c>
      <c r="H411" t="e">
        <v>#N/A</v>
      </c>
    </row>
    <row r="412" spans="1:8" x14ac:dyDescent="0.3">
      <c r="A412">
        <v>-4500192</v>
      </c>
      <c r="B412" t="s">
        <v>5243</v>
      </c>
      <c r="C412">
        <v>4994143</v>
      </c>
      <c r="D412" t="s">
        <v>6873</v>
      </c>
      <c r="E412" t="s">
        <v>4441</v>
      </c>
      <c r="F412" t="s">
        <v>4442</v>
      </c>
      <c r="G412" t="s">
        <v>4443</v>
      </c>
      <c r="H412" t="s">
        <v>4056</v>
      </c>
    </row>
    <row r="413" spans="1:8" x14ac:dyDescent="0.3">
      <c r="A413">
        <v>-4501395</v>
      </c>
      <c r="B413" t="s">
        <v>3927</v>
      </c>
      <c r="C413">
        <v>4501395</v>
      </c>
      <c r="D413" t="s">
        <v>2957</v>
      </c>
      <c r="E413" t="s">
        <v>2948</v>
      </c>
      <c r="F413" t="s">
        <v>3867</v>
      </c>
      <c r="G413" t="s">
        <v>3868</v>
      </c>
      <c r="H413" t="s">
        <v>3250</v>
      </c>
    </row>
    <row r="414" spans="1:8" x14ac:dyDescent="0.3">
      <c r="A414">
        <v>-4501545</v>
      </c>
      <c r="B414" t="s">
        <v>3713</v>
      </c>
      <c r="C414">
        <v>4501545</v>
      </c>
      <c r="D414" t="s">
        <v>3714</v>
      </c>
      <c r="E414" t="s">
        <v>3705</v>
      </c>
      <c r="F414" t="s">
        <v>3715</v>
      </c>
      <c r="G414" t="s">
        <v>97</v>
      </c>
      <c r="H414" t="e">
        <v>#N/A</v>
      </c>
    </row>
    <row r="415" spans="1:8" x14ac:dyDescent="0.3">
      <c r="A415">
        <v>-4500971</v>
      </c>
      <c r="B415" t="s">
        <v>4507</v>
      </c>
      <c r="C415">
        <v>4500971</v>
      </c>
      <c r="D415" t="s">
        <v>3452</v>
      </c>
      <c r="E415" t="s">
        <v>2995</v>
      </c>
      <c r="F415" t="s">
        <v>6529</v>
      </c>
      <c r="G415" t="s">
        <v>6530</v>
      </c>
      <c r="H415" t="s">
        <v>6531</v>
      </c>
    </row>
    <row r="416" spans="1:8" x14ac:dyDescent="0.3">
      <c r="A416">
        <v>-4501038</v>
      </c>
      <c r="B416" t="s">
        <v>4411</v>
      </c>
      <c r="C416">
        <v>4501038</v>
      </c>
      <c r="D416" t="s">
        <v>3002</v>
      </c>
      <c r="E416" t="s">
        <v>2989</v>
      </c>
      <c r="F416">
        <v>1</v>
      </c>
      <c r="G416" t="s">
        <v>97</v>
      </c>
      <c r="H416" t="e">
        <v>#N/A</v>
      </c>
    </row>
    <row r="417" spans="1:8" x14ac:dyDescent="0.3">
      <c r="A417">
        <v>-4501019</v>
      </c>
      <c r="B417" t="s">
        <v>4428</v>
      </c>
      <c r="C417">
        <v>4501019</v>
      </c>
      <c r="D417" t="s">
        <v>4429</v>
      </c>
      <c r="E417" t="s">
        <v>2989</v>
      </c>
      <c r="F417" t="s">
        <v>4375</v>
      </c>
      <c r="G417" t="s">
        <v>4376</v>
      </c>
      <c r="H417" t="s">
        <v>2723</v>
      </c>
    </row>
    <row r="418" spans="1:8" x14ac:dyDescent="0.3">
      <c r="A418">
        <v>-4500894</v>
      </c>
      <c r="B418" t="s">
        <v>4604</v>
      </c>
      <c r="C418">
        <v>4500894</v>
      </c>
      <c r="D418" t="s">
        <v>4605</v>
      </c>
      <c r="E418" t="s">
        <v>4100</v>
      </c>
      <c r="F418" t="s">
        <v>4559</v>
      </c>
      <c r="G418" t="s">
        <v>4560</v>
      </c>
      <c r="H418" t="s">
        <v>2694</v>
      </c>
    </row>
    <row r="419" spans="1:8" x14ac:dyDescent="0.3">
      <c r="A419">
        <v>-4501799</v>
      </c>
      <c r="B419" t="s">
        <v>3203</v>
      </c>
      <c r="C419">
        <v>4501799</v>
      </c>
      <c r="D419" t="s">
        <v>3204</v>
      </c>
      <c r="E419" t="s">
        <v>3115</v>
      </c>
      <c r="F419" t="s">
        <v>3205</v>
      </c>
      <c r="G419" t="s">
        <v>3206</v>
      </c>
      <c r="H419" t="s">
        <v>3207</v>
      </c>
    </row>
    <row r="420" spans="1:8" x14ac:dyDescent="0.3">
      <c r="A420">
        <v>-4500925</v>
      </c>
      <c r="B420" t="s">
        <v>4565</v>
      </c>
      <c r="C420">
        <v>4500925</v>
      </c>
      <c r="D420" t="s">
        <v>4563</v>
      </c>
      <c r="E420" t="s">
        <v>4147</v>
      </c>
      <c r="F420" t="s">
        <v>6534</v>
      </c>
      <c r="G420" t="s">
        <v>6535</v>
      </c>
      <c r="H420" t="s">
        <v>5993</v>
      </c>
    </row>
    <row r="421" spans="1:8" x14ac:dyDescent="0.3">
      <c r="A421">
        <v>-4500337</v>
      </c>
      <c r="B421" t="s">
        <v>5104</v>
      </c>
      <c r="C421">
        <v>4500337</v>
      </c>
      <c r="D421" t="s">
        <v>5105</v>
      </c>
      <c r="E421" t="s">
        <v>4741</v>
      </c>
      <c r="F421" t="s">
        <v>6677</v>
      </c>
      <c r="G421" t="s">
        <v>6678</v>
      </c>
      <c r="H421" t="s">
        <v>6120</v>
      </c>
    </row>
    <row r="422" spans="1:8" x14ac:dyDescent="0.3">
      <c r="A422">
        <v>-4501654</v>
      </c>
      <c r="B422" t="s">
        <v>3534</v>
      </c>
      <c r="C422">
        <v>4501654</v>
      </c>
      <c r="D422" t="s">
        <v>3329</v>
      </c>
      <c r="E422" t="s">
        <v>3535</v>
      </c>
      <c r="F422" t="s">
        <v>3536</v>
      </c>
      <c r="G422" t="s">
        <v>97</v>
      </c>
      <c r="H422" t="e">
        <v>#N/A</v>
      </c>
    </row>
    <row r="423" spans="1:8" x14ac:dyDescent="0.3">
      <c r="A423">
        <v>-4501506</v>
      </c>
      <c r="B423" t="s">
        <v>3798</v>
      </c>
      <c r="C423">
        <v>4501506</v>
      </c>
      <c r="D423" t="s">
        <v>3796</v>
      </c>
      <c r="E423" t="s">
        <v>3793</v>
      </c>
      <c r="F423" t="s">
        <v>3536</v>
      </c>
      <c r="G423" t="s">
        <v>97</v>
      </c>
      <c r="H423" t="e">
        <v>#N/A</v>
      </c>
    </row>
    <row r="424" spans="1:8" x14ac:dyDescent="0.3">
      <c r="A424">
        <v>-4501506</v>
      </c>
      <c r="B424" t="s">
        <v>3798</v>
      </c>
      <c r="C424">
        <v>4501506</v>
      </c>
      <c r="D424" t="s">
        <v>3796</v>
      </c>
      <c r="E424" t="s">
        <v>3793</v>
      </c>
      <c r="F424" t="s">
        <v>3536</v>
      </c>
      <c r="G424" t="s">
        <v>97</v>
      </c>
      <c r="H424" t="e">
        <v>#N/A</v>
      </c>
    </row>
    <row r="425" spans="1:8" x14ac:dyDescent="0.3">
      <c r="A425">
        <v>-4501506</v>
      </c>
      <c r="B425" t="s">
        <v>3798</v>
      </c>
      <c r="C425">
        <v>4501506</v>
      </c>
      <c r="D425" t="s">
        <v>3796</v>
      </c>
      <c r="E425" t="s">
        <v>3793</v>
      </c>
      <c r="F425" t="s">
        <v>3536</v>
      </c>
      <c r="G425" t="s">
        <v>97</v>
      </c>
      <c r="H425" t="e">
        <v>#N/A</v>
      </c>
    </row>
    <row r="426" spans="1:8" x14ac:dyDescent="0.3">
      <c r="A426">
        <v>-4501506</v>
      </c>
      <c r="B426" t="s">
        <v>3799</v>
      </c>
      <c r="C426">
        <v>4501506</v>
      </c>
      <c r="D426" t="s">
        <v>3796</v>
      </c>
      <c r="E426" t="s">
        <v>3793</v>
      </c>
      <c r="F426" t="s">
        <v>3536</v>
      </c>
      <c r="G426" t="s">
        <v>97</v>
      </c>
      <c r="H426" t="e">
        <v>#N/A</v>
      </c>
    </row>
    <row r="427" spans="1:8" x14ac:dyDescent="0.3">
      <c r="A427">
        <v>-4501498</v>
      </c>
      <c r="B427" t="s">
        <v>3808</v>
      </c>
      <c r="C427">
        <v>4501498</v>
      </c>
      <c r="D427" t="s">
        <v>3809</v>
      </c>
      <c r="E427" t="s">
        <v>3793</v>
      </c>
      <c r="F427" t="s">
        <v>3536</v>
      </c>
      <c r="G427" t="s">
        <v>97</v>
      </c>
      <c r="H427" t="e">
        <v>#N/A</v>
      </c>
    </row>
    <row r="428" spans="1:8" x14ac:dyDescent="0.3">
      <c r="A428">
        <v>-4500334</v>
      </c>
      <c r="B428" t="s">
        <v>5106</v>
      </c>
      <c r="C428">
        <v>4500334</v>
      </c>
      <c r="D428" t="s">
        <v>5107</v>
      </c>
      <c r="E428" t="s">
        <v>4756</v>
      </c>
      <c r="F428">
        <v>1</v>
      </c>
      <c r="G428" t="s">
        <v>97</v>
      </c>
      <c r="H428" t="e">
        <v>#N/A</v>
      </c>
    </row>
    <row r="429" spans="1:8" x14ac:dyDescent="0.3">
      <c r="A429" t="s">
        <v>6204</v>
      </c>
      <c r="B429" t="s">
        <v>6205</v>
      </c>
      <c r="C429">
        <v>4501816</v>
      </c>
      <c r="D429" t="s">
        <v>4058</v>
      </c>
      <c r="E429" t="s">
        <v>4937</v>
      </c>
      <c r="F429" t="s">
        <v>6238</v>
      </c>
      <c r="G429" t="s">
        <v>6239</v>
      </c>
      <c r="H429" t="s">
        <v>4016</v>
      </c>
    </row>
    <row r="430" spans="1:8" x14ac:dyDescent="0.3">
      <c r="A430">
        <v>-4501870</v>
      </c>
      <c r="B430" t="s">
        <v>3094</v>
      </c>
      <c r="C430">
        <v>4501870</v>
      </c>
      <c r="D430" t="s">
        <v>3095</v>
      </c>
      <c r="E430" t="s">
        <v>2939</v>
      </c>
      <c r="F430" t="s">
        <v>3096</v>
      </c>
      <c r="G430" t="s">
        <v>3097</v>
      </c>
      <c r="H430" t="s">
        <v>3098</v>
      </c>
    </row>
    <row r="431" spans="1:8" x14ac:dyDescent="0.3">
      <c r="A431">
        <v>-4501902</v>
      </c>
      <c r="B431" t="s">
        <v>3031</v>
      </c>
      <c r="C431">
        <v>4501902</v>
      </c>
      <c r="D431" t="s">
        <v>3032</v>
      </c>
      <c r="E431" t="s">
        <v>2939</v>
      </c>
      <c r="F431" t="s">
        <v>3033</v>
      </c>
      <c r="G431" t="s">
        <v>3034</v>
      </c>
      <c r="H431" t="s">
        <v>3035</v>
      </c>
    </row>
    <row r="432" spans="1:8" x14ac:dyDescent="0.3">
      <c r="A432">
        <v>-4500981</v>
      </c>
      <c r="B432" t="s">
        <v>4489</v>
      </c>
      <c r="C432">
        <v>4500981</v>
      </c>
      <c r="D432" t="s">
        <v>4490</v>
      </c>
      <c r="E432" t="s">
        <v>4441</v>
      </c>
      <c r="F432" t="s">
        <v>4491</v>
      </c>
      <c r="G432" t="s">
        <v>4492</v>
      </c>
      <c r="H432" t="s">
        <v>4056</v>
      </c>
    </row>
    <row r="433" spans="1:8" x14ac:dyDescent="0.3">
      <c r="A433">
        <v>-4500726</v>
      </c>
      <c r="B433" t="s">
        <v>4792</v>
      </c>
      <c r="C433">
        <v>4500726</v>
      </c>
      <c r="D433" t="s">
        <v>4793</v>
      </c>
      <c r="E433" t="s">
        <v>4753</v>
      </c>
      <c r="F433" t="s">
        <v>6622</v>
      </c>
      <c r="G433" t="s">
        <v>6623</v>
      </c>
      <c r="H433" t="s">
        <v>6624</v>
      </c>
    </row>
    <row r="434" spans="1:8" x14ac:dyDescent="0.3">
      <c r="A434">
        <v>-4499839</v>
      </c>
      <c r="B434" t="s">
        <v>5579</v>
      </c>
      <c r="C434">
        <v>4499839</v>
      </c>
      <c r="D434" t="s">
        <v>5580</v>
      </c>
      <c r="E434" t="s">
        <v>4147</v>
      </c>
      <c r="F434" t="s">
        <v>5581</v>
      </c>
      <c r="G434" t="s">
        <v>5582</v>
      </c>
      <c r="H434" t="s">
        <v>5583</v>
      </c>
    </row>
    <row r="435" spans="1:8" x14ac:dyDescent="0.3">
      <c r="A435">
        <v>-4500965</v>
      </c>
      <c r="B435" t="s">
        <v>4508</v>
      </c>
      <c r="C435">
        <v>4500965</v>
      </c>
      <c r="D435" t="s">
        <v>4509</v>
      </c>
      <c r="E435" t="s">
        <v>2995</v>
      </c>
      <c r="F435" t="s">
        <v>4510</v>
      </c>
      <c r="G435" t="s">
        <v>4511</v>
      </c>
      <c r="H435" t="s">
        <v>2694</v>
      </c>
    </row>
    <row r="436" spans="1:8" x14ac:dyDescent="0.3">
      <c r="A436">
        <v>-4501571</v>
      </c>
      <c r="B436" t="s">
        <v>3662</v>
      </c>
      <c r="C436">
        <v>4501571</v>
      </c>
      <c r="D436" t="s">
        <v>3663</v>
      </c>
      <c r="E436" t="s">
        <v>3664</v>
      </c>
      <c r="F436" t="s">
        <v>3288</v>
      </c>
      <c r="G436" t="s">
        <v>3289</v>
      </c>
      <c r="H436" t="s">
        <v>3290</v>
      </c>
    </row>
    <row r="437" spans="1:8" x14ac:dyDescent="0.3">
      <c r="A437">
        <v>-4500200</v>
      </c>
      <c r="B437" t="s">
        <v>5234</v>
      </c>
      <c r="C437">
        <v>4500200</v>
      </c>
      <c r="D437" t="s">
        <v>5235</v>
      </c>
      <c r="E437" t="s">
        <v>3573</v>
      </c>
      <c r="F437" t="s">
        <v>5236</v>
      </c>
      <c r="G437" t="s">
        <v>97</v>
      </c>
      <c r="H437" t="e">
        <v>#N/A</v>
      </c>
    </row>
    <row r="438" spans="1:8" x14ac:dyDescent="0.3">
      <c r="A438" t="s">
        <v>6214</v>
      </c>
      <c r="B438" t="s">
        <v>6215</v>
      </c>
      <c r="C438">
        <v>4501916</v>
      </c>
      <c r="D438" t="s">
        <v>6216</v>
      </c>
      <c r="E438" t="s">
        <v>3017</v>
      </c>
      <c r="F438" t="s">
        <v>6217</v>
      </c>
      <c r="G438" t="s">
        <v>6218</v>
      </c>
      <c r="H438" t="s">
        <v>3025</v>
      </c>
    </row>
    <row r="439" spans="1:8" x14ac:dyDescent="0.3">
      <c r="A439">
        <v>-4499862</v>
      </c>
      <c r="B439" t="s">
        <v>5546</v>
      </c>
      <c r="C439">
        <v>4499862</v>
      </c>
      <c r="D439" t="s">
        <v>5545</v>
      </c>
      <c r="E439" t="s">
        <v>2979</v>
      </c>
      <c r="F439" t="s">
        <v>5547</v>
      </c>
      <c r="G439" t="s">
        <v>5548</v>
      </c>
      <c r="H439" t="s">
        <v>4061</v>
      </c>
    </row>
    <row r="440" spans="1:8" x14ac:dyDescent="0.3">
      <c r="A440">
        <v>-4501464</v>
      </c>
      <c r="B440" t="s">
        <v>3851</v>
      </c>
      <c r="C440">
        <v>4501464</v>
      </c>
      <c r="D440" t="s">
        <v>3645</v>
      </c>
      <c r="E440" t="s">
        <v>3834</v>
      </c>
      <c r="F440" t="s">
        <v>3852</v>
      </c>
      <c r="G440" t="s">
        <v>3853</v>
      </c>
      <c r="H440" t="s">
        <v>2633</v>
      </c>
    </row>
    <row r="441" spans="1:8" x14ac:dyDescent="0.3">
      <c r="A441">
        <v>-4501869</v>
      </c>
      <c r="B441" t="s">
        <v>3099</v>
      </c>
      <c r="C441">
        <v>4501869</v>
      </c>
      <c r="D441" t="s">
        <v>3100</v>
      </c>
      <c r="E441" t="s">
        <v>2708</v>
      </c>
      <c r="F441" t="s">
        <v>3101</v>
      </c>
      <c r="G441" t="s">
        <v>3102</v>
      </c>
      <c r="H441" t="s">
        <v>2779</v>
      </c>
    </row>
    <row r="442" spans="1:8" x14ac:dyDescent="0.3">
      <c r="A442">
        <v>-4500514</v>
      </c>
      <c r="B442" t="s">
        <v>4956</v>
      </c>
      <c r="C442">
        <v>4500514</v>
      </c>
      <c r="D442" t="s">
        <v>4957</v>
      </c>
      <c r="E442" t="s">
        <v>2708</v>
      </c>
      <c r="F442" t="s">
        <v>3101</v>
      </c>
      <c r="G442" t="s">
        <v>3102</v>
      </c>
      <c r="H442" t="s">
        <v>2779</v>
      </c>
    </row>
    <row r="443" spans="1:8" x14ac:dyDescent="0.3">
      <c r="A443">
        <v>-4500407</v>
      </c>
      <c r="B443" t="s">
        <v>5054</v>
      </c>
      <c r="C443">
        <v>4500407</v>
      </c>
      <c r="D443" t="s">
        <v>5053</v>
      </c>
      <c r="E443" t="s">
        <v>4053</v>
      </c>
      <c r="F443" t="s">
        <v>5055</v>
      </c>
      <c r="G443" t="s">
        <v>5056</v>
      </c>
      <c r="H443" t="s">
        <v>2694</v>
      </c>
    </row>
    <row r="444" spans="1:8" x14ac:dyDescent="0.3">
      <c r="A444">
        <v>-4501669</v>
      </c>
      <c r="B444" t="s">
        <v>3495</v>
      </c>
      <c r="C444">
        <v>4501669</v>
      </c>
      <c r="D444" t="s">
        <v>3496</v>
      </c>
      <c r="E444" t="s">
        <v>3464</v>
      </c>
      <c r="F444" t="s">
        <v>3497</v>
      </c>
      <c r="G444" t="s">
        <v>3498</v>
      </c>
      <c r="H444" t="s">
        <v>3499</v>
      </c>
    </row>
    <row r="445" spans="1:8" x14ac:dyDescent="0.3">
      <c r="A445">
        <v>-4501688</v>
      </c>
      <c r="B445" t="s">
        <v>3451</v>
      </c>
      <c r="C445">
        <v>4501688</v>
      </c>
      <c r="D445" t="s">
        <v>3452</v>
      </c>
      <c r="E445" t="s">
        <v>3453</v>
      </c>
      <c r="F445" t="s">
        <v>3454</v>
      </c>
      <c r="G445" t="s">
        <v>3455</v>
      </c>
      <c r="H445" t="s">
        <v>3456</v>
      </c>
    </row>
    <row r="446" spans="1:8" x14ac:dyDescent="0.3">
      <c r="A446">
        <v>-4500977</v>
      </c>
      <c r="B446" t="s">
        <v>4499</v>
      </c>
      <c r="C446">
        <v>4500977</v>
      </c>
      <c r="D446" t="s">
        <v>4500</v>
      </c>
      <c r="E446" t="s">
        <v>4441</v>
      </c>
      <c r="F446" t="s">
        <v>4501</v>
      </c>
      <c r="G446" t="s">
        <v>4502</v>
      </c>
      <c r="H446" t="s">
        <v>6528</v>
      </c>
    </row>
    <row r="447" spans="1:8" x14ac:dyDescent="0.3">
      <c r="A447">
        <v>-4501442</v>
      </c>
      <c r="B447" t="s">
        <v>3872</v>
      </c>
      <c r="C447">
        <v>4501442</v>
      </c>
      <c r="D447" t="s">
        <v>3114</v>
      </c>
      <c r="E447" t="s">
        <v>2939</v>
      </c>
      <c r="F447" t="s">
        <v>3873</v>
      </c>
      <c r="G447" t="s">
        <v>3874</v>
      </c>
      <c r="H447" t="s">
        <v>3875</v>
      </c>
    </row>
    <row r="448" spans="1:8" x14ac:dyDescent="0.3">
      <c r="A448">
        <v>-4501809</v>
      </c>
      <c r="B448" t="s">
        <v>3187</v>
      </c>
      <c r="C448">
        <v>4501809</v>
      </c>
      <c r="D448" t="s">
        <v>3188</v>
      </c>
      <c r="E448" t="s">
        <v>3162</v>
      </c>
      <c r="F448" t="s">
        <v>3189</v>
      </c>
      <c r="G448" t="s">
        <v>3190</v>
      </c>
      <c r="H448" t="s">
        <v>2577</v>
      </c>
    </row>
    <row r="449" spans="1:9" x14ac:dyDescent="0.3">
      <c r="A449">
        <v>-4500877</v>
      </c>
      <c r="B449">
        <v>34164004827</v>
      </c>
      <c r="C449">
        <v>4500877</v>
      </c>
      <c r="D449" t="s">
        <v>4640</v>
      </c>
      <c r="E449" t="s">
        <v>4641</v>
      </c>
      <c r="F449" t="s">
        <v>6550</v>
      </c>
      <c r="G449" t="s">
        <v>6551</v>
      </c>
      <c r="H449" t="s">
        <v>4016</v>
      </c>
    </row>
    <row r="450" spans="1:9" x14ac:dyDescent="0.3">
      <c r="A450" t="s">
        <v>6260</v>
      </c>
      <c r="B450" t="s">
        <v>6277</v>
      </c>
      <c r="C450">
        <v>1</v>
      </c>
      <c r="D450" t="e">
        <v>#N/A</v>
      </c>
      <c r="E450" t="e">
        <v>#N/A</v>
      </c>
      <c r="F450" t="s">
        <v>6278</v>
      </c>
      <c r="G450" t="s">
        <v>6279</v>
      </c>
      <c r="H450" t="s">
        <v>6280</v>
      </c>
    </row>
    <row r="451" spans="1:9" x14ac:dyDescent="0.3">
      <c r="A451">
        <v>-4501100</v>
      </c>
      <c r="B451" t="s">
        <v>4315</v>
      </c>
      <c r="C451">
        <v>4501100</v>
      </c>
      <c r="D451" t="s">
        <v>4311</v>
      </c>
      <c r="E451" t="s">
        <v>2586</v>
      </c>
      <c r="F451" t="s">
        <v>4316</v>
      </c>
      <c r="G451" t="s">
        <v>4317</v>
      </c>
      <c r="H451" t="s">
        <v>2589</v>
      </c>
    </row>
    <row r="452" spans="1:9" x14ac:dyDescent="0.3">
      <c r="A452" t="s">
        <v>6303</v>
      </c>
      <c r="B452" t="s">
        <v>6331</v>
      </c>
      <c r="C452">
        <v>4501929</v>
      </c>
      <c r="D452" t="s">
        <v>2994</v>
      </c>
      <c r="E452" t="s">
        <v>2995</v>
      </c>
      <c r="F452" t="s">
        <v>6332</v>
      </c>
      <c r="G452" t="s">
        <v>6333</v>
      </c>
      <c r="H452" t="s">
        <v>2694</v>
      </c>
    </row>
    <row r="453" spans="1:9" x14ac:dyDescent="0.3">
      <c r="A453">
        <v>-4501917</v>
      </c>
      <c r="B453" t="s">
        <v>3015</v>
      </c>
      <c r="C453">
        <v>4501917</v>
      </c>
      <c r="D453" t="s">
        <v>3016</v>
      </c>
      <c r="E453" t="s">
        <v>3017</v>
      </c>
      <c r="F453" t="s">
        <v>3018</v>
      </c>
      <c r="G453" t="s">
        <v>3019</v>
      </c>
      <c r="H453" t="s">
        <v>3020</v>
      </c>
    </row>
    <row r="454" spans="1:9" x14ac:dyDescent="0.3">
      <c r="A454">
        <v>-4500647</v>
      </c>
      <c r="B454" t="s">
        <v>4875</v>
      </c>
      <c r="C454">
        <v>4500647</v>
      </c>
      <c r="D454" t="s">
        <v>4876</v>
      </c>
      <c r="E454" t="s">
        <v>4213</v>
      </c>
      <c r="F454" t="s">
        <v>4877</v>
      </c>
      <c r="G454" t="s">
        <v>97</v>
      </c>
      <c r="H454" t="e">
        <v>#N/A</v>
      </c>
    </row>
    <row r="455" spans="1:9" x14ac:dyDescent="0.3">
      <c r="A455">
        <v>-4499662</v>
      </c>
      <c r="B455" t="s">
        <v>5730</v>
      </c>
      <c r="C455">
        <v>4499662</v>
      </c>
      <c r="D455" t="s">
        <v>5731</v>
      </c>
      <c r="E455" t="s">
        <v>4929</v>
      </c>
      <c r="F455" t="s">
        <v>5732</v>
      </c>
      <c r="G455" t="s">
        <v>5733</v>
      </c>
      <c r="H455" t="s">
        <v>2803</v>
      </c>
    </row>
    <row r="456" spans="1:9" x14ac:dyDescent="0.3">
      <c r="A456">
        <v>-4500614</v>
      </c>
      <c r="B456" t="s">
        <v>4903</v>
      </c>
      <c r="C456">
        <v>4500614</v>
      </c>
      <c r="D456" t="s">
        <v>4904</v>
      </c>
      <c r="E456" t="s">
        <v>2948</v>
      </c>
      <c r="F456" t="s">
        <v>6642</v>
      </c>
      <c r="G456" t="s">
        <v>6643</v>
      </c>
      <c r="H456" t="s">
        <v>3960</v>
      </c>
    </row>
    <row r="457" spans="1:9" x14ac:dyDescent="0.3">
      <c r="A457">
        <v>-5052870</v>
      </c>
      <c r="B457" t="s">
        <v>2584</v>
      </c>
      <c r="C457">
        <v>5052870</v>
      </c>
      <c r="D457" t="s">
        <v>2585</v>
      </c>
      <c r="E457" t="s">
        <v>2586</v>
      </c>
      <c r="F457" t="s">
        <v>2587</v>
      </c>
      <c r="G457" t="s">
        <v>2588</v>
      </c>
      <c r="H457" t="s">
        <v>2589</v>
      </c>
    </row>
    <row r="458" spans="1:9" x14ac:dyDescent="0.3">
      <c r="A458">
        <v>-4629968</v>
      </c>
      <c r="B458" t="s">
        <v>2934</v>
      </c>
      <c r="C458">
        <v>4629968</v>
      </c>
      <c r="D458" t="s">
        <v>2588</v>
      </c>
      <c r="E458" t="s">
        <v>2935</v>
      </c>
      <c r="F458" t="s">
        <v>2587</v>
      </c>
      <c r="G458" t="s">
        <v>2588</v>
      </c>
      <c r="H458" t="s">
        <v>2589</v>
      </c>
    </row>
    <row r="459" spans="1:9" x14ac:dyDescent="0.3">
      <c r="A459">
        <v>-4501872</v>
      </c>
      <c r="B459" t="s">
        <v>3089</v>
      </c>
      <c r="C459">
        <v>4501872</v>
      </c>
      <c r="D459" t="s">
        <v>3090</v>
      </c>
      <c r="E459" t="s">
        <v>2939</v>
      </c>
      <c r="F459" t="s">
        <v>3091</v>
      </c>
      <c r="G459" t="s">
        <v>3092</v>
      </c>
      <c r="H459" t="s">
        <v>3093</v>
      </c>
    </row>
    <row r="460" spans="1:9" x14ac:dyDescent="0.3">
      <c r="A460" t="s">
        <v>6115</v>
      </c>
      <c r="B460" t="s">
        <v>6116</v>
      </c>
      <c r="C460">
        <v>4500462</v>
      </c>
      <c r="D460" t="s">
        <v>6117</v>
      </c>
      <c r="E460" t="s">
        <v>4741</v>
      </c>
      <c r="F460" t="s">
        <v>6118</v>
      </c>
      <c r="G460" t="s">
        <v>6119</v>
      </c>
      <c r="H460" t="s">
        <v>6120</v>
      </c>
    </row>
    <row r="461" spans="1:9" x14ac:dyDescent="0.3">
      <c r="A461">
        <v>-4994114</v>
      </c>
      <c r="B461" t="s">
        <v>2648</v>
      </c>
      <c r="C461">
        <v>4994114</v>
      </c>
      <c r="D461" t="s">
        <v>2649</v>
      </c>
      <c r="E461" t="s">
        <v>2650</v>
      </c>
      <c r="F461" t="s">
        <v>2651</v>
      </c>
      <c r="G461" t="s">
        <v>97</v>
      </c>
      <c r="H461" t="e">
        <v>#N/A</v>
      </c>
    </row>
    <row r="462" spans="1:9" x14ac:dyDescent="0.3">
      <c r="A462">
        <v>-4501724</v>
      </c>
      <c r="B462" t="s">
        <v>3389</v>
      </c>
      <c r="C462">
        <v>4501724</v>
      </c>
      <c r="D462" t="s">
        <v>3390</v>
      </c>
      <c r="E462" t="s">
        <v>3366</v>
      </c>
      <c r="F462" t="s">
        <v>3391</v>
      </c>
      <c r="G462" t="s">
        <v>3392</v>
      </c>
      <c r="H462" t="s">
        <v>3375</v>
      </c>
      <c r="I462" t="s">
        <v>3393</v>
      </c>
    </row>
    <row r="463" spans="1:9" x14ac:dyDescent="0.3">
      <c r="A463">
        <v>-4501909</v>
      </c>
      <c r="B463" t="s">
        <v>3021</v>
      </c>
      <c r="C463">
        <v>4501909</v>
      </c>
      <c r="D463" t="s">
        <v>3022</v>
      </c>
      <c r="E463" t="s">
        <v>2939</v>
      </c>
      <c r="F463" t="s">
        <v>3023</v>
      </c>
      <c r="G463" t="s">
        <v>3024</v>
      </c>
      <c r="H463" t="s">
        <v>3025</v>
      </c>
    </row>
    <row r="464" spans="1:9" x14ac:dyDescent="0.3">
      <c r="A464">
        <v>-4501274</v>
      </c>
      <c r="B464" t="s">
        <v>4080</v>
      </c>
      <c r="C464">
        <v>4501274</v>
      </c>
      <c r="D464" t="s">
        <v>4081</v>
      </c>
      <c r="E464" t="s">
        <v>4082</v>
      </c>
      <c r="F464" t="s">
        <v>3023</v>
      </c>
      <c r="G464" t="s">
        <v>3024</v>
      </c>
      <c r="H464" t="s">
        <v>3025</v>
      </c>
    </row>
    <row r="465" spans="1:9" x14ac:dyDescent="0.3">
      <c r="A465">
        <v>-4501243</v>
      </c>
      <c r="B465" t="s">
        <v>3021</v>
      </c>
      <c r="C465">
        <v>4501243</v>
      </c>
      <c r="D465" t="s">
        <v>3022</v>
      </c>
      <c r="E465" t="s">
        <v>4082</v>
      </c>
      <c r="F465" t="s">
        <v>3023</v>
      </c>
      <c r="G465" t="s">
        <v>3024</v>
      </c>
      <c r="H465" t="s">
        <v>3025</v>
      </c>
    </row>
    <row r="466" spans="1:9" x14ac:dyDescent="0.3">
      <c r="A466">
        <v>-4499754</v>
      </c>
      <c r="B466" t="s">
        <v>5641</v>
      </c>
      <c r="C466">
        <v>4499754</v>
      </c>
      <c r="D466" t="s">
        <v>5642</v>
      </c>
      <c r="E466" t="s">
        <v>4633</v>
      </c>
      <c r="F466" t="s">
        <v>5643</v>
      </c>
      <c r="G466" t="s">
        <v>5644</v>
      </c>
      <c r="H466" t="s">
        <v>2803</v>
      </c>
    </row>
    <row r="467" spans="1:9" x14ac:dyDescent="0.3">
      <c r="A467">
        <v>-4499896</v>
      </c>
      <c r="B467" t="s">
        <v>5517</v>
      </c>
      <c r="C467">
        <v>4499896</v>
      </c>
      <c r="D467" t="s">
        <v>5518</v>
      </c>
      <c r="E467" t="s">
        <v>4549</v>
      </c>
      <c r="F467" t="s">
        <v>5519</v>
      </c>
      <c r="G467" t="s">
        <v>97</v>
      </c>
      <c r="H467" t="e">
        <v>#N/A</v>
      </c>
    </row>
    <row r="468" spans="1:9" x14ac:dyDescent="0.3">
      <c r="A468">
        <v>-4501182</v>
      </c>
      <c r="B468" t="s">
        <v>4219</v>
      </c>
      <c r="C468">
        <v>4501182</v>
      </c>
      <c r="D468" t="s">
        <v>4220</v>
      </c>
      <c r="E468" t="s">
        <v>4106</v>
      </c>
      <c r="F468" t="s">
        <v>6496</v>
      </c>
      <c r="G468" t="s">
        <v>6497</v>
      </c>
      <c r="H468" t="s">
        <v>4203</v>
      </c>
    </row>
    <row r="469" spans="1:9" x14ac:dyDescent="0.3">
      <c r="A469">
        <v>-4501447</v>
      </c>
      <c r="B469">
        <v>34165017563</v>
      </c>
      <c r="C469">
        <v>4501447</v>
      </c>
      <c r="D469" t="s">
        <v>3866</v>
      </c>
      <c r="E469" t="s">
        <v>3017</v>
      </c>
      <c r="F469" t="s">
        <v>6443</v>
      </c>
      <c r="G469" t="s">
        <v>6444</v>
      </c>
      <c r="H469" t="s">
        <v>6445</v>
      </c>
    </row>
    <row r="470" spans="1:9" x14ac:dyDescent="0.3">
      <c r="A470">
        <v>-4500869</v>
      </c>
      <c r="B470" t="s">
        <v>4648</v>
      </c>
      <c r="C470">
        <v>4500869</v>
      </c>
      <c r="D470" t="s">
        <v>4649</v>
      </c>
      <c r="E470" t="s">
        <v>4253</v>
      </c>
      <c r="F470" t="s">
        <v>6552</v>
      </c>
      <c r="G470" t="s">
        <v>6553</v>
      </c>
      <c r="H470" t="s">
        <v>6554</v>
      </c>
    </row>
    <row r="471" spans="1:9" x14ac:dyDescent="0.3">
      <c r="A471">
        <v>-4499942</v>
      </c>
      <c r="B471" t="s">
        <v>5474</v>
      </c>
      <c r="C471">
        <v>4499942</v>
      </c>
      <c r="D471" t="s">
        <v>5475</v>
      </c>
      <c r="E471" t="s">
        <v>3131</v>
      </c>
      <c r="F471" t="s">
        <v>6739</v>
      </c>
      <c r="G471" t="s">
        <v>6740</v>
      </c>
      <c r="H471" t="s">
        <v>3960</v>
      </c>
    </row>
    <row r="472" spans="1:9" x14ac:dyDescent="0.3">
      <c r="A472">
        <v>-4500945</v>
      </c>
      <c r="B472" t="s">
        <v>4539</v>
      </c>
      <c r="C472">
        <v>4500945</v>
      </c>
      <c r="D472" t="s">
        <v>4540</v>
      </c>
      <c r="E472" t="s">
        <v>4529</v>
      </c>
      <c r="F472" t="s">
        <v>4541</v>
      </c>
      <c r="G472" t="s">
        <v>97</v>
      </c>
      <c r="H472" t="e">
        <v>#N/A</v>
      </c>
    </row>
    <row r="473" spans="1:9" x14ac:dyDescent="0.3">
      <c r="A473">
        <v>-4501713</v>
      </c>
      <c r="B473" t="s">
        <v>3414</v>
      </c>
      <c r="C473">
        <v>4501713</v>
      </c>
      <c r="D473" t="s">
        <v>3415</v>
      </c>
      <c r="E473" t="s">
        <v>3416</v>
      </c>
      <c r="F473" t="s">
        <v>3417</v>
      </c>
      <c r="G473" t="s">
        <v>3418</v>
      </c>
      <c r="H473" t="s">
        <v>3419</v>
      </c>
      <c r="I473" t="s">
        <v>3420</v>
      </c>
    </row>
    <row r="474" spans="1:9" x14ac:dyDescent="0.3">
      <c r="A474">
        <v>-4501901</v>
      </c>
      <c r="B474" t="s">
        <v>3036</v>
      </c>
      <c r="C474">
        <v>4501901</v>
      </c>
      <c r="D474" t="s">
        <v>3037</v>
      </c>
      <c r="E474" t="s">
        <v>2939</v>
      </c>
      <c r="F474" t="s">
        <v>3038</v>
      </c>
      <c r="G474" t="s">
        <v>3039</v>
      </c>
      <c r="H474" t="s">
        <v>3040</v>
      </c>
    </row>
    <row r="475" spans="1:9" x14ac:dyDescent="0.3">
      <c r="A475">
        <v>-4501241</v>
      </c>
      <c r="B475" t="s">
        <v>4143</v>
      </c>
      <c r="C475">
        <v>4501241</v>
      </c>
      <c r="D475" t="s">
        <v>4144</v>
      </c>
      <c r="E475" t="s">
        <v>4132</v>
      </c>
      <c r="F475" t="s">
        <v>4145</v>
      </c>
      <c r="G475" t="s">
        <v>97</v>
      </c>
      <c r="H475" t="e">
        <v>#N/A</v>
      </c>
    </row>
    <row r="476" spans="1:9" x14ac:dyDescent="0.3">
      <c r="A476">
        <v>-4501427</v>
      </c>
      <c r="B476" t="s">
        <v>3890</v>
      </c>
      <c r="C476">
        <v>4501427</v>
      </c>
      <c r="D476" t="s">
        <v>2747</v>
      </c>
      <c r="E476" t="s">
        <v>2939</v>
      </c>
      <c r="F476" t="s">
        <v>3891</v>
      </c>
      <c r="G476" t="s">
        <v>2594</v>
      </c>
      <c r="H476" t="s">
        <v>3892</v>
      </c>
    </row>
    <row r="477" spans="1:9" x14ac:dyDescent="0.3">
      <c r="A477">
        <v>-4499986</v>
      </c>
      <c r="B477" t="s">
        <v>5433</v>
      </c>
      <c r="C477">
        <v>4499986</v>
      </c>
      <c r="D477" t="s">
        <v>5434</v>
      </c>
      <c r="E477" t="s">
        <v>3883</v>
      </c>
      <c r="F477" t="s">
        <v>5435</v>
      </c>
      <c r="G477" t="s">
        <v>5436</v>
      </c>
      <c r="H477" t="s">
        <v>2577</v>
      </c>
    </row>
    <row r="478" spans="1:9" x14ac:dyDescent="0.3">
      <c r="A478">
        <v>-4501345</v>
      </c>
      <c r="B478" t="s">
        <v>3976</v>
      </c>
      <c r="C478">
        <v>4501345</v>
      </c>
      <c r="D478" t="s">
        <v>3002</v>
      </c>
      <c r="E478" t="s">
        <v>2939</v>
      </c>
      <c r="F478" t="s">
        <v>6459</v>
      </c>
      <c r="G478" t="s">
        <v>6460</v>
      </c>
      <c r="H478" t="s">
        <v>6461</v>
      </c>
    </row>
    <row r="479" spans="1:9" x14ac:dyDescent="0.3">
      <c r="A479">
        <v>-4500786</v>
      </c>
      <c r="B479" t="s">
        <v>4732</v>
      </c>
      <c r="C479">
        <v>4500786</v>
      </c>
      <c r="D479" t="s">
        <v>4733</v>
      </c>
      <c r="E479" t="s">
        <v>4690</v>
      </c>
      <c r="F479" t="s">
        <v>4734</v>
      </c>
      <c r="G479" t="s">
        <v>4735</v>
      </c>
      <c r="H479" t="s">
        <v>4736</v>
      </c>
    </row>
    <row r="480" spans="1:9" x14ac:dyDescent="0.3">
      <c r="A480">
        <v>-4500224</v>
      </c>
      <c r="B480" t="s">
        <v>5198</v>
      </c>
      <c r="C480">
        <v>4500224</v>
      </c>
      <c r="D480" t="s">
        <v>5199</v>
      </c>
      <c r="E480" t="s">
        <v>3655</v>
      </c>
      <c r="F480" t="s">
        <v>5200</v>
      </c>
      <c r="G480" t="s">
        <v>5201</v>
      </c>
      <c r="H480" t="s">
        <v>5202</v>
      </c>
    </row>
    <row r="481" spans="1:8" x14ac:dyDescent="0.3">
      <c r="A481">
        <v>-4501172</v>
      </c>
      <c r="B481" t="s">
        <v>4239</v>
      </c>
      <c r="C481">
        <v>4501172</v>
      </c>
      <c r="D481" t="s">
        <v>4236</v>
      </c>
      <c r="E481" t="s">
        <v>4109</v>
      </c>
      <c r="F481" t="s">
        <v>4242</v>
      </c>
      <c r="G481" t="s">
        <v>3374</v>
      </c>
      <c r="H481" t="s">
        <v>4243</v>
      </c>
    </row>
    <row r="482" spans="1:8" x14ac:dyDescent="0.3">
      <c r="A482">
        <v>-4501171</v>
      </c>
      <c r="B482" t="s">
        <v>4240</v>
      </c>
      <c r="C482">
        <v>4501171</v>
      </c>
      <c r="D482" t="s">
        <v>4241</v>
      </c>
      <c r="E482" t="s">
        <v>4109</v>
      </c>
      <c r="F482" t="s">
        <v>4242</v>
      </c>
      <c r="G482" t="s">
        <v>3374</v>
      </c>
      <c r="H482" t="s">
        <v>4243</v>
      </c>
    </row>
    <row r="483" spans="1:8" x14ac:dyDescent="0.3">
      <c r="A483">
        <v>-4499376</v>
      </c>
      <c r="B483" t="s">
        <v>5975</v>
      </c>
      <c r="C483">
        <v>4499376</v>
      </c>
      <c r="D483" t="s">
        <v>5976</v>
      </c>
      <c r="E483" t="s">
        <v>4373</v>
      </c>
      <c r="F483">
        <v>1</v>
      </c>
      <c r="G483" t="s">
        <v>97</v>
      </c>
      <c r="H483" t="e">
        <v>#N/A</v>
      </c>
    </row>
    <row r="484" spans="1:8" x14ac:dyDescent="0.3">
      <c r="A484">
        <v>-4501418</v>
      </c>
      <c r="B484" t="s">
        <v>3901</v>
      </c>
      <c r="C484">
        <v>4501418</v>
      </c>
      <c r="D484" t="s">
        <v>3902</v>
      </c>
      <c r="E484" t="s">
        <v>3900</v>
      </c>
      <c r="F484" t="s">
        <v>3903</v>
      </c>
      <c r="G484" t="s">
        <v>3904</v>
      </c>
      <c r="H484" t="s">
        <v>2757</v>
      </c>
    </row>
    <row r="485" spans="1:8" x14ac:dyDescent="0.3">
      <c r="A485">
        <v>-4499938</v>
      </c>
      <c r="B485" t="s">
        <v>5479</v>
      </c>
      <c r="C485">
        <v>4499938</v>
      </c>
      <c r="D485" t="s">
        <v>5478</v>
      </c>
      <c r="E485" t="s">
        <v>2948</v>
      </c>
      <c r="F485" t="s">
        <v>5480</v>
      </c>
      <c r="G485" t="s">
        <v>5481</v>
      </c>
      <c r="H485" t="s">
        <v>5482</v>
      </c>
    </row>
    <row r="486" spans="1:8" x14ac:dyDescent="0.3">
      <c r="A486">
        <v>-4500871</v>
      </c>
      <c r="B486" t="s">
        <v>4645</v>
      </c>
      <c r="C486">
        <v>4500871</v>
      </c>
      <c r="D486" t="s">
        <v>4646</v>
      </c>
      <c r="E486" t="s">
        <v>3162</v>
      </c>
      <c r="F486" t="s">
        <v>4647</v>
      </c>
      <c r="G486" t="s">
        <v>97</v>
      </c>
      <c r="H486" t="e">
        <v>#N/A</v>
      </c>
    </row>
    <row r="487" spans="1:8" x14ac:dyDescent="0.3">
      <c r="A487">
        <v>-4501012</v>
      </c>
      <c r="B487" t="s">
        <v>4444</v>
      </c>
      <c r="C487">
        <v>4501012</v>
      </c>
      <c r="D487" t="s">
        <v>3458</v>
      </c>
      <c r="E487" t="s">
        <v>4441</v>
      </c>
      <c r="F487" t="s">
        <v>4445</v>
      </c>
      <c r="G487" t="s">
        <v>4446</v>
      </c>
      <c r="H487" t="s">
        <v>4447</v>
      </c>
    </row>
    <row r="488" spans="1:8" x14ac:dyDescent="0.3">
      <c r="A488">
        <v>-4500643</v>
      </c>
      <c r="B488" t="s">
        <v>4878</v>
      </c>
      <c r="C488">
        <v>4500643</v>
      </c>
      <c r="D488" t="s">
        <v>4879</v>
      </c>
      <c r="E488" t="s">
        <v>4880</v>
      </c>
      <c r="F488" t="s">
        <v>6635</v>
      </c>
      <c r="G488" t="s">
        <v>6636</v>
      </c>
      <c r="H488" t="s">
        <v>6637</v>
      </c>
    </row>
    <row r="489" spans="1:8" x14ac:dyDescent="0.3">
      <c r="A489">
        <v>-4499625</v>
      </c>
      <c r="B489" t="s">
        <v>5763</v>
      </c>
      <c r="C489">
        <v>4499625</v>
      </c>
      <c r="D489" t="s">
        <v>4586</v>
      </c>
      <c r="E489" t="s">
        <v>5764</v>
      </c>
      <c r="F489" t="s">
        <v>6635</v>
      </c>
      <c r="G489" t="s">
        <v>6636</v>
      </c>
      <c r="H489" t="s">
        <v>6637</v>
      </c>
    </row>
    <row r="490" spans="1:8" x14ac:dyDescent="0.3">
      <c r="A490">
        <v>-4500681</v>
      </c>
      <c r="B490" t="s">
        <v>4840</v>
      </c>
      <c r="C490">
        <v>4500681</v>
      </c>
      <c r="D490" t="s">
        <v>4841</v>
      </c>
      <c r="E490" t="s">
        <v>2806</v>
      </c>
      <c r="F490" t="s">
        <v>4842</v>
      </c>
      <c r="G490" t="s">
        <v>97</v>
      </c>
      <c r="H490" t="e">
        <v>#N/A</v>
      </c>
    </row>
    <row r="491" spans="1:8" x14ac:dyDescent="0.3">
      <c r="A491">
        <v>-4500597</v>
      </c>
      <c r="B491" t="s">
        <v>4916</v>
      </c>
      <c r="C491">
        <v>4500597</v>
      </c>
      <c r="D491" t="s">
        <v>4917</v>
      </c>
      <c r="E491" t="s">
        <v>3325</v>
      </c>
      <c r="F491" t="s">
        <v>4918</v>
      </c>
      <c r="G491" t="s">
        <v>4919</v>
      </c>
      <c r="H491" t="s">
        <v>2607</v>
      </c>
    </row>
    <row r="492" spans="1:8" x14ac:dyDescent="0.3">
      <c r="A492">
        <v>-4499374</v>
      </c>
      <c r="B492" t="s">
        <v>5983</v>
      </c>
      <c r="C492">
        <v>4499374</v>
      </c>
      <c r="D492" t="s">
        <v>5981</v>
      </c>
      <c r="E492" t="s">
        <v>5982</v>
      </c>
      <c r="F492">
        <v>1</v>
      </c>
      <c r="G492" t="s">
        <v>97</v>
      </c>
      <c r="H492" t="e">
        <v>#N/A</v>
      </c>
    </row>
    <row r="493" spans="1:8" x14ac:dyDescent="0.3">
      <c r="A493" t="s">
        <v>6260</v>
      </c>
      <c r="B493" t="s">
        <v>6269</v>
      </c>
      <c r="C493">
        <v>4501721</v>
      </c>
      <c r="D493" t="s">
        <v>2905</v>
      </c>
      <c r="E493" t="s">
        <v>2906</v>
      </c>
      <c r="F493">
        <v>1</v>
      </c>
      <c r="G493" t="s">
        <v>97</v>
      </c>
      <c r="H493" t="e">
        <v>#N/A</v>
      </c>
    </row>
    <row r="494" spans="1:8" x14ac:dyDescent="0.3">
      <c r="A494">
        <v>-4500018</v>
      </c>
      <c r="B494" t="s">
        <v>5403</v>
      </c>
      <c r="C494">
        <v>4500018</v>
      </c>
      <c r="D494" t="s">
        <v>5404</v>
      </c>
      <c r="E494" t="s">
        <v>5405</v>
      </c>
      <c r="F494" t="s">
        <v>5406</v>
      </c>
      <c r="G494" t="s">
        <v>5407</v>
      </c>
      <c r="H494" t="s">
        <v>2769</v>
      </c>
    </row>
    <row r="495" spans="1:8" x14ac:dyDescent="0.3">
      <c r="A495">
        <v>-4757640</v>
      </c>
      <c r="B495" t="s">
        <v>2921</v>
      </c>
      <c r="C495">
        <v>4757640</v>
      </c>
      <c r="D495" t="s">
        <v>2922</v>
      </c>
      <c r="E495" t="s">
        <v>2917</v>
      </c>
      <c r="F495" t="s">
        <v>2923</v>
      </c>
      <c r="G495" t="s">
        <v>97</v>
      </c>
      <c r="H495" t="e">
        <v>#N/A</v>
      </c>
    </row>
    <row r="496" spans="1:8" x14ac:dyDescent="0.3">
      <c r="A496">
        <v>-4500921</v>
      </c>
      <c r="B496" t="s">
        <v>4567</v>
      </c>
      <c r="C496">
        <v>4500921</v>
      </c>
      <c r="D496" t="s">
        <v>4241</v>
      </c>
      <c r="E496" t="s">
        <v>4147</v>
      </c>
      <c r="F496" t="s">
        <v>6874</v>
      </c>
      <c r="G496" t="s">
        <v>3374</v>
      </c>
      <c r="H496" t="s">
        <v>4056</v>
      </c>
    </row>
    <row r="497" spans="1:8" x14ac:dyDescent="0.3">
      <c r="A497">
        <v>-4501056</v>
      </c>
      <c r="B497" t="s">
        <v>4377</v>
      </c>
      <c r="C497">
        <v>4501056</v>
      </c>
      <c r="D497" t="s">
        <v>4374</v>
      </c>
      <c r="E497" t="s">
        <v>2989</v>
      </c>
      <c r="F497" t="s">
        <v>4378</v>
      </c>
      <c r="G497" t="s">
        <v>4379</v>
      </c>
      <c r="H497" t="s">
        <v>4380</v>
      </c>
    </row>
    <row r="498" spans="1:8" x14ac:dyDescent="0.3">
      <c r="A498">
        <v>-4499840</v>
      </c>
      <c r="B498" t="s">
        <v>5577</v>
      </c>
      <c r="C498">
        <v>4499840</v>
      </c>
      <c r="D498" t="s">
        <v>5578</v>
      </c>
      <c r="E498" t="s">
        <v>4373</v>
      </c>
      <c r="F498" t="s">
        <v>4378</v>
      </c>
      <c r="G498" t="s">
        <v>4379</v>
      </c>
      <c r="H498" t="s">
        <v>4380</v>
      </c>
    </row>
    <row r="499" spans="1:8" x14ac:dyDescent="0.3">
      <c r="A499">
        <v>-4501946</v>
      </c>
      <c r="B499" t="s">
        <v>2973</v>
      </c>
      <c r="C499">
        <v>4501946</v>
      </c>
      <c r="D499" t="s">
        <v>2974</v>
      </c>
      <c r="E499" t="s">
        <v>2911</v>
      </c>
      <c r="F499" t="s">
        <v>2975</v>
      </c>
      <c r="G499" t="s">
        <v>2976</v>
      </c>
      <c r="H499" t="s">
        <v>2914</v>
      </c>
    </row>
    <row r="500" spans="1:8" x14ac:dyDescent="0.3">
      <c r="A500">
        <v>-4501661</v>
      </c>
      <c r="B500" t="s">
        <v>3517</v>
      </c>
      <c r="C500">
        <v>4501661</v>
      </c>
      <c r="D500" t="s">
        <v>2976</v>
      </c>
      <c r="E500" t="s">
        <v>2911</v>
      </c>
      <c r="F500" t="s">
        <v>2975</v>
      </c>
      <c r="G500" t="s">
        <v>2976</v>
      </c>
      <c r="H500" t="s">
        <v>2914</v>
      </c>
    </row>
    <row r="501" spans="1:8" x14ac:dyDescent="0.3">
      <c r="A501">
        <v>-4501485</v>
      </c>
      <c r="B501" t="s">
        <v>3835</v>
      </c>
      <c r="C501">
        <v>4501485</v>
      </c>
      <c r="D501" t="s">
        <v>3833</v>
      </c>
      <c r="E501" t="s">
        <v>3834</v>
      </c>
      <c r="F501" t="s">
        <v>3836</v>
      </c>
      <c r="G501" t="s">
        <v>3837</v>
      </c>
      <c r="H501" t="s">
        <v>2633</v>
      </c>
    </row>
    <row r="502" spans="1:8" x14ac:dyDescent="0.3">
      <c r="A502">
        <v>-4501734</v>
      </c>
      <c r="B502" t="s">
        <v>3380</v>
      </c>
      <c r="C502">
        <v>4501734</v>
      </c>
      <c r="D502" t="s">
        <v>3381</v>
      </c>
      <c r="E502" t="s">
        <v>3366</v>
      </c>
      <c r="F502" t="s">
        <v>3382</v>
      </c>
      <c r="G502" t="s">
        <v>97</v>
      </c>
      <c r="H502" t="e">
        <v>#N/A</v>
      </c>
    </row>
    <row r="503" spans="1:8" x14ac:dyDescent="0.3">
      <c r="A503" t="s">
        <v>6141</v>
      </c>
      <c r="B503" t="s">
        <v>6142</v>
      </c>
      <c r="C503">
        <v>4500726</v>
      </c>
      <c r="D503" t="s">
        <v>4793</v>
      </c>
      <c r="E503" t="s">
        <v>4753</v>
      </c>
      <c r="F503">
        <v>1</v>
      </c>
      <c r="G503" t="s">
        <v>97</v>
      </c>
      <c r="H503" t="e">
        <v>#N/A</v>
      </c>
    </row>
    <row r="504" spans="1:8" x14ac:dyDescent="0.3">
      <c r="A504" t="s">
        <v>6351</v>
      </c>
      <c r="B504" t="s">
        <v>6355</v>
      </c>
      <c r="C504">
        <v>4500748</v>
      </c>
      <c r="D504" t="s">
        <v>6875</v>
      </c>
      <c r="E504" t="s">
        <v>6876</v>
      </c>
      <c r="F504" t="s">
        <v>6143</v>
      </c>
      <c r="G504" t="s">
        <v>3164</v>
      </c>
      <c r="H504" t="s">
        <v>4678</v>
      </c>
    </row>
    <row r="505" spans="1:8" x14ac:dyDescent="0.3">
      <c r="A505">
        <v>-4500887</v>
      </c>
      <c r="B505" t="s">
        <v>4622</v>
      </c>
      <c r="C505">
        <v>4500887</v>
      </c>
      <c r="D505" t="s">
        <v>4621</v>
      </c>
      <c r="E505" t="s">
        <v>4462</v>
      </c>
      <c r="F505" t="s">
        <v>4623</v>
      </c>
      <c r="G505" t="s">
        <v>4624</v>
      </c>
      <c r="H505" t="s">
        <v>4625</v>
      </c>
    </row>
    <row r="506" spans="1:8" x14ac:dyDescent="0.3">
      <c r="A506">
        <v>-4500658</v>
      </c>
      <c r="B506" t="s">
        <v>4872</v>
      </c>
      <c r="C506">
        <v>4500658</v>
      </c>
      <c r="D506" t="s">
        <v>4873</v>
      </c>
      <c r="E506" t="s">
        <v>4373</v>
      </c>
      <c r="F506" t="s">
        <v>4874</v>
      </c>
      <c r="G506" t="s">
        <v>97</v>
      </c>
      <c r="H506" t="e">
        <v>#N/A</v>
      </c>
    </row>
    <row r="507" spans="1:8" x14ac:dyDescent="0.3">
      <c r="A507">
        <v>-4500622</v>
      </c>
      <c r="B507" t="s">
        <v>4891</v>
      </c>
      <c r="C507">
        <v>4500622</v>
      </c>
      <c r="D507" t="s">
        <v>4892</v>
      </c>
      <c r="E507" t="s">
        <v>3664</v>
      </c>
      <c r="F507" t="s">
        <v>4893</v>
      </c>
      <c r="G507" t="s">
        <v>4894</v>
      </c>
      <c r="H507" t="s">
        <v>3430</v>
      </c>
    </row>
    <row r="508" spans="1:8" x14ac:dyDescent="0.3">
      <c r="A508">
        <v>-4501551</v>
      </c>
      <c r="B508" t="s">
        <v>3703</v>
      </c>
      <c r="C508">
        <v>4501551</v>
      </c>
      <c r="D508" t="s">
        <v>3704</v>
      </c>
      <c r="E508" t="s">
        <v>3705</v>
      </c>
      <c r="F508" t="s">
        <v>3706</v>
      </c>
      <c r="G508" t="s">
        <v>3707</v>
      </c>
      <c r="H508" t="s">
        <v>2633</v>
      </c>
    </row>
    <row r="509" spans="1:8" x14ac:dyDescent="0.3">
      <c r="A509">
        <v>-4499575</v>
      </c>
      <c r="B509" t="s">
        <v>5817</v>
      </c>
      <c r="C509">
        <v>4499575</v>
      </c>
      <c r="D509" t="s">
        <v>5818</v>
      </c>
      <c r="E509" t="s">
        <v>4132</v>
      </c>
      <c r="F509" t="s">
        <v>5819</v>
      </c>
      <c r="G509" t="s">
        <v>5820</v>
      </c>
      <c r="H509" t="s">
        <v>5821</v>
      </c>
    </row>
    <row r="510" spans="1:8" x14ac:dyDescent="0.3">
      <c r="A510">
        <v>4501296</v>
      </c>
      <c r="B510" t="s">
        <v>5996</v>
      </c>
      <c r="C510">
        <v>4501296</v>
      </c>
      <c r="D510" t="s">
        <v>5997</v>
      </c>
      <c r="E510" t="s">
        <v>4026</v>
      </c>
      <c r="F510" t="s">
        <v>3448</v>
      </c>
      <c r="G510" t="s">
        <v>3449</v>
      </c>
      <c r="H510" t="s">
        <v>3450</v>
      </c>
    </row>
    <row r="511" spans="1:8" x14ac:dyDescent="0.3">
      <c r="A511">
        <v>-4499495</v>
      </c>
      <c r="B511" t="s">
        <v>5932</v>
      </c>
      <c r="C511">
        <v>1</v>
      </c>
      <c r="D511" t="e">
        <v>#N/A</v>
      </c>
      <c r="E511" t="e">
        <v>#N/A</v>
      </c>
      <c r="F511" t="s">
        <v>5933</v>
      </c>
      <c r="G511" t="s">
        <v>5934</v>
      </c>
      <c r="H511" t="s">
        <v>3014</v>
      </c>
    </row>
    <row r="512" spans="1:8" x14ac:dyDescent="0.3">
      <c r="A512">
        <v>-4500843</v>
      </c>
      <c r="B512" t="s">
        <v>4668</v>
      </c>
      <c r="C512">
        <v>4500843</v>
      </c>
      <c r="D512" t="s">
        <v>3645</v>
      </c>
      <c r="E512" t="s">
        <v>4669</v>
      </c>
      <c r="F512" t="s">
        <v>6562</v>
      </c>
      <c r="G512" t="s">
        <v>6563</v>
      </c>
      <c r="H512" t="s">
        <v>4016</v>
      </c>
    </row>
    <row r="513" spans="1:9" x14ac:dyDescent="0.3">
      <c r="A513">
        <v>-4501522</v>
      </c>
      <c r="B513" t="s">
        <v>3760</v>
      </c>
      <c r="C513">
        <v>1</v>
      </c>
      <c r="D513" t="e">
        <v>#N/A</v>
      </c>
      <c r="E513" t="e">
        <v>#N/A</v>
      </c>
      <c r="F513">
        <v>1</v>
      </c>
      <c r="G513" t="s">
        <v>97</v>
      </c>
      <c r="H513" t="e">
        <v>#N/A</v>
      </c>
      <c r="I513" t="s">
        <v>3763</v>
      </c>
    </row>
    <row r="514" spans="1:9" x14ac:dyDescent="0.3">
      <c r="A514">
        <v>-4501503</v>
      </c>
      <c r="B514" t="s">
        <v>3801</v>
      </c>
      <c r="C514">
        <v>4501503</v>
      </c>
      <c r="D514" t="s">
        <v>3802</v>
      </c>
      <c r="E514" t="s">
        <v>3793</v>
      </c>
      <c r="F514">
        <v>1</v>
      </c>
      <c r="G514" t="s">
        <v>97</v>
      </c>
      <c r="H514" t="e">
        <v>#N/A</v>
      </c>
    </row>
    <row r="515" spans="1:9" x14ac:dyDescent="0.3">
      <c r="A515">
        <v>-4501455</v>
      </c>
      <c r="B515" t="s">
        <v>3861</v>
      </c>
      <c r="C515">
        <v>4501455</v>
      </c>
      <c r="D515" t="s">
        <v>3700</v>
      </c>
      <c r="E515" t="s">
        <v>3834</v>
      </c>
      <c r="F515">
        <v>1</v>
      </c>
      <c r="G515" t="s">
        <v>97</v>
      </c>
      <c r="H515" t="e">
        <v>#N/A</v>
      </c>
    </row>
    <row r="516" spans="1:9" x14ac:dyDescent="0.3">
      <c r="A516">
        <v>-4499529</v>
      </c>
      <c r="B516" t="s">
        <v>5878</v>
      </c>
      <c r="C516">
        <v>4499529</v>
      </c>
      <c r="D516" t="s">
        <v>5879</v>
      </c>
      <c r="E516" t="s">
        <v>3722</v>
      </c>
      <c r="F516" t="s">
        <v>3761</v>
      </c>
      <c r="G516" t="s">
        <v>3762</v>
      </c>
      <c r="H516" t="s">
        <v>2645</v>
      </c>
    </row>
    <row r="517" spans="1:9" x14ac:dyDescent="0.3">
      <c r="A517">
        <v>-4500699</v>
      </c>
      <c r="B517" t="s">
        <v>4815</v>
      </c>
      <c r="C517">
        <v>4500699</v>
      </c>
      <c r="D517" t="s">
        <v>4816</v>
      </c>
      <c r="E517" t="s">
        <v>3006</v>
      </c>
      <c r="F517" t="s">
        <v>4817</v>
      </c>
      <c r="G517" t="s">
        <v>4818</v>
      </c>
      <c r="H517" t="s">
        <v>2577</v>
      </c>
    </row>
    <row r="518" spans="1:9" x14ac:dyDescent="0.3">
      <c r="A518">
        <v>-4500828</v>
      </c>
      <c r="B518" t="s">
        <v>4683</v>
      </c>
      <c r="C518">
        <v>4500828</v>
      </c>
      <c r="D518" t="s">
        <v>4684</v>
      </c>
      <c r="E518" t="s">
        <v>4669</v>
      </c>
      <c r="F518" t="s">
        <v>6570</v>
      </c>
      <c r="G518" t="s">
        <v>6571</v>
      </c>
      <c r="H518" t="s">
        <v>6051</v>
      </c>
    </row>
    <row r="519" spans="1:9" x14ac:dyDescent="0.3">
      <c r="A519">
        <v>-4500461</v>
      </c>
      <c r="B519" t="s">
        <v>5003</v>
      </c>
      <c r="C519">
        <v>4500461</v>
      </c>
      <c r="D519" t="s">
        <v>5004</v>
      </c>
      <c r="E519" t="s">
        <v>3173</v>
      </c>
      <c r="F519" t="s">
        <v>5005</v>
      </c>
      <c r="G519" t="s">
        <v>5006</v>
      </c>
      <c r="H519" t="s">
        <v>5007</v>
      </c>
    </row>
    <row r="520" spans="1:9" x14ac:dyDescent="0.3">
      <c r="A520">
        <v>-4500439</v>
      </c>
      <c r="B520" t="s">
        <v>5027</v>
      </c>
      <c r="C520">
        <v>4500439</v>
      </c>
      <c r="D520" t="s">
        <v>5028</v>
      </c>
      <c r="E520" t="s">
        <v>3616</v>
      </c>
      <c r="F520" t="s">
        <v>5029</v>
      </c>
      <c r="G520" t="s">
        <v>97</v>
      </c>
      <c r="H520" t="e">
        <v>#N/A</v>
      </c>
    </row>
    <row r="521" spans="1:9" x14ac:dyDescent="0.3">
      <c r="A521">
        <v>-4501268</v>
      </c>
      <c r="B521" t="s">
        <v>4093</v>
      </c>
      <c r="C521">
        <v>4501268</v>
      </c>
      <c r="D521" t="s">
        <v>4094</v>
      </c>
      <c r="E521" t="s">
        <v>4091</v>
      </c>
      <c r="F521" t="s">
        <v>4095</v>
      </c>
      <c r="G521" t="s">
        <v>4096</v>
      </c>
      <c r="H521" t="s">
        <v>4097</v>
      </c>
    </row>
    <row r="522" spans="1:9" x14ac:dyDescent="0.3">
      <c r="A522">
        <v>-4500156</v>
      </c>
      <c r="B522" t="s">
        <v>5260</v>
      </c>
      <c r="C522">
        <v>4500156</v>
      </c>
      <c r="D522" t="s">
        <v>5261</v>
      </c>
      <c r="E522" t="s">
        <v>3544</v>
      </c>
      <c r="F522" t="s">
        <v>5262</v>
      </c>
      <c r="G522" t="s">
        <v>5263</v>
      </c>
      <c r="H522" t="s">
        <v>5264</v>
      </c>
    </row>
    <row r="523" spans="1:9" x14ac:dyDescent="0.3">
      <c r="A523">
        <v>-4499698</v>
      </c>
      <c r="B523" t="s">
        <v>5260</v>
      </c>
      <c r="C523">
        <v>4499698</v>
      </c>
      <c r="D523" t="s">
        <v>5685</v>
      </c>
      <c r="E523" t="s">
        <v>3544</v>
      </c>
      <c r="F523">
        <v>1</v>
      </c>
      <c r="G523" t="s">
        <v>97</v>
      </c>
      <c r="H523" t="e">
        <v>#N/A</v>
      </c>
    </row>
    <row r="524" spans="1:9" x14ac:dyDescent="0.3">
      <c r="A524">
        <v>-4500978</v>
      </c>
      <c r="B524" t="s">
        <v>4497</v>
      </c>
      <c r="C524">
        <v>4500978</v>
      </c>
      <c r="D524" t="s">
        <v>3224</v>
      </c>
      <c r="E524" t="s">
        <v>4441</v>
      </c>
      <c r="F524" t="s">
        <v>4498</v>
      </c>
      <c r="G524" t="s">
        <v>3224</v>
      </c>
      <c r="H524" t="s">
        <v>4056</v>
      </c>
    </row>
    <row r="525" spans="1:9" x14ac:dyDescent="0.3">
      <c r="A525">
        <v>-4501667</v>
      </c>
      <c r="B525" t="s">
        <v>3500</v>
      </c>
      <c r="C525">
        <v>4501667</v>
      </c>
      <c r="D525" t="s">
        <v>3501</v>
      </c>
      <c r="E525" t="s">
        <v>3464</v>
      </c>
      <c r="F525">
        <v>1</v>
      </c>
      <c r="G525" t="s">
        <v>97</v>
      </c>
      <c r="H525" t="e">
        <v>#N/A</v>
      </c>
    </row>
    <row r="526" spans="1:9" x14ac:dyDescent="0.3">
      <c r="A526">
        <v>-4499918</v>
      </c>
      <c r="B526" t="s">
        <v>5493</v>
      </c>
      <c r="C526">
        <v>4499918</v>
      </c>
      <c r="D526" t="s">
        <v>5494</v>
      </c>
      <c r="E526" t="s">
        <v>3464</v>
      </c>
      <c r="F526" t="s">
        <v>3502</v>
      </c>
      <c r="G526" t="s">
        <v>3503</v>
      </c>
      <c r="H526" t="s">
        <v>3504</v>
      </c>
    </row>
    <row r="527" spans="1:9" x14ac:dyDescent="0.3">
      <c r="A527" t="s">
        <v>6147</v>
      </c>
      <c r="B527" t="s">
        <v>6148</v>
      </c>
      <c r="C527">
        <v>4500755</v>
      </c>
      <c r="D527" t="s">
        <v>4759</v>
      </c>
      <c r="E527" t="s">
        <v>3197</v>
      </c>
      <c r="F527" t="s">
        <v>6149</v>
      </c>
      <c r="G527" t="s">
        <v>6150</v>
      </c>
      <c r="H527" t="s">
        <v>2803</v>
      </c>
    </row>
    <row r="528" spans="1:9" x14ac:dyDescent="0.3">
      <c r="A528">
        <v>-4500094</v>
      </c>
      <c r="B528" t="s">
        <v>5321</v>
      </c>
      <c r="C528">
        <v>5052862</v>
      </c>
      <c r="D528" t="s">
        <v>6877</v>
      </c>
      <c r="E528" t="s">
        <v>2842</v>
      </c>
      <c r="F528" t="s">
        <v>5323</v>
      </c>
      <c r="G528" t="s">
        <v>4217</v>
      </c>
      <c r="H528" t="s">
        <v>4167</v>
      </c>
    </row>
    <row r="529" spans="1:9" x14ac:dyDescent="0.3">
      <c r="A529" t="s">
        <v>6303</v>
      </c>
      <c r="B529" t="s">
        <v>6318</v>
      </c>
      <c r="C529">
        <v>1</v>
      </c>
      <c r="D529" t="e">
        <v>#N/A</v>
      </c>
      <c r="E529" t="e">
        <v>#N/A</v>
      </c>
      <c r="F529" t="s">
        <v>6319</v>
      </c>
      <c r="G529" t="s">
        <v>6320</v>
      </c>
      <c r="H529" t="s">
        <v>6321</v>
      </c>
    </row>
    <row r="530" spans="1:9" x14ac:dyDescent="0.3">
      <c r="A530" t="s">
        <v>6250</v>
      </c>
      <c r="B530" t="s">
        <v>6251</v>
      </c>
      <c r="C530" t="s">
        <v>6252</v>
      </c>
      <c r="D530" t="e">
        <v>#N/A</v>
      </c>
      <c r="E530" t="e">
        <v>#N/A</v>
      </c>
      <c r="F530" t="s">
        <v>6253</v>
      </c>
      <c r="G530" t="s">
        <v>6254</v>
      </c>
      <c r="H530" t="s">
        <v>5389</v>
      </c>
    </row>
    <row r="531" spans="1:9" x14ac:dyDescent="0.3">
      <c r="A531">
        <v>-4501745</v>
      </c>
      <c r="B531" t="s">
        <v>3356</v>
      </c>
      <c r="C531">
        <v>4501745</v>
      </c>
      <c r="D531" t="s">
        <v>3357</v>
      </c>
      <c r="E531" t="s">
        <v>3330</v>
      </c>
      <c r="F531" t="s">
        <v>3358</v>
      </c>
      <c r="G531" t="s">
        <v>3359</v>
      </c>
      <c r="H531" t="s">
        <v>3360</v>
      </c>
    </row>
    <row r="532" spans="1:9" x14ac:dyDescent="0.3">
      <c r="A532">
        <v>-4501583</v>
      </c>
      <c r="B532" t="s">
        <v>3640</v>
      </c>
      <c r="C532">
        <v>4501583</v>
      </c>
      <c r="D532" t="s">
        <v>3486</v>
      </c>
      <c r="E532" t="s">
        <v>3634</v>
      </c>
      <c r="F532">
        <v>1</v>
      </c>
      <c r="G532" t="s">
        <v>97</v>
      </c>
      <c r="H532" t="e">
        <v>#N/A</v>
      </c>
      <c r="I532" t="s">
        <v>3641</v>
      </c>
    </row>
    <row r="533" spans="1:9" x14ac:dyDescent="0.3">
      <c r="A533">
        <v>-4501003</v>
      </c>
      <c r="B533" t="s">
        <v>4460</v>
      </c>
      <c r="C533">
        <v>4501003</v>
      </c>
      <c r="D533" t="s">
        <v>4461</v>
      </c>
      <c r="E533" t="s">
        <v>4462</v>
      </c>
      <c r="F533" t="s">
        <v>4463</v>
      </c>
      <c r="G533" t="s">
        <v>4464</v>
      </c>
      <c r="H533" t="s">
        <v>4465</v>
      </c>
    </row>
    <row r="534" spans="1:9" x14ac:dyDescent="0.3">
      <c r="A534">
        <v>-4499377</v>
      </c>
      <c r="B534" t="s">
        <v>5970</v>
      </c>
      <c r="C534">
        <v>4499377</v>
      </c>
      <c r="D534" t="s">
        <v>5971</v>
      </c>
      <c r="E534" t="s">
        <v>5972</v>
      </c>
      <c r="F534" t="s">
        <v>5973</v>
      </c>
      <c r="G534" t="s">
        <v>5974</v>
      </c>
      <c r="H534" t="s">
        <v>4203</v>
      </c>
    </row>
    <row r="535" spans="1:9" x14ac:dyDescent="0.3">
      <c r="A535">
        <v>-4501435</v>
      </c>
      <c r="B535" t="s">
        <v>3881</v>
      </c>
      <c r="C535">
        <v>4501435</v>
      </c>
      <c r="D535" t="s">
        <v>3882</v>
      </c>
      <c r="E535" t="s">
        <v>3883</v>
      </c>
      <c r="F535" t="s">
        <v>6446</v>
      </c>
      <c r="G535" t="s">
        <v>6447</v>
      </c>
      <c r="H535" t="s">
        <v>2739</v>
      </c>
    </row>
    <row r="536" spans="1:9" x14ac:dyDescent="0.3">
      <c r="A536">
        <v>-4500598</v>
      </c>
      <c r="B536" t="s">
        <v>4912</v>
      </c>
      <c r="C536">
        <v>4500598</v>
      </c>
      <c r="D536" t="s">
        <v>4913</v>
      </c>
      <c r="E536" t="s">
        <v>4698</v>
      </c>
      <c r="F536" t="s">
        <v>4914</v>
      </c>
      <c r="G536" t="s">
        <v>4915</v>
      </c>
      <c r="H536" t="s">
        <v>2769</v>
      </c>
    </row>
    <row r="537" spans="1:9" x14ac:dyDescent="0.3">
      <c r="A537">
        <v>-4499651</v>
      </c>
      <c r="B537" t="s">
        <v>5745</v>
      </c>
      <c r="C537">
        <v>4499651</v>
      </c>
      <c r="D537" t="s">
        <v>5746</v>
      </c>
      <c r="E537" t="s">
        <v>4267</v>
      </c>
      <c r="F537" t="s">
        <v>5747</v>
      </c>
      <c r="G537" t="s">
        <v>5748</v>
      </c>
      <c r="H537" t="s">
        <v>2589</v>
      </c>
    </row>
    <row r="538" spans="1:9" x14ac:dyDescent="0.3">
      <c r="A538">
        <v>-4501255</v>
      </c>
      <c r="B538" t="s">
        <v>4124</v>
      </c>
      <c r="C538">
        <v>4501255</v>
      </c>
      <c r="D538" t="s">
        <v>4125</v>
      </c>
      <c r="E538" t="s">
        <v>4120</v>
      </c>
      <c r="F538" t="s">
        <v>4126</v>
      </c>
      <c r="G538" t="s">
        <v>4127</v>
      </c>
      <c r="H538" t="s">
        <v>4123</v>
      </c>
    </row>
    <row r="539" spans="1:9" x14ac:dyDescent="0.3">
      <c r="A539">
        <v>4501438</v>
      </c>
      <c r="B539" t="s">
        <v>6000</v>
      </c>
      <c r="C539">
        <v>4501438</v>
      </c>
      <c r="D539" t="s">
        <v>6001</v>
      </c>
      <c r="E539" t="s">
        <v>3017</v>
      </c>
      <c r="F539" t="s">
        <v>6002</v>
      </c>
      <c r="G539" t="s">
        <v>6003</v>
      </c>
      <c r="H539" t="s">
        <v>3025</v>
      </c>
    </row>
    <row r="540" spans="1:9" x14ac:dyDescent="0.3">
      <c r="A540">
        <v>-4500931</v>
      </c>
      <c r="B540" t="s">
        <v>4558</v>
      </c>
      <c r="C540">
        <v>4500931</v>
      </c>
      <c r="D540" t="s">
        <v>3002</v>
      </c>
      <c r="E540" t="s">
        <v>4549</v>
      </c>
      <c r="F540" t="s">
        <v>6533</v>
      </c>
      <c r="G540" t="s">
        <v>5890</v>
      </c>
      <c r="H540" t="s">
        <v>2694</v>
      </c>
    </row>
    <row r="541" spans="1:9" x14ac:dyDescent="0.3">
      <c r="A541">
        <v>-4501178</v>
      </c>
      <c r="B541" t="s">
        <v>4226</v>
      </c>
      <c r="C541">
        <v>4501178</v>
      </c>
      <c r="D541" t="s">
        <v>4225</v>
      </c>
      <c r="E541" t="s">
        <v>3121</v>
      </c>
      <c r="F541" t="s">
        <v>6498</v>
      </c>
      <c r="G541" t="s">
        <v>6499</v>
      </c>
      <c r="H541" t="s">
        <v>6500</v>
      </c>
    </row>
    <row r="542" spans="1:9" x14ac:dyDescent="0.3">
      <c r="A542">
        <v>-4501103</v>
      </c>
      <c r="B542" t="s">
        <v>4306</v>
      </c>
      <c r="C542">
        <v>4501103</v>
      </c>
      <c r="D542" t="s">
        <v>4307</v>
      </c>
      <c r="E542" t="s">
        <v>2586</v>
      </c>
      <c r="F542">
        <v>1</v>
      </c>
      <c r="G542" t="s">
        <v>97</v>
      </c>
      <c r="H542" t="e">
        <v>#N/A</v>
      </c>
    </row>
    <row r="543" spans="1:9" x14ac:dyDescent="0.3">
      <c r="A543">
        <v>-4501078</v>
      </c>
      <c r="B543" t="s">
        <v>4352</v>
      </c>
      <c r="C543">
        <v>5053002</v>
      </c>
      <c r="D543" t="s">
        <v>6878</v>
      </c>
      <c r="E543" t="s">
        <v>2586</v>
      </c>
      <c r="F543" t="s">
        <v>4308</v>
      </c>
      <c r="G543" t="s">
        <v>4301</v>
      </c>
      <c r="H543" t="s">
        <v>2589</v>
      </c>
    </row>
    <row r="544" spans="1:9" x14ac:dyDescent="0.3">
      <c r="A544">
        <v>-4500718</v>
      </c>
      <c r="B544" t="s">
        <v>4796</v>
      </c>
      <c r="C544">
        <v>4500718</v>
      </c>
      <c r="D544" t="s">
        <v>4684</v>
      </c>
      <c r="E544" t="s">
        <v>4795</v>
      </c>
      <c r="F544" t="s">
        <v>6625</v>
      </c>
      <c r="G544" t="s">
        <v>6626</v>
      </c>
      <c r="H544" t="s">
        <v>2803</v>
      </c>
    </row>
    <row r="545" spans="1:8" x14ac:dyDescent="0.3">
      <c r="A545">
        <v>-4500879</v>
      </c>
      <c r="B545" t="s">
        <v>4637</v>
      </c>
      <c r="C545">
        <v>4500879</v>
      </c>
      <c r="D545" t="s">
        <v>4638</v>
      </c>
      <c r="E545" t="s">
        <v>2939</v>
      </c>
      <c r="F545" t="s">
        <v>4639</v>
      </c>
      <c r="G545" t="s">
        <v>97</v>
      </c>
      <c r="H545" t="e">
        <v>#N/A</v>
      </c>
    </row>
    <row r="546" spans="1:8" x14ac:dyDescent="0.3">
      <c r="A546">
        <v>-4499572</v>
      </c>
      <c r="B546" t="s">
        <v>5824</v>
      </c>
      <c r="C546">
        <v>4499572</v>
      </c>
      <c r="D546" t="s">
        <v>5825</v>
      </c>
      <c r="E546" t="s">
        <v>2964</v>
      </c>
      <c r="F546" t="s">
        <v>5826</v>
      </c>
      <c r="G546" t="s">
        <v>5827</v>
      </c>
      <c r="H546" t="s">
        <v>3960</v>
      </c>
    </row>
    <row r="547" spans="1:8" x14ac:dyDescent="0.3">
      <c r="A547">
        <v>-4501090</v>
      </c>
      <c r="B547" t="s">
        <v>4329</v>
      </c>
      <c r="C547">
        <v>4501090</v>
      </c>
      <c r="D547" t="s">
        <v>4330</v>
      </c>
      <c r="E547" t="s">
        <v>4262</v>
      </c>
      <c r="F547" t="s">
        <v>4331</v>
      </c>
      <c r="G547" t="s">
        <v>4332</v>
      </c>
      <c r="H547" t="s">
        <v>2723</v>
      </c>
    </row>
    <row r="548" spans="1:8" x14ac:dyDescent="0.3">
      <c r="A548">
        <v>-4500214</v>
      </c>
      <c r="B548" t="s">
        <v>5212</v>
      </c>
      <c r="C548">
        <v>4500214</v>
      </c>
      <c r="D548" t="s">
        <v>5213</v>
      </c>
      <c r="E548" t="s">
        <v>3017</v>
      </c>
      <c r="F548" t="s">
        <v>5214</v>
      </c>
      <c r="G548" t="s">
        <v>4657</v>
      </c>
      <c r="H548" t="s">
        <v>3025</v>
      </c>
    </row>
    <row r="549" spans="1:8" x14ac:dyDescent="0.3">
      <c r="A549">
        <v>-4501330</v>
      </c>
      <c r="B549" t="s">
        <v>4009</v>
      </c>
      <c r="C549">
        <v>4501330</v>
      </c>
      <c r="D549" t="s">
        <v>4010</v>
      </c>
      <c r="E549" t="s">
        <v>4011</v>
      </c>
      <c r="F549">
        <v>1</v>
      </c>
      <c r="G549" t="s">
        <v>97</v>
      </c>
      <c r="H549" t="e">
        <v>#N/A</v>
      </c>
    </row>
    <row r="550" spans="1:8" x14ac:dyDescent="0.3">
      <c r="A550">
        <v>-4501315</v>
      </c>
      <c r="B550" t="s">
        <v>4024</v>
      </c>
      <c r="C550">
        <v>4501315</v>
      </c>
      <c r="D550" t="s">
        <v>4025</v>
      </c>
      <c r="E550" t="s">
        <v>4026</v>
      </c>
      <c r="F550" t="s">
        <v>6464</v>
      </c>
      <c r="G550" t="s">
        <v>6465</v>
      </c>
      <c r="H550" t="s">
        <v>3450</v>
      </c>
    </row>
    <row r="551" spans="1:8" x14ac:dyDescent="0.3">
      <c r="A551">
        <v>-4500157</v>
      </c>
      <c r="B551" t="s">
        <v>5255</v>
      </c>
      <c r="C551">
        <v>4500157</v>
      </c>
      <c r="D551" t="s">
        <v>5256</v>
      </c>
      <c r="E551" t="s">
        <v>3544</v>
      </c>
      <c r="F551" t="s">
        <v>5257</v>
      </c>
      <c r="G551" t="s">
        <v>5258</v>
      </c>
      <c r="H551" t="s">
        <v>5259</v>
      </c>
    </row>
    <row r="552" spans="1:8" x14ac:dyDescent="0.3">
      <c r="A552">
        <v>-4500202</v>
      </c>
      <c r="B552" t="s">
        <v>5226</v>
      </c>
      <c r="C552">
        <v>4500202</v>
      </c>
      <c r="D552" t="s">
        <v>5227</v>
      </c>
      <c r="E552" t="s">
        <v>2948</v>
      </c>
      <c r="F552" t="s">
        <v>5228</v>
      </c>
      <c r="G552" t="s">
        <v>5229</v>
      </c>
      <c r="H552" t="s">
        <v>3960</v>
      </c>
    </row>
    <row r="553" spans="1:8" x14ac:dyDescent="0.3">
      <c r="A553">
        <v>-4501782</v>
      </c>
      <c r="B553" t="s">
        <v>3256</v>
      </c>
      <c r="C553">
        <v>4501782</v>
      </c>
      <c r="D553" t="s">
        <v>3257</v>
      </c>
      <c r="E553" t="s">
        <v>2906</v>
      </c>
      <c r="F553" t="s">
        <v>3258</v>
      </c>
      <c r="G553" t="s">
        <v>3259</v>
      </c>
      <c r="H553" t="s">
        <v>2613</v>
      </c>
    </row>
    <row r="554" spans="1:8" x14ac:dyDescent="0.3">
      <c r="A554" t="s">
        <v>6211</v>
      </c>
      <c r="B554" t="s">
        <v>6212</v>
      </c>
      <c r="C554">
        <v>4501906</v>
      </c>
      <c r="D554" t="s">
        <v>3329</v>
      </c>
      <c r="E554" t="s">
        <v>2939</v>
      </c>
      <c r="F554" t="s">
        <v>6213</v>
      </c>
      <c r="G554" t="s">
        <v>3916</v>
      </c>
      <c r="H554" t="s">
        <v>3025</v>
      </c>
    </row>
    <row r="555" spans="1:8" x14ac:dyDescent="0.3">
      <c r="A555">
        <v>-4499617</v>
      </c>
      <c r="B555" t="s">
        <v>5777</v>
      </c>
      <c r="C555">
        <v>4499617</v>
      </c>
      <c r="D555" t="s">
        <v>5778</v>
      </c>
      <c r="E555" t="s">
        <v>3464</v>
      </c>
      <c r="F555" t="s">
        <v>5779</v>
      </c>
      <c r="G555" t="s">
        <v>97</v>
      </c>
      <c r="H555" t="e">
        <v>#N/A</v>
      </c>
    </row>
    <row r="556" spans="1:8" x14ac:dyDescent="0.3">
      <c r="A556">
        <v>-4501183</v>
      </c>
      <c r="B556" t="s">
        <v>4214</v>
      </c>
      <c r="C556">
        <v>4501183</v>
      </c>
      <c r="D556" t="s">
        <v>4215</v>
      </c>
      <c r="E556" t="s">
        <v>4213</v>
      </c>
      <c r="F556" t="s">
        <v>4216</v>
      </c>
      <c r="G556" t="s">
        <v>4217</v>
      </c>
      <c r="H556" t="s">
        <v>4218</v>
      </c>
    </row>
    <row r="557" spans="1:8" x14ac:dyDescent="0.3">
      <c r="A557">
        <v>-4500798</v>
      </c>
      <c r="B557" t="s">
        <v>4723</v>
      </c>
      <c r="C557">
        <v>4500798</v>
      </c>
      <c r="D557" t="s">
        <v>4724</v>
      </c>
      <c r="E557" t="s">
        <v>4725</v>
      </c>
      <c r="F557" t="s">
        <v>4726</v>
      </c>
      <c r="G557" t="s">
        <v>4727</v>
      </c>
      <c r="H557" t="s">
        <v>4016</v>
      </c>
    </row>
    <row r="558" spans="1:8" x14ac:dyDescent="0.3">
      <c r="A558">
        <v>-4501475</v>
      </c>
      <c r="B558" t="s">
        <v>3838</v>
      </c>
      <c r="C558">
        <v>4501475</v>
      </c>
      <c r="D558" t="s">
        <v>3329</v>
      </c>
      <c r="E558" t="s">
        <v>3834</v>
      </c>
      <c r="F558" t="s">
        <v>3839</v>
      </c>
      <c r="G558" t="s">
        <v>3840</v>
      </c>
      <c r="H558" t="s">
        <v>2633</v>
      </c>
    </row>
    <row r="559" spans="1:8" x14ac:dyDescent="0.3">
      <c r="A559">
        <v>-4501892</v>
      </c>
      <c r="B559" t="s">
        <v>3046</v>
      </c>
      <c r="C559">
        <v>4501892</v>
      </c>
      <c r="D559" t="s">
        <v>3047</v>
      </c>
      <c r="E559" t="s">
        <v>2939</v>
      </c>
      <c r="F559" t="s">
        <v>3048</v>
      </c>
      <c r="G559" t="s">
        <v>3049</v>
      </c>
      <c r="H559" t="s">
        <v>3050</v>
      </c>
    </row>
    <row r="560" spans="1:8" x14ac:dyDescent="0.3">
      <c r="A560">
        <v>-4500609</v>
      </c>
      <c r="B560" t="s">
        <v>4907</v>
      </c>
      <c r="C560">
        <v>4500609</v>
      </c>
      <c r="D560" t="s">
        <v>4908</v>
      </c>
      <c r="E560" t="s">
        <v>2810</v>
      </c>
      <c r="F560" t="s">
        <v>4909</v>
      </c>
      <c r="G560" t="s">
        <v>97</v>
      </c>
      <c r="H560" t="e">
        <v>#N/A</v>
      </c>
    </row>
    <row r="561" spans="1:8" x14ac:dyDescent="0.3">
      <c r="A561">
        <v>-4501880</v>
      </c>
      <c r="B561" t="s">
        <v>3068</v>
      </c>
      <c r="C561">
        <v>4501880</v>
      </c>
      <c r="D561" t="s">
        <v>3069</v>
      </c>
      <c r="E561" t="s">
        <v>2939</v>
      </c>
      <c r="F561" t="s">
        <v>3070</v>
      </c>
      <c r="G561" t="s">
        <v>3071</v>
      </c>
      <c r="H561" t="s">
        <v>3072</v>
      </c>
    </row>
    <row r="562" spans="1:8" x14ac:dyDescent="0.3">
      <c r="A562">
        <v>-4501877</v>
      </c>
      <c r="B562" t="s">
        <v>3073</v>
      </c>
      <c r="C562">
        <v>4501877</v>
      </c>
      <c r="D562" t="s">
        <v>3074</v>
      </c>
      <c r="E562" t="s">
        <v>2939</v>
      </c>
      <c r="F562" t="s">
        <v>3070</v>
      </c>
      <c r="G562" t="s">
        <v>3071</v>
      </c>
      <c r="H562" t="s">
        <v>3072</v>
      </c>
    </row>
    <row r="563" spans="1:8" x14ac:dyDescent="0.3">
      <c r="A563">
        <v>-4500204</v>
      </c>
      <c r="B563" t="s">
        <v>5222</v>
      </c>
      <c r="C563">
        <v>4500204</v>
      </c>
      <c r="D563" t="s">
        <v>5223</v>
      </c>
      <c r="E563" t="s">
        <v>2948</v>
      </c>
      <c r="F563">
        <v>1</v>
      </c>
      <c r="G563" t="s">
        <v>97</v>
      </c>
      <c r="H563" t="e">
        <v>#N/A</v>
      </c>
    </row>
    <row r="564" spans="1:8" x14ac:dyDescent="0.3">
      <c r="A564">
        <v>-4499500</v>
      </c>
      <c r="B564" t="s">
        <v>3135</v>
      </c>
      <c r="C564">
        <v>4499500</v>
      </c>
      <c r="D564" t="s">
        <v>5915</v>
      </c>
      <c r="E564" t="s">
        <v>5916</v>
      </c>
      <c r="F564" t="s">
        <v>3136</v>
      </c>
      <c r="G564" t="s">
        <v>3137</v>
      </c>
      <c r="H564" t="s">
        <v>3138</v>
      </c>
    </row>
    <row r="565" spans="1:8" x14ac:dyDescent="0.3">
      <c r="A565">
        <v>-4499693</v>
      </c>
      <c r="B565" t="s">
        <v>5686</v>
      </c>
      <c r="C565">
        <v>4499693</v>
      </c>
      <c r="D565" t="s">
        <v>5687</v>
      </c>
      <c r="E565" t="s">
        <v>3311</v>
      </c>
      <c r="F565" t="s">
        <v>5688</v>
      </c>
      <c r="G565" t="s">
        <v>5689</v>
      </c>
      <c r="H565" t="s">
        <v>5690</v>
      </c>
    </row>
    <row r="566" spans="1:8" x14ac:dyDescent="0.3">
      <c r="A566">
        <v>-4500353</v>
      </c>
      <c r="B566" t="s">
        <v>5099</v>
      </c>
      <c r="C566">
        <v>4500353</v>
      </c>
      <c r="D566" t="s">
        <v>5100</v>
      </c>
      <c r="E566" t="s">
        <v>5101</v>
      </c>
      <c r="F566" t="s">
        <v>6674</v>
      </c>
      <c r="G566" t="s">
        <v>6675</v>
      </c>
      <c r="H566" t="s">
        <v>6676</v>
      </c>
    </row>
    <row r="567" spans="1:8" x14ac:dyDescent="0.3">
      <c r="A567">
        <v>-4501094</v>
      </c>
      <c r="B567" t="s">
        <v>4322</v>
      </c>
      <c r="C567">
        <v>4501094</v>
      </c>
      <c r="D567" t="s">
        <v>4323</v>
      </c>
      <c r="E567" t="s">
        <v>4262</v>
      </c>
      <c r="F567" t="s">
        <v>4324</v>
      </c>
      <c r="G567" t="s">
        <v>4325</v>
      </c>
      <c r="H567" t="s">
        <v>4266</v>
      </c>
    </row>
    <row r="568" spans="1:8" x14ac:dyDescent="0.3">
      <c r="A568">
        <v>-4501828</v>
      </c>
      <c r="B568" t="s">
        <v>3166</v>
      </c>
      <c r="C568">
        <v>4501828</v>
      </c>
      <c r="D568" t="s">
        <v>3054</v>
      </c>
      <c r="E568" t="s">
        <v>3167</v>
      </c>
      <c r="F568" t="s">
        <v>3168</v>
      </c>
      <c r="G568" t="s">
        <v>3169</v>
      </c>
      <c r="H568" t="s">
        <v>3170</v>
      </c>
    </row>
    <row r="569" spans="1:8" x14ac:dyDescent="0.3">
      <c r="A569">
        <v>-4499960</v>
      </c>
      <c r="B569" t="s">
        <v>5454</v>
      </c>
      <c r="C569">
        <v>4499960</v>
      </c>
      <c r="D569" t="s">
        <v>5455</v>
      </c>
      <c r="E569" t="s">
        <v>4821</v>
      </c>
      <c r="F569">
        <v>1</v>
      </c>
      <c r="G569" t="s">
        <v>97</v>
      </c>
      <c r="H569" t="e">
        <v>#N/A</v>
      </c>
    </row>
    <row r="570" spans="1:8" x14ac:dyDescent="0.3">
      <c r="A570">
        <v>-4501741</v>
      </c>
      <c r="B570" t="s">
        <v>3364</v>
      </c>
      <c r="C570">
        <v>4501741</v>
      </c>
      <c r="D570" t="s">
        <v>3365</v>
      </c>
      <c r="E570" t="s">
        <v>3366</v>
      </c>
      <c r="F570" t="s">
        <v>3367</v>
      </c>
      <c r="G570" t="s">
        <v>3368</v>
      </c>
      <c r="H570" t="s">
        <v>3369</v>
      </c>
    </row>
    <row r="571" spans="1:8" x14ac:dyDescent="0.3">
      <c r="A571">
        <v>-4501938</v>
      </c>
      <c r="B571" t="s">
        <v>2977</v>
      </c>
      <c r="C571">
        <v>4501938</v>
      </c>
      <c r="D571" t="s">
        <v>2978</v>
      </c>
      <c r="E571" t="s">
        <v>2979</v>
      </c>
      <c r="F571" t="s">
        <v>2980</v>
      </c>
      <c r="G571" t="s">
        <v>97</v>
      </c>
      <c r="H571" t="e">
        <v>#N/A</v>
      </c>
    </row>
    <row r="572" spans="1:8" x14ac:dyDescent="0.3">
      <c r="A572">
        <v>-4501633</v>
      </c>
      <c r="B572" t="s">
        <v>3558</v>
      </c>
      <c r="C572">
        <v>4501633</v>
      </c>
      <c r="D572" t="s">
        <v>3559</v>
      </c>
      <c r="E572" t="s">
        <v>3544</v>
      </c>
      <c r="F572" t="s">
        <v>3560</v>
      </c>
      <c r="G572" t="s">
        <v>3561</v>
      </c>
      <c r="H572" t="s">
        <v>2613</v>
      </c>
    </row>
    <row r="573" spans="1:8" x14ac:dyDescent="0.3">
      <c r="A573">
        <v>-4499512</v>
      </c>
      <c r="B573" t="s">
        <v>5887</v>
      </c>
      <c r="C573">
        <v>4499512</v>
      </c>
      <c r="D573" t="s">
        <v>5888</v>
      </c>
      <c r="E573" t="s">
        <v>2848</v>
      </c>
      <c r="F573" t="s">
        <v>5889</v>
      </c>
      <c r="G573" t="s">
        <v>5890</v>
      </c>
      <c r="H573" t="s">
        <v>5891</v>
      </c>
    </row>
    <row r="574" spans="1:8" x14ac:dyDescent="0.3">
      <c r="A574" t="s">
        <v>6345</v>
      </c>
      <c r="B574" t="s">
        <v>6346</v>
      </c>
      <c r="C574">
        <v>1</v>
      </c>
      <c r="D574" t="e">
        <v>#N/A</v>
      </c>
      <c r="E574" t="e">
        <v>#N/A</v>
      </c>
      <c r="F574" t="s">
        <v>6879</v>
      </c>
      <c r="G574" t="s">
        <v>6880</v>
      </c>
      <c r="H574" t="s">
        <v>6881</v>
      </c>
    </row>
    <row r="575" spans="1:8" x14ac:dyDescent="0.3">
      <c r="A575">
        <v>-4499657</v>
      </c>
      <c r="B575" t="s">
        <v>5734</v>
      </c>
      <c r="C575">
        <v>4499657</v>
      </c>
      <c r="D575" t="s">
        <v>5735</v>
      </c>
      <c r="E575" t="s">
        <v>5046</v>
      </c>
      <c r="F575" t="s">
        <v>5736</v>
      </c>
      <c r="G575" t="s">
        <v>5737</v>
      </c>
      <c r="H575" t="s">
        <v>5738</v>
      </c>
    </row>
    <row r="576" spans="1:8" x14ac:dyDescent="0.3">
      <c r="A576">
        <v>-4499934</v>
      </c>
      <c r="B576" t="s">
        <v>5483</v>
      </c>
      <c r="C576">
        <v>4499934</v>
      </c>
      <c r="D576" t="s">
        <v>5484</v>
      </c>
      <c r="E576" t="s">
        <v>3121</v>
      </c>
      <c r="F576" t="s">
        <v>6743</v>
      </c>
      <c r="G576" t="s">
        <v>6744</v>
      </c>
      <c r="H576" t="s">
        <v>6745</v>
      </c>
    </row>
    <row r="577" spans="1:8" x14ac:dyDescent="0.3">
      <c r="A577">
        <v>-4501630</v>
      </c>
      <c r="B577" t="s">
        <v>3562</v>
      </c>
      <c r="C577">
        <v>4501630</v>
      </c>
      <c r="D577" t="s">
        <v>3150</v>
      </c>
      <c r="E577" t="s">
        <v>3544</v>
      </c>
      <c r="F577" t="s">
        <v>3563</v>
      </c>
      <c r="G577" t="s">
        <v>3564</v>
      </c>
      <c r="H577" t="s">
        <v>3565</v>
      </c>
    </row>
    <row r="578" spans="1:8" x14ac:dyDescent="0.3">
      <c r="A578">
        <v>-4501403</v>
      </c>
      <c r="B578" t="s">
        <v>3914</v>
      </c>
      <c r="C578">
        <v>4501403</v>
      </c>
      <c r="D578" t="s">
        <v>3913</v>
      </c>
      <c r="E578" t="s">
        <v>2942</v>
      </c>
      <c r="F578" t="s">
        <v>3915</v>
      </c>
      <c r="G578" t="s">
        <v>3916</v>
      </c>
      <c r="H578" t="s">
        <v>3917</v>
      </c>
    </row>
    <row r="579" spans="1:8" x14ac:dyDescent="0.3">
      <c r="A579">
        <v>-4501172</v>
      </c>
      <c r="B579" t="s">
        <v>4235</v>
      </c>
      <c r="C579">
        <v>1</v>
      </c>
      <c r="D579" t="e">
        <v>#N/A</v>
      </c>
      <c r="E579" t="e">
        <v>#N/A</v>
      </c>
      <c r="F579" t="s">
        <v>4237</v>
      </c>
      <c r="G579" t="s">
        <v>4238</v>
      </c>
      <c r="H579" t="s">
        <v>4203</v>
      </c>
    </row>
    <row r="580" spans="1:8" x14ac:dyDescent="0.3">
      <c r="A580">
        <v>-4500816</v>
      </c>
      <c r="B580" t="s">
        <v>4696</v>
      </c>
      <c r="C580">
        <v>4500816</v>
      </c>
      <c r="D580" t="s">
        <v>4697</v>
      </c>
      <c r="E580" t="s">
        <v>4698</v>
      </c>
      <c r="F580" t="s">
        <v>6575</v>
      </c>
      <c r="G580" t="s">
        <v>6576</v>
      </c>
      <c r="H580" t="s">
        <v>6577</v>
      </c>
    </row>
    <row r="581" spans="1:8" x14ac:dyDescent="0.3">
      <c r="A581">
        <v>-4994120</v>
      </c>
      <c r="B581" t="s">
        <v>2628</v>
      </c>
      <c r="C581">
        <v>4994120</v>
      </c>
      <c r="D581" t="s">
        <v>2629</v>
      </c>
      <c r="E581" t="s">
        <v>2630</v>
      </c>
      <c r="F581" t="s">
        <v>2631</v>
      </c>
      <c r="G581" t="s">
        <v>2632</v>
      </c>
      <c r="H581" t="s">
        <v>2633</v>
      </c>
    </row>
    <row r="582" spans="1:8" x14ac:dyDescent="0.3">
      <c r="A582">
        <v>-4500311</v>
      </c>
      <c r="B582" t="s">
        <v>5128</v>
      </c>
      <c r="C582">
        <v>4500311</v>
      </c>
      <c r="D582" t="s">
        <v>5129</v>
      </c>
      <c r="E582" t="s">
        <v>2708</v>
      </c>
      <c r="F582" t="s">
        <v>6685</v>
      </c>
      <c r="G582" t="s">
        <v>6686</v>
      </c>
      <c r="H582" t="s">
        <v>6687</v>
      </c>
    </row>
    <row r="583" spans="1:8" x14ac:dyDescent="0.3">
      <c r="A583">
        <v>-4501724</v>
      </c>
      <c r="B583" t="s">
        <v>3387</v>
      </c>
      <c r="C583">
        <v>1</v>
      </c>
      <c r="D583" t="e">
        <v>#N/A</v>
      </c>
      <c r="E583" t="e">
        <v>#N/A</v>
      </c>
      <c r="F583" t="s">
        <v>3388</v>
      </c>
      <c r="G583" t="s">
        <v>97</v>
      </c>
      <c r="H583" t="e">
        <v>#N/A</v>
      </c>
    </row>
    <row r="584" spans="1:8" x14ac:dyDescent="0.3">
      <c r="A584">
        <v>-4500492</v>
      </c>
      <c r="B584" t="s">
        <v>4979</v>
      </c>
      <c r="C584">
        <v>4500492</v>
      </c>
      <c r="D584" t="s">
        <v>4980</v>
      </c>
      <c r="E584" t="s">
        <v>3372</v>
      </c>
      <c r="F584">
        <v>1</v>
      </c>
      <c r="G584" t="s">
        <v>97</v>
      </c>
      <c r="H584" t="e">
        <v>#N/A</v>
      </c>
    </row>
    <row r="585" spans="1:8" x14ac:dyDescent="0.3">
      <c r="A585">
        <v>-4500222</v>
      </c>
      <c r="B585" t="s">
        <v>4979</v>
      </c>
      <c r="C585">
        <v>4500222</v>
      </c>
      <c r="D585" t="s">
        <v>5203</v>
      </c>
      <c r="E585" t="s">
        <v>3722</v>
      </c>
      <c r="F585" t="s">
        <v>4981</v>
      </c>
      <c r="G585" t="s">
        <v>4982</v>
      </c>
      <c r="H585" t="s">
        <v>4983</v>
      </c>
    </row>
    <row r="586" spans="1:8" x14ac:dyDescent="0.3">
      <c r="A586">
        <v>-4501673</v>
      </c>
      <c r="B586" t="s">
        <v>3485</v>
      </c>
      <c r="C586">
        <v>4501673</v>
      </c>
      <c r="D586" t="s">
        <v>3486</v>
      </c>
      <c r="E586" t="s">
        <v>3464</v>
      </c>
      <c r="F586" t="s">
        <v>3487</v>
      </c>
      <c r="G586" t="s">
        <v>3488</v>
      </c>
      <c r="H586" t="s">
        <v>3489</v>
      </c>
    </row>
    <row r="587" spans="1:8" x14ac:dyDescent="0.3">
      <c r="A587">
        <v>-4501683</v>
      </c>
      <c r="B587" t="s">
        <v>3468</v>
      </c>
      <c r="C587">
        <v>4501683</v>
      </c>
      <c r="D587" t="s">
        <v>3469</v>
      </c>
      <c r="E587" t="s">
        <v>3464</v>
      </c>
      <c r="F587" t="s">
        <v>3470</v>
      </c>
      <c r="G587" t="s">
        <v>3471</v>
      </c>
      <c r="H587" t="s">
        <v>3472</v>
      </c>
    </row>
    <row r="588" spans="1:8" x14ac:dyDescent="0.3">
      <c r="A588">
        <v>-4499558</v>
      </c>
      <c r="B588" t="s">
        <v>5848</v>
      </c>
      <c r="C588">
        <v>4499558</v>
      </c>
      <c r="D588" t="s">
        <v>5847</v>
      </c>
      <c r="E588" t="s">
        <v>2586</v>
      </c>
      <c r="F588" t="s">
        <v>5849</v>
      </c>
      <c r="G588" t="s">
        <v>5850</v>
      </c>
      <c r="H588" t="s">
        <v>4297</v>
      </c>
    </row>
    <row r="589" spans="1:8" x14ac:dyDescent="0.3">
      <c r="A589">
        <v>-4500031</v>
      </c>
      <c r="B589" t="s">
        <v>5381</v>
      </c>
      <c r="C589">
        <v>4500031</v>
      </c>
      <c r="D589" t="s">
        <v>5382</v>
      </c>
      <c r="E589" t="s">
        <v>4633</v>
      </c>
      <c r="F589" t="s">
        <v>5383</v>
      </c>
      <c r="G589" t="s">
        <v>5384</v>
      </c>
      <c r="H589" t="s">
        <v>2803</v>
      </c>
    </row>
    <row r="590" spans="1:8" x14ac:dyDescent="0.3">
      <c r="A590">
        <v>-4501284</v>
      </c>
      <c r="B590" t="s">
        <v>4051</v>
      </c>
      <c r="C590">
        <v>4501284</v>
      </c>
      <c r="D590" t="s">
        <v>4052</v>
      </c>
      <c r="E590" t="s">
        <v>4053</v>
      </c>
      <c r="F590" t="s">
        <v>4054</v>
      </c>
      <c r="G590" t="s">
        <v>4055</v>
      </c>
      <c r="H590" t="s">
        <v>4056</v>
      </c>
    </row>
    <row r="591" spans="1:8" x14ac:dyDescent="0.3">
      <c r="A591">
        <v>-4500924</v>
      </c>
      <c r="B591" t="s">
        <v>4566</v>
      </c>
      <c r="C591">
        <v>4500924</v>
      </c>
      <c r="D591" t="s">
        <v>3854</v>
      </c>
      <c r="E591" t="s">
        <v>4441</v>
      </c>
      <c r="F591">
        <v>1</v>
      </c>
      <c r="G591" t="s">
        <v>97</v>
      </c>
      <c r="H591" t="e">
        <v>#N/A</v>
      </c>
    </row>
    <row r="592" spans="1:8" x14ac:dyDescent="0.3">
      <c r="A592">
        <v>-4500250</v>
      </c>
      <c r="B592" t="s">
        <v>5189</v>
      </c>
      <c r="C592">
        <v>4500250</v>
      </c>
      <c r="D592" t="s">
        <v>5188</v>
      </c>
      <c r="E592" t="s">
        <v>4361</v>
      </c>
      <c r="F592" t="s">
        <v>5190</v>
      </c>
      <c r="G592" t="s">
        <v>5191</v>
      </c>
      <c r="H592" t="s">
        <v>5192</v>
      </c>
    </row>
    <row r="593" spans="1:8" x14ac:dyDescent="0.3">
      <c r="A593">
        <v>-4500952</v>
      </c>
      <c r="B593" t="s">
        <v>4527</v>
      </c>
      <c r="C593">
        <v>4500952</v>
      </c>
      <c r="D593" t="s">
        <v>4528</v>
      </c>
      <c r="E593" t="s">
        <v>4529</v>
      </c>
      <c r="F593" t="s">
        <v>4530</v>
      </c>
      <c r="G593" t="s">
        <v>4531</v>
      </c>
      <c r="H593" t="s">
        <v>4532</v>
      </c>
    </row>
    <row r="594" spans="1:8" x14ac:dyDescent="0.3">
      <c r="A594">
        <v>-4501022</v>
      </c>
      <c r="B594" t="s">
        <v>4424</v>
      </c>
      <c r="C594">
        <v>4501022</v>
      </c>
      <c r="D594" t="s">
        <v>4425</v>
      </c>
      <c r="E594" t="s">
        <v>4361</v>
      </c>
      <c r="F594" t="s">
        <v>4426</v>
      </c>
      <c r="G594" t="s">
        <v>4427</v>
      </c>
      <c r="H594" t="s">
        <v>2694</v>
      </c>
    </row>
    <row r="595" spans="1:8" x14ac:dyDescent="0.3">
      <c r="A595" t="s">
        <v>6260</v>
      </c>
      <c r="B595" t="s">
        <v>6263</v>
      </c>
      <c r="C595">
        <v>1</v>
      </c>
      <c r="D595" t="e">
        <v>#N/A</v>
      </c>
      <c r="E595" t="e">
        <v>#N/A</v>
      </c>
      <c r="F595" t="s">
        <v>6264</v>
      </c>
      <c r="G595" t="s">
        <v>6265</v>
      </c>
      <c r="H595" t="s">
        <v>6266</v>
      </c>
    </row>
    <row r="596" spans="1:8" x14ac:dyDescent="0.3">
      <c r="A596">
        <v>-4501680</v>
      </c>
      <c r="B596" t="s">
        <v>3478</v>
      </c>
      <c r="C596">
        <v>4501680</v>
      </c>
      <c r="D596" t="s">
        <v>3155</v>
      </c>
      <c r="E596" t="s">
        <v>3453</v>
      </c>
      <c r="F596" t="s">
        <v>3479</v>
      </c>
      <c r="G596" t="s">
        <v>3480</v>
      </c>
      <c r="H596" t="s">
        <v>3481</v>
      </c>
    </row>
    <row r="597" spans="1:8" x14ac:dyDescent="0.3">
      <c r="A597" t="s">
        <v>6073</v>
      </c>
      <c r="B597" t="s">
        <v>6074</v>
      </c>
      <c r="C597">
        <v>4499861</v>
      </c>
      <c r="D597" t="s">
        <v>5168</v>
      </c>
      <c r="E597" t="s">
        <v>2979</v>
      </c>
      <c r="F597" t="s">
        <v>6075</v>
      </c>
      <c r="G597" t="s">
        <v>97</v>
      </c>
      <c r="H597" t="e">
        <v>#N/A</v>
      </c>
    </row>
    <row r="598" spans="1:8" x14ac:dyDescent="0.3">
      <c r="A598">
        <v>-4994094</v>
      </c>
      <c r="B598" t="s">
        <v>2668</v>
      </c>
      <c r="C598">
        <v>4994094</v>
      </c>
      <c r="D598" t="s">
        <v>2669</v>
      </c>
      <c r="E598" t="s">
        <v>2586</v>
      </c>
      <c r="F598" t="s">
        <v>2670</v>
      </c>
      <c r="G598" t="s">
        <v>2671</v>
      </c>
      <c r="H598" t="s">
        <v>2589</v>
      </c>
    </row>
    <row r="599" spans="1:8" x14ac:dyDescent="0.3">
      <c r="A599">
        <v>-4501111</v>
      </c>
      <c r="B599" t="s">
        <v>4281</v>
      </c>
      <c r="C599">
        <v>4501111</v>
      </c>
      <c r="D599" t="s">
        <v>4282</v>
      </c>
      <c r="E599" t="s">
        <v>2586</v>
      </c>
      <c r="F599">
        <v>1</v>
      </c>
      <c r="G599" t="s">
        <v>97</v>
      </c>
      <c r="H599" t="e">
        <v>#N/A</v>
      </c>
    </row>
    <row r="600" spans="1:8" x14ac:dyDescent="0.3">
      <c r="A600">
        <v>-4501073</v>
      </c>
      <c r="B600" t="s">
        <v>4357</v>
      </c>
      <c r="C600">
        <v>4501073</v>
      </c>
      <c r="D600" t="s">
        <v>2747</v>
      </c>
      <c r="E600" t="s">
        <v>4354</v>
      </c>
      <c r="F600" t="s">
        <v>2670</v>
      </c>
      <c r="G600" t="s">
        <v>2671</v>
      </c>
      <c r="H600" t="s">
        <v>2589</v>
      </c>
    </row>
    <row r="601" spans="1:8" x14ac:dyDescent="0.3">
      <c r="A601" t="s">
        <v>6303</v>
      </c>
      <c r="B601" t="s">
        <v>6322</v>
      </c>
      <c r="C601">
        <v>1</v>
      </c>
      <c r="D601" t="e">
        <v>#N/A</v>
      </c>
      <c r="E601" t="e">
        <v>#N/A</v>
      </c>
      <c r="F601" t="s">
        <v>6323</v>
      </c>
      <c r="G601" t="s">
        <v>6324</v>
      </c>
      <c r="H601" t="s">
        <v>4123</v>
      </c>
    </row>
    <row r="602" spans="1:8" x14ac:dyDescent="0.3">
      <c r="A602">
        <v>-4993988</v>
      </c>
      <c r="B602" t="s">
        <v>2780</v>
      </c>
      <c r="C602">
        <v>4993988</v>
      </c>
      <c r="D602" t="s">
        <v>2781</v>
      </c>
      <c r="E602" t="s">
        <v>2782</v>
      </c>
      <c r="F602" t="s">
        <v>2783</v>
      </c>
      <c r="G602" t="s">
        <v>2784</v>
      </c>
      <c r="H602" t="s">
        <v>2785</v>
      </c>
    </row>
    <row r="603" spans="1:8" x14ac:dyDescent="0.3">
      <c r="A603">
        <v>-4499742</v>
      </c>
      <c r="B603" t="s">
        <v>5653</v>
      </c>
      <c r="C603">
        <v>4499742</v>
      </c>
      <c r="D603" t="s">
        <v>5654</v>
      </c>
      <c r="E603" t="s">
        <v>4880</v>
      </c>
      <c r="F603" t="s">
        <v>5655</v>
      </c>
      <c r="G603" t="s">
        <v>5656</v>
      </c>
      <c r="H603" t="s">
        <v>5657</v>
      </c>
    </row>
    <row r="604" spans="1:8" x14ac:dyDescent="0.3">
      <c r="A604">
        <v>-4500729</v>
      </c>
      <c r="B604" t="s">
        <v>4789</v>
      </c>
      <c r="C604">
        <v>4500729</v>
      </c>
      <c r="D604" t="s">
        <v>4788</v>
      </c>
      <c r="E604" t="s">
        <v>4781</v>
      </c>
      <c r="F604" t="s">
        <v>6617</v>
      </c>
      <c r="G604" t="s">
        <v>6618</v>
      </c>
      <c r="H604" t="s">
        <v>6619</v>
      </c>
    </row>
    <row r="605" spans="1:8" x14ac:dyDescent="0.3">
      <c r="A605">
        <v>-4499607</v>
      </c>
      <c r="B605" t="s">
        <v>5786</v>
      </c>
      <c r="C605">
        <v>4499607</v>
      </c>
      <c r="D605" t="s">
        <v>5783</v>
      </c>
      <c r="E605" t="s">
        <v>3325</v>
      </c>
      <c r="F605" t="s">
        <v>5784</v>
      </c>
      <c r="G605" t="s">
        <v>5785</v>
      </c>
      <c r="H605" t="s">
        <v>3355</v>
      </c>
    </row>
    <row r="606" spans="1:8" x14ac:dyDescent="0.3">
      <c r="A606">
        <v>-4500383</v>
      </c>
      <c r="B606" t="s">
        <v>5067</v>
      </c>
      <c r="C606">
        <v>4500383</v>
      </c>
      <c r="D606" t="s">
        <v>5066</v>
      </c>
      <c r="E606" t="s">
        <v>4514</v>
      </c>
      <c r="F606" t="s">
        <v>5068</v>
      </c>
      <c r="G606" t="s">
        <v>5069</v>
      </c>
      <c r="H606" t="s">
        <v>5070</v>
      </c>
    </row>
    <row r="607" spans="1:8" x14ac:dyDescent="0.3">
      <c r="A607">
        <v>-4499592</v>
      </c>
      <c r="B607" t="s">
        <v>5067</v>
      </c>
      <c r="C607">
        <v>4499592</v>
      </c>
      <c r="D607" t="s">
        <v>5066</v>
      </c>
      <c r="E607" t="s">
        <v>4514</v>
      </c>
      <c r="F607" t="s">
        <v>5068</v>
      </c>
      <c r="G607" t="s">
        <v>5069</v>
      </c>
      <c r="H607" t="s">
        <v>5070</v>
      </c>
    </row>
    <row r="608" spans="1:8" x14ac:dyDescent="0.3">
      <c r="A608">
        <v>-4499860</v>
      </c>
      <c r="B608" t="s">
        <v>5549</v>
      </c>
      <c r="C608">
        <v>1</v>
      </c>
      <c r="D608" t="e">
        <v>#N/A</v>
      </c>
      <c r="E608" t="e">
        <v>#N/A</v>
      </c>
      <c r="F608" t="s">
        <v>5550</v>
      </c>
      <c r="G608" t="s">
        <v>5551</v>
      </c>
      <c r="H608" t="s">
        <v>5552</v>
      </c>
    </row>
    <row r="609" spans="1:8" x14ac:dyDescent="0.3">
      <c r="A609">
        <v>-4501753</v>
      </c>
      <c r="B609" t="s">
        <v>3319</v>
      </c>
      <c r="C609">
        <v>4501753</v>
      </c>
      <c r="D609" t="s">
        <v>3320</v>
      </c>
      <c r="E609" t="s">
        <v>3311</v>
      </c>
      <c r="F609" t="s">
        <v>3321</v>
      </c>
      <c r="G609" t="s">
        <v>3322</v>
      </c>
      <c r="H609" t="s">
        <v>2613</v>
      </c>
    </row>
    <row r="610" spans="1:8" x14ac:dyDescent="0.3">
      <c r="A610">
        <v>-4501153</v>
      </c>
      <c r="B610" t="s">
        <v>4254</v>
      </c>
      <c r="C610">
        <v>4501153</v>
      </c>
      <c r="D610" t="s">
        <v>4255</v>
      </c>
      <c r="E610" t="s">
        <v>2983</v>
      </c>
      <c r="F610" t="s">
        <v>4256</v>
      </c>
      <c r="G610" t="s">
        <v>4257</v>
      </c>
      <c r="H610" t="s">
        <v>4258</v>
      </c>
    </row>
    <row r="611" spans="1:8" x14ac:dyDescent="0.3">
      <c r="A611">
        <v>-4500545</v>
      </c>
      <c r="B611" t="s">
        <v>4951</v>
      </c>
      <c r="C611">
        <v>4500545</v>
      </c>
      <c r="D611" t="s">
        <v>2961</v>
      </c>
      <c r="E611" t="s">
        <v>3156</v>
      </c>
      <c r="F611">
        <v>1</v>
      </c>
      <c r="G611" t="s">
        <v>97</v>
      </c>
      <c r="H611" t="e">
        <v>#N/A</v>
      </c>
    </row>
    <row r="612" spans="1:8" x14ac:dyDescent="0.3">
      <c r="A612">
        <v>-4500425</v>
      </c>
      <c r="B612" t="s">
        <v>5041</v>
      </c>
      <c r="C612">
        <v>4500425</v>
      </c>
      <c r="D612" t="s">
        <v>5040</v>
      </c>
      <c r="E612" t="s">
        <v>3818</v>
      </c>
      <c r="F612" t="s">
        <v>5042</v>
      </c>
      <c r="G612" t="s">
        <v>97</v>
      </c>
      <c r="H612" t="e">
        <v>#N/A</v>
      </c>
    </row>
    <row r="613" spans="1:8" x14ac:dyDescent="0.3">
      <c r="A613">
        <v>-4501047</v>
      </c>
      <c r="B613" t="s">
        <v>4395</v>
      </c>
      <c r="C613">
        <v>4501047</v>
      </c>
      <c r="D613" t="s">
        <v>4396</v>
      </c>
      <c r="E613" t="s">
        <v>4397</v>
      </c>
      <c r="F613" t="s">
        <v>4398</v>
      </c>
      <c r="G613" t="s">
        <v>4399</v>
      </c>
      <c r="H613" t="s">
        <v>4400</v>
      </c>
    </row>
    <row r="614" spans="1:8" x14ac:dyDescent="0.3">
      <c r="A614">
        <v>-4501767</v>
      </c>
      <c r="B614" t="s">
        <v>3291</v>
      </c>
      <c r="C614">
        <v>4501767</v>
      </c>
      <c r="D614" t="s">
        <v>3292</v>
      </c>
      <c r="E614" t="s">
        <v>2580</v>
      </c>
      <c r="F614" t="s">
        <v>3293</v>
      </c>
      <c r="G614" t="s">
        <v>97</v>
      </c>
      <c r="H614" t="e">
        <v>#N/A</v>
      </c>
    </row>
    <row r="615" spans="1:8" x14ac:dyDescent="0.3">
      <c r="A615">
        <v>-4501759</v>
      </c>
      <c r="B615" t="s">
        <v>3302</v>
      </c>
      <c r="C615">
        <v>4501759</v>
      </c>
      <c r="D615" t="s">
        <v>3303</v>
      </c>
      <c r="E615" t="s">
        <v>2580</v>
      </c>
      <c r="F615" t="s">
        <v>3293</v>
      </c>
      <c r="G615" t="s">
        <v>97</v>
      </c>
      <c r="H615" t="e">
        <v>#N/A</v>
      </c>
    </row>
    <row r="616" spans="1:8" x14ac:dyDescent="0.3">
      <c r="A616">
        <v>-4501842</v>
      </c>
      <c r="B616" t="s">
        <v>3139</v>
      </c>
      <c r="C616">
        <v>4501842</v>
      </c>
      <c r="D616" t="s">
        <v>3140</v>
      </c>
      <c r="E616" t="s">
        <v>3131</v>
      </c>
      <c r="F616">
        <v>1</v>
      </c>
      <c r="G616" t="s">
        <v>97</v>
      </c>
      <c r="H616" t="e">
        <v>#N/A</v>
      </c>
    </row>
    <row r="617" spans="1:8" x14ac:dyDescent="0.3">
      <c r="A617">
        <v>-4501346</v>
      </c>
      <c r="B617" t="s">
        <v>3139</v>
      </c>
      <c r="C617">
        <v>4501346</v>
      </c>
      <c r="D617" t="s">
        <v>3975</v>
      </c>
      <c r="E617" t="s">
        <v>2939</v>
      </c>
      <c r="F617" t="s">
        <v>3141</v>
      </c>
      <c r="G617" t="s">
        <v>3142</v>
      </c>
      <c r="H617" t="s">
        <v>3143</v>
      </c>
    </row>
    <row r="618" spans="1:8" x14ac:dyDescent="0.3">
      <c r="A618">
        <v>-4501558</v>
      </c>
      <c r="B618" t="s">
        <v>3687</v>
      </c>
      <c r="C618">
        <v>4501558</v>
      </c>
      <c r="D618" t="s">
        <v>3688</v>
      </c>
      <c r="E618" t="s">
        <v>3673</v>
      </c>
      <c r="F618" t="s">
        <v>3689</v>
      </c>
      <c r="G618" t="s">
        <v>3690</v>
      </c>
      <c r="H618" t="s">
        <v>2577</v>
      </c>
    </row>
    <row r="619" spans="1:8" x14ac:dyDescent="0.3">
      <c r="A619">
        <v>-4501511</v>
      </c>
      <c r="B619" t="s">
        <v>3782</v>
      </c>
      <c r="C619">
        <v>4501511</v>
      </c>
      <c r="D619" t="s">
        <v>3783</v>
      </c>
      <c r="E619" t="s">
        <v>3765</v>
      </c>
      <c r="F619" t="s">
        <v>3784</v>
      </c>
      <c r="G619" t="s">
        <v>3785</v>
      </c>
      <c r="H619" t="s">
        <v>3786</v>
      </c>
    </row>
    <row r="620" spans="1:8" x14ac:dyDescent="0.3">
      <c r="A620">
        <v>-4500680</v>
      </c>
      <c r="B620" t="s">
        <v>4843</v>
      </c>
      <c r="C620">
        <v>4500680</v>
      </c>
      <c r="D620" t="s">
        <v>4844</v>
      </c>
      <c r="E620" t="s">
        <v>3765</v>
      </c>
      <c r="F620" t="s">
        <v>3784</v>
      </c>
      <c r="G620" t="s">
        <v>3785</v>
      </c>
      <c r="H620" t="s">
        <v>3786</v>
      </c>
    </row>
    <row r="621" spans="1:8" x14ac:dyDescent="0.3">
      <c r="A621">
        <v>-4501533</v>
      </c>
      <c r="B621" t="s">
        <v>3735</v>
      </c>
      <c r="C621">
        <v>4501533</v>
      </c>
      <c r="D621" t="s">
        <v>3736</v>
      </c>
      <c r="E621" t="s">
        <v>3006</v>
      </c>
      <c r="F621" t="s">
        <v>3737</v>
      </c>
      <c r="G621" t="s">
        <v>97</v>
      </c>
      <c r="H621" t="e">
        <v>#N/A</v>
      </c>
    </row>
    <row r="622" spans="1:8" x14ac:dyDescent="0.3">
      <c r="A622">
        <v>-4500693</v>
      </c>
      <c r="B622" t="s">
        <v>4824</v>
      </c>
      <c r="C622">
        <v>4500693</v>
      </c>
      <c r="D622" t="s">
        <v>4825</v>
      </c>
      <c r="E622" t="s">
        <v>3900</v>
      </c>
      <c r="F622" t="s">
        <v>6632</v>
      </c>
      <c r="G622" t="s">
        <v>6633</v>
      </c>
      <c r="H622" t="s">
        <v>6634</v>
      </c>
    </row>
    <row r="623" spans="1:8" x14ac:dyDescent="0.3">
      <c r="A623" t="s">
        <v>6091</v>
      </c>
      <c r="B623" t="s">
        <v>6092</v>
      </c>
      <c r="C623">
        <v>4500132</v>
      </c>
      <c r="D623" t="s">
        <v>5284</v>
      </c>
      <c r="E623" t="s">
        <v>4880</v>
      </c>
      <c r="F623" t="s">
        <v>6093</v>
      </c>
      <c r="G623" t="s">
        <v>6094</v>
      </c>
      <c r="H623" t="s">
        <v>6095</v>
      </c>
    </row>
    <row r="624" spans="1:8" x14ac:dyDescent="0.3">
      <c r="A624">
        <v>-4501148</v>
      </c>
      <c r="B624" t="s">
        <v>4259</v>
      </c>
      <c r="C624">
        <v>4501148</v>
      </c>
      <c r="D624" t="s">
        <v>4260</v>
      </c>
      <c r="E624" t="s">
        <v>4234</v>
      </c>
      <c r="F624" t="s">
        <v>6507</v>
      </c>
      <c r="G624" t="s">
        <v>6508</v>
      </c>
      <c r="H624" t="s">
        <v>3181</v>
      </c>
    </row>
    <row r="625" spans="1:9" x14ac:dyDescent="0.3">
      <c r="A625">
        <v>-4500662</v>
      </c>
      <c r="B625" t="s">
        <v>4865</v>
      </c>
      <c r="C625">
        <v>4500662</v>
      </c>
      <c r="D625" t="s">
        <v>4866</v>
      </c>
      <c r="E625" t="s">
        <v>3006</v>
      </c>
      <c r="F625" t="s">
        <v>4867</v>
      </c>
      <c r="G625" t="s">
        <v>4868</v>
      </c>
      <c r="H625" t="s">
        <v>2739</v>
      </c>
    </row>
    <row r="626" spans="1:9" x14ac:dyDescent="0.3">
      <c r="A626">
        <v>-4500707</v>
      </c>
      <c r="B626" t="s">
        <v>4807</v>
      </c>
      <c r="C626">
        <v>4500707</v>
      </c>
      <c r="D626" t="s">
        <v>4808</v>
      </c>
      <c r="E626" t="s">
        <v>4803</v>
      </c>
      <c r="F626" t="s">
        <v>4809</v>
      </c>
      <c r="G626" t="s">
        <v>3044</v>
      </c>
      <c r="H626" t="s">
        <v>3637</v>
      </c>
    </row>
    <row r="627" spans="1:9" x14ac:dyDescent="0.3">
      <c r="A627">
        <v>-4500507</v>
      </c>
      <c r="B627" t="s">
        <v>4965</v>
      </c>
      <c r="C627">
        <v>4500507</v>
      </c>
      <c r="D627" t="s">
        <v>4966</v>
      </c>
      <c r="E627" t="s">
        <v>2708</v>
      </c>
      <c r="F627" t="s">
        <v>6660</v>
      </c>
      <c r="G627" t="s">
        <v>6661</v>
      </c>
      <c r="H627" t="s">
        <v>2779</v>
      </c>
    </row>
    <row r="628" spans="1:9" x14ac:dyDescent="0.3">
      <c r="A628">
        <v>-4500370</v>
      </c>
      <c r="B628" t="s">
        <v>5089</v>
      </c>
      <c r="C628">
        <v>4500370</v>
      </c>
      <c r="D628" t="s">
        <v>5088</v>
      </c>
      <c r="E628" t="s">
        <v>4529</v>
      </c>
      <c r="F628" t="s">
        <v>5090</v>
      </c>
      <c r="G628" t="s">
        <v>97</v>
      </c>
      <c r="H628" t="e">
        <v>#N/A</v>
      </c>
    </row>
    <row r="629" spans="1:9" x14ac:dyDescent="0.3">
      <c r="A629">
        <v>-4501429</v>
      </c>
      <c r="B629" t="s">
        <v>3888</v>
      </c>
      <c r="C629">
        <v>4501429</v>
      </c>
      <c r="D629" t="s">
        <v>3889</v>
      </c>
      <c r="E629" t="s">
        <v>2939</v>
      </c>
      <c r="F629" t="s">
        <v>5469</v>
      </c>
      <c r="G629" t="s">
        <v>5470</v>
      </c>
      <c r="H629" t="s">
        <v>5471</v>
      </c>
    </row>
    <row r="630" spans="1:9" x14ac:dyDescent="0.3">
      <c r="A630">
        <v>-4499945</v>
      </c>
      <c r="B630" t="s">
        <v>5467</v>
      </c>
      <c r="C630">
        <v>4499945</v>
      </c>
      <c r="D630" t="s">
        <v>5468</v>
      </c>
      <c r="E630" t="s">
        <v>3121</v>
      </c>
      <c r="F630" t="s">
        <v>5469</v>
      </c>
      <c r="G630" t="s">
        <v>5470</v>
      </c>
      <c r="H630" t="s">
        <v>5471</v>
      </c>
    </row>
    <row r="631" spans="1:9" x14ac:dyDescent="0.3">
      <c r="A631">
        <v>-4501835</v>
      </c>
      <c r="B631" t="s">
        <v>3149</v>
      </c>
      <c r="C631">
        <v>4501835</v>
      </c>
      <c r="D631" t="s">
        <v>3150</v>
      </c>
      <c r="E631" t="s">
        <v>3151</v>
      </c>
      <c r="F631" t="s">
        <v>3152</v>
      </c>
      <c r="G631" t="s">
        <v>3153</v>
      </c>
      <c r="H631" t="s">
        <v>2803</v>
      </c>
    </row>
    <row r="632" spans="1:9" x14ac:dyDescent="0.3">
      <c r="A632">
        <v>-4501804</v>
      </c>
      <c r="B632" t="s">
        <v>3195</v>
      </c>
      <c r="C632">
        <v>4501804</v>
      </c>
      <c r="D632" t="s">
        <v>3196</v>
      </c>
      <c r="E632" t="s">
        <v>3197</v>
      </c>
      <c r="F632">
        <v>1</v>
      </c>
      <c r="G632" t="s">
        <v>97</v>
      </c>
      <c r="H632" t="e">
        <v>#N/A</v>
      </c>
    </row>
    <row r="633" spans="1:9" x14ac:dyDescent="0.3">
      <c r="A633">
        <v>-4501507</v>
      </c>
      <c r="B633" t="s">
        <v>3791</v>
      </c>
      <c r="C633">
        <v>4501507</v>
      </c>
      <c r="D633" t="s">
        <v>3792</v>
      </c>
      <c r="E633" t="s">
        <v>3793</v>
      </c>
      <c r="F633" t="s">
        <v>3794</v>
      </c>
      <c r="G633" t="s">
        <v>3039</v>
      </c>
      <c r="H633" t="s">
        <v>2633</v>
      </c>
    </row>
    <row r="634" spans="1:9" x14ac:dyDescent="0.3">
      <c r="A634">
        <v>-4500663</v>
      </c>
      <c r="B634" t="s">
        <v>4863</v>
      </c>
      <c r="C634">
        <v>4500663</v>
      </c>
      <c r="D634" t="s">
        <v>4862</v>
      </c>
      <c r="E634" t="s">
        <v>3173</v>
      </c>
      <c r="F634" t="s">
        <v>4864</v>
      </c>
      <c r="G634" t="s">
        <v>4257</v>
      </c>
      <c r="H634" t="s">
        <v>4678</v>
      </c>
    </row>
    <row r="635" spans="1:9" x14ac:dyDescent="0.3">
      <c r="A635">
        <v>-4499854</v>
      </c>
      <c r="B635" t="s">
        <v>5553</v>
      </c>
      <c r="C635">
        <v>4499854</v>
      </c>
      <c r="D635" t="s">
        <v>5554</v>
      </c>
      <c r="E635" t="s">
        <v>3705</v>
      </c>
      <c r="F635" t="s">
        <v>5555</v>
      </c>
      <c r="G635" t="s">
        <v>97</v>
      </c>
      <c r="H635" t="e">
        <v>#N/A</v>
      </c>
    </row>
    <row r="636" spans="1:9" x14ac:dyDescent="0.3">
      <c r="A636">
        <v>-4501388</v>
      </c>
      <c r="B636" t="s">
        <v>3932</v>
      </c>
      <c r="C636">
        <v>4501388</v>
      </c>
      <c r="D636" t="s">
        <v>3933</v>
      </c>
      <c r="E636" t="s">
        <v>2942</v>
      </c>
      <c r="F636" t="s">
        <v>6453</v>
      </c>
      <c r="G636" t="s">
        <v>6454</v>
      </c>
      <c r="H636" t="s">
        <v>6455</v>
      </c>
    </row>
    <row r="637" spans="1:9" x14ac:dyDescent="0.3">
      <c r="A637">
        <v>-4501365</v>
      </c>
      <c r="B637" t="s">
        <v>3951</v>
      </c>
      <c r="C637">
        <v>4501365</v>
      </c>
      <c r="D637" t="s">
        <v>3952</v>
      </c>
      <c r="E637" t="s">
        <v>3131</v>
      </c>
      <c r="F637" t="s">
        <v>3953</v>
      </c>
      <c r="G637" t="s">
        <v>97</v>
      </c>
      <c r="H637" t="e">
        <v>#N/A</v>
      </c>
    </row>
    <row r="638" spans="1:9" x14ac:dyDescent="0.3">
      <c r="A638" t="s">
        <v>6303</v>
      </c>
      <c r="B638" t="s">
        <v>6339</v>
      </c>
      <c r="C638">
        <v>1</v>
      </c>
      <c r="D638" t="e">
        <v>#N/A</v>
      </c>
      <c r="E638" t="e">
        <v>#N/A</v>
      </c>
      <c r="F638" t="s">
        <v>6340</v>
      </c>
      <c r="G638" t="s">
        <v>6341</v>
      </c>
      <c r="H638" t="s">
        <v>4074</v>
      </c>
    </row>
    <row r="639" spans="1:9" x14ac:dyDescent="0.3">
      <c r="A639" t="s">
        <v>6303</v>
      </c>
      <c r="B639" t="s">
        <v>6342</v>
      </c>
      <c r="C639">
        <v>1</v>
      </c>
      <c r="D639" t="e">
        <v>#N/A</v>
      </c>
      <c r="E639" t="e">
        <v>#N/A</v>
      </c>
      <c r="F639" t="s">
        <v>6340</v>
      </c>
      <c r="G639" t="s">
        <v>6341</v>
      </c>
      <c r="H639" t="s">
        <v>4074</v>
      </c>
    </row>
    <row r="640" spans="1:9" x14ac:dyDescent="0.3">
      <c r="A640">
        <v>-4501684</v>
      </c>
      <c r="B640" t="s">
        <v>3462</v>
      </c>
      <c r="C640">
        <v>4501684</v>
      </c>
      <c r="D640" t="s">
        <v>3463</v>
      </c>
      <c r="E640" t="s">
        <v>3464</v>
      </c>
      <c r="F640" t="s">
        <v>3465</v>
      </c>
      <c r="G640" t="s">
        <v>3466</v>
      </c>
      <c r="H640" t="s">
        <v>2607</v>
      </c>
      <c r="I640" t="s">
        <v>3467</v>
      </c>
    </row>
    <row r="641" spans="1:8" x14ac:dyDescent="0.3">
      <c r="A641">
        <v>-4500415</v>
      </c>
      <c r="B641" t="s">
        <v>5044</v>
      </c>
      <c r="C641">
        <v>4500415</v>
      </c>
      <c r="D641" t="s">
        <v>5045</v>
      </c>
      <c r="E641" t="s">
        <v>5046</v>
      </c>
      <c r="F641" t="s">
        <v>5047</v>
      </c>
      <c r="G641" t="s">
        <v>5048</v>
      </c>
      <c r="H641" t="s">
        <v>2694</v>
      </c>
    </row>
    <row r="642" spans="1:8" x14ac:dyDescent="0.3">
      <c r="A642">
        <v>-4501477</v>
      </c>
      <c r="B642" t="s">
        <v>3843</v>
      </c>
      <c r="C642">
        <v>4501477</v>
      </c>
      <c r="D642" t="s">
        <v>3844</v>
      </c>
      <c r="E642" t="s">
        <v>3823</v>
      </c>
      <c r="F642" t="s">
        <v>3845</v>
      </c>
      <c r="G642" t="s">
        <v>97</v>
      </c>
      <c r="H642" t="e">
        <v>#N/A</v>
      </c>
    </row>
    <row r="643" spans="1:8" x14ac:dyDescent="0.3">
      <c r="A643">
        <v>-4500874</v>
      </c>
      <c r="B643" t="s">
        <v>4642</v>
      </c>
      <c r="C643">
        <v>4500874</v>
      </c>
      <c r="D643" t="s">
        <v>2809</v>
      </c>
      <c r="E643" t="s">
        <v>4253</v>
      </c>
      <c r="F643" t="s">
        <v>4643</v>
      </c>
      <c r="G643" t="s">
        <v>4644</v>
      </c>
      <c r="H643" t="s">
        <v>4016</v>
      </c>
    </row>
    <row r="644" spans="1:8" x14ac:dyDescent="0.3">
      <c r="A644">
        <v>-4757641</v>
      </c>
      <c r="B644" t="s">
        <v>2915</v>
      </c>
      <c r="C644">
        <v>4757641</v>
      </c>
      <c r="D644" t="s">
        <v>2916</v>
      </c>
      <c r="E644" t="s">
        <v>2917</v>
      </c>
      <c r="F644" t="s">
        <v>2918</v>
      </c>
      <c r="G644" t="s">
        <v>2919</v>
      </c>
      <c r="H644" t="s">
        <v>2920</v>
      </c>
    </row>
    <row r="645" spans="1:8" x14ac:dyDescent="0.3">
      <c r="A645">
        <v>-4499525</v>
      </c>
      <c r="B645" t="s">
        <v>5880</v>
      </c>
      <c r="C645">
        <v>4499525</v>
      </c>
      <c r="D645" t="s">
        <v>5881</v>
      </c>
      <c r="E645" t="s">
        <v>4386</v>
      </c>
      <c r="F645" t="s">
        <v>5882</v>
      </c>
      <c r="G645" t="s">
        <v>5883</v>
      </c>
      <c r="H645" t="s">
        <v>4389</v>
      </c>
    </row>
    <row r="646" spans="1:8" x14ac:dyDescent="0.3">
      <c r="A646">
        <v>-4499493</v>
      </c>
      <c r="B646" t="s">
        <v>5940</v>
      </c>
      <c r="C646">
        <v>4499493</v>
      </c>
      <c r="D646" t="s">
        <v>5941</v>
      </c>
      <c r="E646" t="s">
        <v>5658</v>
      </c>
      <c r="F646" t="s">
        <v>5942</v>
      </c>
      <c r="G646" t="s">
        <v>97</v>
      </c>
      <c r="H646" t="e">
        <v>#N/A</v>
      </c>
    </row>
    <row r="647" spans="1:8" x14ac:dyDescent="0.3">
      <c r="A647">
        <v>-4501874</v>
      </c>
      <c r="B647" t="s">
        <v>3084</v>
      </c>
      <c r="C647">
        <v>4501874</v>
      </c>
      <c r="D647" t="s">
        <v>3085</v>
      </c>
      <c r="E647" t="s">
        <v>2939</v>
      </c>
      <c r="F647" t="s">
        <v>3086</v>
      </c>
      <c r="G647" t="s">
        <v>3087</v>
      </c>
      <c r="H647" t="s">
        <v>3088</v>
      </c>
    </row>
    <row r="648" spans="1:8" x14ac:dyDescent="0.3">
      <c r="A648">
        <v>-4501398</v>
      </c>
      <c r="B648" t="s">
        <v>3921</v>
      </c>
      <c r="C648">
        <v>4501398</v>
      </c>
      <c r="D648" t="s">
        <v>3866</v>
      </c>
      <c r="E648" t="s">
        <v>2948</v>
      </c>
      <c r="F648" t="s">
        <v>3922</v>
      </c>
      <c r="G648" t="s">
        <v>3923</v>
      </c>
      <c r="H648" t="s">
        <v>2739</v>
      </c>
    </row>
    <row r="649" spans="1:8" x14ac:dyDescent="0.3">
      <c r="A649">
        <v>-4499664</v>
      </c>
      <c r="B649" t="s">
        <v>5726</v>
      </c>
      <c r="C649">
        <v>4499664</v>
      </c>
      <c r="D649" t="s">
        <v>5725</v>
      </c>
      <c r="E649" t="s">
        <v>3585</v>
      </c>
      <c r="F649" t="s">
        <v>5727</v>
      </c>
      <c r="G649" t="s">
        <v>97</v>
      </c>
      <c r="H649" t="e">
        <v>#N/A</v>
      </c>
    </row>
    <row r="650" spans="1:8" x14ac:dyDescent="0.3">
      <c r="A650">
        <v>-4501896</v>
      </c>
      <c r="B650" t="s">
        <v>3041</v>
      </c>
      <c r="C650">
        <v>4501896</v>
      </c>
      <c r="D650" t="s">
        <v>3042</v>
      </c>
      <c r="E650" t="s">
        <v>2939</v>
      </c>
      <c r="F650" t="s">
        <v>3043</v>
      </c>
      <c r="G650" t="s">
        <v>3044</v>
      </c>
      <c r="H650" t="s">
        <v>3045</v>
      </c>
    </row>
    <row r="651" spans="1:8" x14ac:dyDescent="0.3">
      <c r="A651">
        <v>-4500734</v>
      </c>
      <c r="B651" t="s">
        <v>4782</v>
      </c>
      <c r="C651">
        <v>4500734</v>
      </c>
      <c r="D651" t="s">
        <v>4783</v>
      </c>
      <c r="E651" t="s">
        <v>4011</v>
      </c>
      <c r="F651" t="s">
        <v>6367</v>
      </c>
      <c r="G651" t="s">
        <v>6368</v>
      </c>
      <c r="H651" t="s">
        <v>4016</v>
      </c>
    </row>
    <row r="652" spans="1:8" x14ac:dyDescent="0.3">
      <c r="A652">
        <v>-4501299</v>
      </c>
      <c r="B652" t="s">
        <v>4032</v>
      </c>
      <c r="C652">
        <v>4501299</v>
      </c>
      <c r="D652" t="s">
        <v>4033</v>
      </c>
      <c r="E652" t="s">
        <v>4034</v>
      </c>
      <c r="F652" t="s">
        <v>6471</v>
      </c>
      <c r="G652" t="s">
        <v>6472</v>
      </c>
      <c r="H652" t="s">
        <v>6473</v>
      </c>
    </row>
    <row r="653" spans="1:8" x14ac:dyDescent="0.3">
      <c r="A653">
        <v>-4501754</v>
      </c>
      <c r="B653" t="s">
        <v>3315</v>
      </c>
      <c r="C653">
        <v>4501754</v>
      </c>
      <c r="D653" t="s">
        <v>3316</v>
      </c>
      <c r="E653" t="s">
        <v>3311</v>
      </c>
      <c r="F653" t="s">
        <v>3317</v>
      </c>
      <c r="G653" t="s">
        <v>3318</v>
      </c>
      <c r="H653" t="s">
        <v>2613</v>
      </c>
    </row>
    <row r="654" spans="1:8" x14ac:dyDescent="0.3">
      <c r="A654">
        <v>-4501393</v>
      </c>
      <c r="B654" t="s">
        <v>3928</v>
      </c>
      <c r="C654">
        <v>4501393</v>
      </c>
      <c r="D654" t="s">
        <v>3567</v>
      </c>
      <c r="E654" t="s">
        <v>2948</v>
      </c>
      <c r="F654" t="s">
        <v>3929</v>
      </c>
      <c r="G654" t="s">
        <v>3930</v>
      </c>
      <c r="H654" t="s">
        <v>3931</v>
      </c>
    </row>
    <row r="655" spans="1:8" x14ac:dyDescent="0.3">
      <c r="A655">
        <v>-4500803</v>
      </c>
      <c r="B655" t="s">
        <v>4719</v>
      </c>
      <c r="C655">
        <v>4500803</v>
      </c>
      <c r="D655" t="s">
        <v>4718</v>
      </c>
      <c r="E655" t="s">
        <v>3197</v>
      </c>
      <c r="F655" t="s">
        <v>4720</v>
      </c>
      <c r="G655" t="s">
        <v>4721</v>
      </c>
      <c r="H655" t="s">
        <v>4722</v>
      </c>
    </row>
    <row r="656" spans="1:8" x14ac:dyDescent="0.3">
      <c r="A656">
        <v>-4500196</v>
      </c>
      <c r="B656" t="s">
        <v>5237</v>
      </c>
      <c r="C656">
        <v>4500196</v>
      </c>
      <c r="D656" t="s">
        <v>5238</v>
      </c>
      <c r="E656" t="s">
        <v>4753</v>
      </c>
      <c r="F656" t="s">
        <v>5239</v>
      </c>
      <c r="G656" t="s">
        <v>97</v>
      </c>
      <c r="H656" t="e">
        <v>#N/A</v>
      </c>
    </row>
    <row r="657" spans="1:8" x14ac:dyDescent="0.3">
      <c r="A657">
        <v>-4994087</v>
      </c>
      <c r="B657" t="s">
        <v>2677</v>
      </c>
      <c r="C657">
        <v>4994087</v>
      </c>
      <c r="D657" t="s">
        <v>2678</v>
      </c>
      <c r="E657" t="s">
        <v>2652</v>
      </c>
      <c r="F657">
        <v>1</v>
      </c>
      <c r="G657" t="s">
        <v>97</v>
      </c>
      <c r="H657" t="e">
        <v>#N/A</v>
      </c>
    </row>
    <row r="658" spans="1:8" x14ac:dyDescent="0.3">
      <c r="A658">
        <v>-4501750</v>
      </c>
      <c r="B658" t="s">
        <v>3328</v>
      </c>
      <c r="C658">
        <v>4501750</v>
      </c>
      <c r="D658" t="s">
        <v>3329</v>
      </c>
      <c r="E658" t="s">
        <v>3330</v>
      </c>
      <c r="F658">
        <v>1</v>
      </c>
      <c r="G658" t="s">
        <v>97</v>
      </c>
      <c r="H658" t="e">
        <v>#N/A</v>
      </c>
    </row>
    <row r="659" spans="1:8" x14ac:dyDescent="0.3">
      <c r="A659">
        <v>-4501581</v>
      </c>
      <c r="B659" t="s">
        <v>3642</v>
      </c>
      <c r="C659">
        <v>4501581</v>
      </c>
      <c r="D659" t="s">
        <v>3643</v>
      </c>
      <c r="E659" t="s">
        <v>3634</v>
      </c>
      <c r="F659" t="s">
        <v>2679</v>
      </c>
      <c r="G659" t="s">
        <v>2680</v>
      </c>
      <c r="H659" t="s">
        <v>2681</v>
      </c>
    </row>
    <row r="660" spans="1:8" x14ac:dyDescent="0.3">
      <c r="A660">
        <v>-4501411</v>
      </c>
      <c r="B660" t="s">
        <v>3907</v>
      </c>
      <c r="C660">
        <v>4501411</v>
      </c>
      <c r="D660" t="s">
        <v>3085</v>
      </c>
      <c r="E660" t="s">
        <v>3131</v>
      </c>
      <c r="F660" t="s">
        <v>3939</v>
      </c>
      <c r="G660" t="s">
        <v>3940</v>
      </c>
      <c r="H660" t="s">
        <v>3941</v>
      </c>
    </row>
    <row r="661" spans="1:8" x14ac:dyDescent="0.3">
      <c r="A661">
        <v>-4501376</v>
      </c>
      <c r="B661" t="s">
        <v>3937</v>
      </c>
      <c r="C661">
        <v>4501376</v>
      </c>
      <c r="D661" t="s">
        <v>3458</v>
      </c>
      <c r="E661" t="s">
        <v>3938</v>
      </c>
      <c r="F661" t="s">
        <v>3939</v>
      </c>
      <c r="G661" t="s">
        <v>3940</v>
      </c>
      <c r="H661" t="s">
        <v>3941</v>
      </c>
    </row>
    <row r="662" spans="1:8" x14ac:dyDescent="0.3">
      <c r="A662">
        <v>-4501723</v>
      </c>
      <c r="B662" t="s">
        <v>3394</v>
      </c>
      <c r="C662">
        <v>4501723</v>
      </c>
      <c r="D662" t="s">
        <v>3395</v>
      </c>
      <c r="E662" t="s">
        <v>3366</v>
      </c>
      <c r="F662" t="s">
        <v>3396</v>
      </c>
      <c r="G662" t="s">
        <v>2644</v>
      </c>
      <c r="H662" t="s">
        <v>3397</v>
      </c>
    </row>
    <row r="663" spans="1:8" x14ac:dyDescent="0.3">
      <c r="A663">
        <v>-4500832</v>
      </c>
      <c r="B663" t="s">
        <v>4679</v>
      </c>
      <c r="C663">
        <v>4500832</v>
      </c>
      <c r="D663" t="s">
        <v>4680</v>
      </c>
      <c r="E663" t="s">
        <v>4669</v>
      </c>
      <c r="F663" t="s">
        <v>6566</v>
      </c>
      <c r="G663" t="s">
        <v>6567</v>
      </c>
      <c r="H663" t="s">
        <v>6051</v>
      </c>
    </row>
    <row r="664" spans="1:8" x14ac:dyDescent="0.3">
      <c r="A664">
        <v>-4500520</v>
      </c>
      <c r="B664" t="s">
        <v>4952</v>
      </c>
      <c r="C664">
        <v>4500520</v>
      </c>
      <c r="D664" t="s">
        <v>4114</v>
      </c>
      <c r="E664" t="s">
        <v>4781</v>
      </c>
      <c r="F664" t="s">
        <v>4953</v>
      </c>
      <c r="G664" t="s">
        <v>4954</v>
      </c>
      <c r="H664" t="s">
        <v>4955</v>
      </c>
    </row>
    <row r="665" spans="1:8" x14ac:dyDescent="0.3">
      <c r="A665">
        <v>-4501726</v>
      </c>
      <c r="B665" t="s">
        <v>3383</v>
      </c>
      <c r="C665">
        <v>4501726</v>
      </c>
      <c r="D665" t="s">
        <v>3384</v>
      </c>
      <c r="E665" t="s">
        <v>3366</v>
      </c>
      <c r="F665" t="s">
        <v>3385</v>
      </c>
      <c r="G665" t="s">
        <v>3386</v>
      </c>
      <c r="H665" t="s">
        <v>3375</v>
      </c>
    </row>
    <row r="666" spans="1:8" x14ac:dyDescent="0.3">
      <c r="A666">
        <v>-4499618</v>
      </c>
      <c r="B666" t="s">
        <v>5774</v>
      </c>
      <c r="C666">
        <v>4499618</v>
      </c>
      <c r="D666" t="s">
        <v>5775</v>
      </c>
      <c r="E666" t="s">
        <v>3464</v>
      </c>
      <c r="F666" t="s">
        <v>5776</v>
      </c>
      <c r="G666" t="s">
        <v>97</v>
      </c>
      <c r="H666" t="e">
        <v>#N/A</v>
      </c>
    </row>
    <row r="667" spans="1:8" x14ac:dyDescent="0.3">
      <c r="A667">
        <v>-4501525</v>
      </c>
      <c r="B667" t="s">
        <v>3758</v>
      </c>
      <c r="C667">
        <v>4501525</v>
      </c>
      <c r="D667" t="s">
        <v>3759</v>
      </c>
      <c r="E667" t="s">
        <v>3006</v>
      </c>
      <c r="F667" t="s">
        <v>6882</v>
      </c>
      <c r="G667" t="s">
        <v>6883</v>
      </c>
      <c r="H667" t="s">
        <v>6884</v>
      </c>
    </row>
    <row r="668" spans="1:8" x14ac:dyDescent="0.3">
      <c r="A668">
        <v>-4501008</v>
      </c>
      <c r="B668" t="s">
        <v>4450</v>
      </c>
      <c r="C668">
        <v>4501008</v>
      </c>
      <c r="D668" t="s">
        <v>4449</v>
      </c>
      <c r="E668" t="s">
        <v>4368</v>
      </c>
      <c r="F668" t="s">
        <v>4451</v>
      </c>
      <c r="G668" t="s">
        <v>4452</v>
      </c>
      <c r="H668" t="s">
        <v>4389</v>
      </c>
    </row>
    <row r="669" spans="1:8" x14ac:dyDescent="0.3">
      <c r="A669">
        <v>-4757667</v>
      </c>
      <c r="B669" t="s">
        <v>2820</v>
      </c>
      <c r="C669">
        <v>4757667</v>
      </c>
      <c r="D669" t="s">
        <v>2821</v>
      </c>
      <c r="E669" t="s">
        <v>2822</v>
      </c>
      <c r="F669">
        <v>1</v>
      </c>
      <c r="G669" t="s">
        <v>97</v>
      </c>
      <c r="H669" t="e">
        <v>#N/A</v>
      </c>
    </row>
    <row r="670" spans="1:8" x14ac:dyDescent="0.3">
      <c r="A670">
        <v>-4501954</v>
      </c>
      <c r="B670" t="s">
        <v>2956</v>
      </c>
      <c r="C670">
        <v>4501954</v>
      </c>
      <c r="D670" t="s">
        <v>2957</v>
      </c>
      <c r="E670" t="s">
        <v>2942</v>
      </c>
      <c r="F670" t="s">
        <v>2823</v>
      </c>
      <c r="G670" t="s">
        <v>2824</v>
      </c>
      <c r="H670" t="s">
        <v>2825</v>
      </c>
    </row>
    <row r="671" spans="1:8" x14ac:dyDescent="0.3">
      <c r="A671">
        <v>-4501450</v>
      </c>
      <c r="B671" t="s">
        <v>3864</v>
      </c>
      <c r="C671">
        <v>4501450</v>
      </c>
      <c r="D671" t="s">
        <v>3865</v>
      </c>
      <c r="E671" t="s">
        <v>3162</v>
      </c>
      <c r="F671" t="s">
        <v>6196</v>
      </c>
      <c r="G671" t="s">
        <v>6197</v>
      </c>
      <c r="H671" t="s">
        <v>6198</v>
      </c>
    </row>
    <row r="672" spans="1:8" x14ac:dyDescent="0.3">
      <c r="A672">
        <v>-4501694</v>
      </c>
      <c r="B672" t="s">
        <v>3437</v>
      </c>
      <c r="C672">
        <v>4501694</v>
      </c>
      <c r="D672" t="s">
        <v>3438</v>
      </c>
      <c r="E672" t="s">
        <v>3439</v>
      </c>
      <c r="F672" t="s">
        <v>3440</v>
      </c>
      <c r="G672" t="s">
        <v>3441</v>
      </c>
      <c r="H672" t="s">
        <v>3442</v>
      </c>
    </row>
    <row r="673" spans="1:8" x14ac:dyDescent="0.3">
      <c r="A673">
        <v>-4500059</v>
      </c>
      <c r="B673" t="s">
        <v>5354</v>
      </c>
      <c r="C673">
        <v>4500059</v>
      </c>
      <c r="D673" t="s">
        <v>3775</v>
      </c>
      <c r="E673" t="s">
        <v>3311</v>
      </c>
      <c r="F673" t="s">
        <v>5355</v>
      </c>
      <c r="G673" t="s">
        <v>5356</v>
      </c>
      <c r="H673" t="s">
        <v>5357</v>
      </c>
    </row>
    <row r="674" spans="1:8" x14ac:dyDescent="0.3">
      <c r="A674" t="s">
        <v>6351</v>
      </c>
      <c r="B674" t="s">
        <v>6356</v>
      </c>
      <c r="C674">
        <v>1</v>
      </c>
      <c r="D674" t="e">
        <v>#N/A</v>
      </c>
      <c r="E674" t="e">
        <v>#N/A</v>
      </c>
      <c r="F674" t="s">
        <v>6357</v>
      </c>
      <c r="G674" t="s">
        <v>6358</v>
      </c>
      <c r="H674" t="s">
        <v>4678</v>
      </c>
    </row>
    <row r="675" spans="1:8" x14ac:dyDescent="0.3">
      <c r="A675">
        <v>-4499729</v>
      </c>
      <c r="B675" t="s">
        <v>5661</v>
      </c>
      <c r="C675">
        <v>4499729</v>
      </c>
      <c r="D675" t="s">
        <v>5662</v>
      </c>
      <c r="E675" t="s">
        <v>2708</v>
      </c>
      <c r="F675" t="s">
        <v>5663</v>
      </c>
      <c r="G675" t="s">
        <v>5664</v>
      </c>
      <c r="H675" t="s">
        <v>5665</v>
      </c>
    </row>
    <row r="676" spans="1:8" x14ac:dyDescent="0.3">
      <c r="A676">
        <v>-4994084</v>
      </c>
      <c r="B676" t="s">
        <v>2685</v>
      </c>
      <c r="C676">
        <v>4994084</v>
      </c>
      <c r="D676" t="s">
        <v>2686</v>
      </c>
      <c r="E676" t="s">
        <v>2687</v>
      </c>
      <c r="F676" t="s">
        <v>2688</v>
      </c>
      <c r="G676" t="s">
        <v>97</v>
      </c>
      <c r="H676" t="e">
        <v>#N/A</v>
      </c>
    </row>
    <row r="677" spans="1:8" x14ac:dyDescent="0.3">
      <c r="A677">
        <v>-4499556</v>
      </c>
      <c r="B677" t="s">
        <v>5854</v>
      </c>
      <c r="C677">
        <v>4499556</v>
      </c>
      <c r="D677" t="s">
        <v>5855</v>
      </c>
      <c r="E677" t="s">
        <v>2586</v>
      </c>
      <c r="F677">
        <v>1</v>
      </c>
      <c r="G677" t="s">
        <v>97</v>
      </c>
      <c r="H677" t="e">
        <v>#N/A</v>
      </c>
    </row>
    <row r="678" spans="1:8" x14ac:dyDescent="0.3">
      <c r="A678">
        <v>-4500834</v>
      </c>
      <c r="B678" t="s">
        <v>4675</v>
      </c>
      <c r="C678">
        <v>4500834</v>
      </c>
      <c r="D678" t="s">
        <v>2747</v>
      </c>
      <c r="E678" t="s">
        <v>3173</v>
      </c>
      <c r="F678" t="s">
        <v>4676</v>
      </c>
      <c r="G678" t="s">
        <v>4677</v>
      </c>
      <c r="H678" t="s">
        <v>4678</v>
      </c>
    </row>
    <row r="679" spans="1:8" x14ac:dyDescent="0.3">
      <c r="A679">
        <v>-4501106</v>
      </c>
      <c r="B679" t="s">
        <v>4298</v>
      </c>
      <c r="C679">
        <v>4501106</v>
      </c>
      <c r="D679" t="s">
        <v>4299</v>
      </c>
      <c r="E679" t="s">
        <v>2586</v>
      </c>
      <c r="F679" t="s">
        <v>4300</v>
      </c>
      <c r="G679" t="s">
        <v>4301</v>
      </c>
      <c r="H679" t="s">
        <v>2589</v>
      </c>
    </row>
    <row r="680" spans="1:8" x14ac:dyDescent="0.3">
      <c r="A680">
        <v>-4501258</v>
      </c>
      <c r="B680" t="s">
        <v>4113</v>
      </c>
      <c r="C680">
        <v>4501258</v>
      </c>
      <c r="D680" t="s">
        <v>4114</v>
      </c>
      <c r="E680" t="s">
        <v>4109</v>
      </c>
      <c r="F680" t="s">
        <v>4115</v>
      </c>
      <c r="G680" t="s">
        <v>4116</v>
      </c>
      <c r="H680" t="s">
        <v>4117</v>
      </c>
    </row>
    <row r="681" spans="1:8" x14ac:dyDescent="0.3">
      <c r="A681">
        <v>-4501266</v>
      </c>
      <c r="B681" t="s">
        <v>4105</v>
      </c>
      <c r="C681">
        <v>4501266</v>
      </c>
      <c r="D681" t="s">
        <v>3990</v>
      </c>
      <c r="E681" t="s">
        <v>4106</v>
      </c>
      <c r="F681" t="s">
        <v>6476</v>
      </c>
      <c r="G681" t="s">
        <v>6477</v>
      </c>
      <c r="H681" t="s">
        <v>6478</v>
      </c>
    </row>
    <row r="682" spans="1:8" x14ac:dyDescent="0.3">
      <c r="A682">
        <v>-4500555</v>
      </c>
      <c r="B682" t="s">
        <v>4943</v>
      </c>
      <c r="C682">
        <v>4500555</v>
      </c>
      <c r="D682" t="s">
        <v>4944</v>
      </c>
      <c r="E682" t="s">
        <v>4897</v>
      </c>
      <c r="F682" t="s">
        <v>4945</v>
      </c>
      <c r="G682" t="s">
        <v>4946</v>
      </c>
      <c r="H682" t="s">
        <v>3181</v>
      </c>
    </row>
    <row r="683" spans="1:8" x14ac:dyDescent="0.3">
      <c r="A683">
        <v>-4501110</v>
      </c>
      <c r="B683" t="s">
        <v>4283</v>
      </c>
      <c r="C683">
        <v>4501110</v>
      </c>
      <c r="D683" t="s">
        <v>4284</v>
      </c>
      <c r="E683" t="s">
        <v>2586</v>
      </c>
      <c r="F683">
        <v>1</v>
      </c>
      <c r="G683" t="s">
        <v>97</v>
      </c>
      <c r="H683" t="e">
        <v>#N/A</v>
      </c>
    </row>
    <row r="684" spans="1:8" x14ac:dyDescent="0.3">
      <c r="A684">
        <v>-4499378</v>
      </c>
      <c r="B684" t="s">
        <v>4283</v>
      </c>
      <c r="C684">
        <v>4499378</v>
      </c>
      <c r="D684" t="s">
        <v>5969</v>
      </c>
      <c r="E684" t="s">
        <v>2848</v>
      </c>
      <c r="F684" t="s">
        <v>4285</v>
      </c>
      <c r="G684" t="s">
        <v>3039</v>
      </c>
      <c r="H684" t="s">
        <v>4286</v>
      </c>
    </row>
    <row r="685" spans="1:8" x14ac:dyDescent="0.3">
      <c r="A685">
        <v>-4500985</v>
      </c>
      <c r="B685" t="s">
        <v>4485</v>
      </c>
      <c r="C685">
        <v>4994083</v>
      </c>
      <c r="D685" t="s">
        <v>6885</v>
      </c>
      <c r="E685" t="s">
        <v>6886</v>
      </c>
      <c r="F685" t="s">
        <v>4486</v>
      </c>
      <c r="G685" t="s">
        <v>4487</v>
      </c>
      <c r="H685" t="s">
        <v>4488</v>
      </c>
    </row>
    <row r="686" spans="1:8" x14ac:dyDescent="0.3">
      <c r="A686">
        <v>-4499812</v>
      </c>
      <c r="B686" t="s">
        <v>5600</v>
      </c>
      <c r="C686">
        <v>4499812</v>
      </c>
      <c r="D686" t="s">
        <v>5601</v>
      </c>
      <c r="E686" t="s">
        <v>3453</v>
      </c>
      <c r="F686" t="s">
        <v>5602</v>
      </c>
      <c r="G686" t="s">
        <v>5603</v>
      </c>
      <c r="H686" t="s">
        <v>5604</v>
      </c>
    </row>
    <row r="687" spans="1:8" x14ac:dyDescent="0.3">
      <c r="A687">
        <v>-4500661</v>
      </c>
      <c r="B687" t="s">
        <v>4869</v>
      </c>
      <c r="C687">
        <v>4500661</v>
      </c>
      <c r="D687" t="s">
        <v>4870</v>
      </c>
      <c r="E687" t="s">
        <v>2806</v>
      </c>
      <c r="F687" t="s">
        <v>4871</v>
      </c>
      <c r="G687" t="s">
        <v>97</v>
      </c>
      <c r="H687" t="e">
        <v>#N/A</v>
      </c>
    </row>
    <row r="688" spans="1:8" x14ac:dyDescent="0.3">
      <c r="A688">
        <v>-4501433</v>
      </c>
      <c r="B688">
        <v>34175022148</v>
      </c>
      <c r="C688">
        <v>4501433</v>
      </c>
      <c r="D688" t="s">
        <v>3884</v>
      </c>
      <c r="E688" t="s">
        <v>2939</v>
      </c>
      <c r="F688" t="s">
        <v>5956</v>
      </c>
      <c r="G688" t="s">
        <v>5957</v>
      </c>
      <c r="H688" t="s">
        <v>5958</v>
      </c>
    </row>
    <row r="689" spans="1:8" x14ac:dyDescent="0.3">
      <c r="A689">
        <v>-4501580</v>
      </c>
      <c r="B689" t="s">
        <v>3644</v>
      </c>
      <c r="C689">
        <v>4501580</v>
      </c>
      <c r="D689" t="s">
        <v>3645</v>
      </c>
      <c r="E689" t="s">
        <v>3634</v>
      </c>
      <c r="F689" t="s">
        <v>3646</v>
      </c>
      <c r="G689" t="s">
        <v>3647</v>
      </c>
      <c r="H689" t="s">
        <v>3648</v>
      </c>
    </row>
    <row r="690" spans="1:8" x14ac:dyDescent="0.3">
      <c r="A690" t="s">
        <v>6042</v>
      </c>
      <c r="B690">
        <v>34176000259</v>
      </c>
      <c r="C690">
        <v>4499559</v>
      </c>
      <c r="D690" t="s">
        <v>3076</v>
      </c>
      <c r="E690" t="s">
        <v>4852</v>
      </c>
      <c r="F690" t="s">
        <v>6795</v>
      </c>
      <c r="G690" t="s">
        <v>6796</v>
      </c>
      <c r="H690" t="s">
        <v>6797</v>
      </c>
    </row>
    <row r="691" spans="1:8" x14ac:dyDescent="0.3">
      <c r="A691">
        <v>-4499842</v>
      </c>
      <c r="B691" t="s">
        <v>5572</v>
      </c>
      <c r="C691">
        <v>4499842</v>
      </c>
      <c r="D691" t="s">
        <v>5573</v>
      </c>
      <c r="E691" t="s">
        <v>4109</v>
      </c>
      <c r="F691" t="s">
        <v>5574</v>
      </c>
      <c r="G691" t="s">
        <v>5575</v>
      </c>
      <c r="H691" t="s">
        <v>5576</v>
      </c>
    </row>
    <row r="692" spans="1:8" x14ac:dyDescent="0.3">
      <c r="A692">
        <v>-4499925</v>
      </c>
      <c r="B692" t="s">
        <v>5489</v>
      </c>
      <c r="C692">
        <v>4499925</v>
      </c>
      <c r="D692" t="s">
        <v>5490</v>
      </c>
      <c r="E692" t="s">
        <v>3834</v>
      </c>
      <c r="F692" t="s">
        <v>6749</v>
      </c>
      <c r="G692" t="s">
        <v>6750</v>
      </c>
      <c r="H692" t="s">
        <v>2633</v>
      </c>
    </row>
    <row r="693" spans="1:8" x14ac:dyDescent="0.3">
      <c r="A693">
        <v>-4501821</v>
      </c>
      <c r="B693" t="s">
        <v>3177</v>
      </c>
      <c r="C693">
        <v>4501821</v>
      </c>
      <c r="D693" t="s">
        <v>3178</v>
      </c>
      <c r="E693" t="s">
        <v>3156</v>
      </c>
      <c r="F693" t="s">
        <v>3179</v>
      </c>
      <c r="G693" t="s">
        <v>3180</v>
      </c>
      <c r="H693" t="s">
        <v>3181</v>
      </c>
    </row>
    <row r="694" spans="1:8" x14ac:dyDescent="0.3">
      <c r="A694">
        <v>-4499671</v>
      </c>
      <c r="B694" t="s">
        <v>5714</v>
      </c>
      <c r="C694">
        <v>4499671</v>
      </c>
      <c r="D694" t="s">
        <v>5715</v>
      </c>
      <c r="E694" t="s">
        <v>3823</v>
      </c>
      <c r="F694" t="s">
        <v>6032</v>
      </c>
      <c r="G694" t="s">
        <v>6033</v>
      </c>
      <c r="H694" t="s">
        <v>6034</v>
      </c>
    </row>
    <row r="695" spans="1:8" x14ac:dyDescent="0.3">
      <c r="A695">
        <v>-4500047</v>
      </c>
      <c r="B695" t="s">
        <v>5372</v>
      </c>
      <c r="C695">
        <v>4500047</v>
      </c>
      <c r="D695" t="s">
        <v>5373</v>
      </c>
      <c r="E695" t="s">
        <v>5369</v>
      </c>
      <c r="F695" t="s">
        <v>5374</v>
      </c>
      <c r="G695" t="s">
        <v>5375</v>
      </c>
      <c r="H695" t="s">
        <v>5376</v>
      </c>
    </row>
    <row r="696" spans="1:8" x14ac:dyDescent="0.3">
      <c r="A696">
        <v>-4501337</v>
      </c>
      <c r="B696" t="s">
        <v>3989</v>
      </c>
      <c r="C696">
        <v>4501337</v>
      </c>
      <c r="D696" t="s">
        <v>3990</v>
      </c>
      <c r="E696" t="s">
        <v>3991</v>
      </c>
      <c r="F696" t="s">
        <v>6235</v>
      </c>
      <c r="G696" t="s">
        <v>6236</v>
      </c>
      <c r="H696" t="s">
        <v>6237</v>
      </c>
    </row>
    <row r="697" spans="1:8" x14ac:dyDescent="0.3">
      <c r="A697">
        <v>-4501636</v>
      </c>
      <c r="B697" t="s">
        <v>3545</v>
      </c>
      <c r="C697">
        <v>4501636</v>
      </c>
      <c r="D697" t="s">
        <v>3546</v>
      </c>
      <c r="E697" t="s">
        <v>3544</v>
      </c>
      <c r="F697" t="s">
        <v>3547</v>
      </c>
      <c r="G697" t="s">
        <v>3548</v>
      </c>
      <c r="H697" t="s">
        <v>2613</v>
      </c>
    </row>
    <row r="698" spans="1:8" x14ac:dyDescent="0.3">
      <c r="A698">
        <v>-4499688</v>
      </c>
      <c r="B698" t="s">
        <v>5703</v>
      </c>
      <c r="C698">
        <v>4499688</v>
      </c>
      <c r="D698" t="s">
        <v>5704</v>
      </c>
      <c r="E698" t="s">
        <v>3765</v>
      </c>
      <c r="F698">
        <v>1</v>
      </c>
      <c r="G698" t="s">
        <v>97</v>
      </c>
      <c r="H698" t="e">
        <v>#N/A</v>
      </c>
    </row>
    <row r="699" spans="1:8" x14ac:dyDescent="0.3">
      <c r="A699">
        <v>-4500359</v>
      </c>
      <c r="B699" t="s">
        <v>5091</v>
      </c>
      <c r="C699">
        <v>4500359</v>
      </c>
      <c r="D699" t="s">
        <v>5092</v>
      </c>
      <c r="E699" t="s">
        <v>2998</v>
      </c>
      <c r="F699" t="s">
        <v>5093</v>
      </c>
      <c r="G699" t="s">
        <v>5094</v>
      </c>
      <c r="H699" t="s">
        <v>2779</v>
      </c>
    </row>
    <row r="700" spans="1:8" x14ac:dyDescent="0.3">
      <c r="A700">
        <v>-4500730</v>
      </c>
      <c r="B700" t="s">
        <v>4784</v>
      </c>
      <c r="C700">
        <v>4500730</v>
      </c>
      <c r="D700" t="s">
        <v>4785</v>
      </c>
      <c r="E700" t="s">
        <v>4781</v>
      </c>
      <c r="F700" t="s">
        <v>4786</v>
      </c>
      <c r="G700" t="s">
        <v>4787</v>
      </c>
      <c r="H700" t="s">
        <v>2769</v>
      </c>
    </row>
    <row r="701" spans="1:8" x14ac:dyDescent="0.3">
      <c r="A701" t="s">
        <v>6180</v>
      </c>
      <c r="B701" t="s">
        <v>6181</v>
      </c>
      <c r="C701">
        <v>4501224</v>
      </c>
      <c r="D701" t="s">
        <v>4155</v>
      </c>
      <c r="E701" t="s">
        <v>2842</v>
      </c>
      <c r="F701" t="s">
        <v>6835</v>
      </c>
      <c r="G701" t="s">
        <v>6836</v>
      </c>
      <c r="H701" t="s">
        <v>6837</v>
      </c>
    </row>
    <row r="702" spans="1:8" x14ac:dyDescent="0.3">
      <c r="A702">
        <v>-4500249</v>
      </c>
      <c r="B702" t="s">
        <v>5193</v>
      </c>
      <c r="C702">
        <v>4500249</v>
      </c>
      <c r="D702" t="s">
        <v>5194</v>
      </c>
      <c r="E702" t="s">
        <v>3372</v>
      </c>
      <c r="F702" t="s">
        <v>5195</v>
      </c>
      <c r="G702" t="s">
        <v>2612</v>
      </c>
      <c r="H702" t="s">
        <v>3375</v>
      </c>
    </row>
    <row r="703" spans="1:8" x14ac:dyDescent="0.3">
      <c r="A703">
        <v>-4501554</v>
      </c>
      <c r="B703" t="s">
        <v>3699</v>
      </c>
      <c r="C703">
        <v>4501554</v>
      </c>
      <c r="D703" t="s">
        <v>3700</v>
      </c>
      <c r="E703" t="s">
        <v>3673</v>
      </c>
      <c r="F703" t="s">
        <v>3701</v>
      </c>
      <c r="G703" t="s">
        <v>3702</v>
      </c>
      <c r="H703" t="s">
        <v>3250</v>
      </c>
    </row>
    <row r="704" spans="1:8" x14ac:dyDescent="0.3">
      <c r="A704">
        <v>-4501212</v>
      </c>
      <c r="B704" t="s">
        <v>4172</v>
      </c>
      <c r="C704">
        <v>4501212</v>
      </c>
      <c r="D704" t="s">
        <v>4173</v>
      </c>
      <c r="E704" t="s">
        <v>4174</v>
      </c>
      <c r="F704" t="s">
        <v>4175</v>
      </c>
      <c r="G704" t="s">
        <v>4176</v>
      </c>
      <c r="H704" t="s">
        <v>4088</v>
      </c>
    </row>
    <row r="705" spans="1:8" x14ac:dyDescent="0.3">
      <c r="A705">
        <v>-4499771</v>
      </c>
      <c r="B705" t="s">
        <v>5629</v>
      </c>
      <c r="C705">
        <v>1</v>
      </c>
      <c r="D705" t="e">
        <v>#N/A</v>
      </c>
      <c r="E705" t="e">
        <v>#N/A</v>
      </c>
      <c r="F705" t="s">
        <v>5630</v>
      </c>
      <c r="G705" t="s">
        <v>5631</v>
      </c>
      <c r="H705" t="s">
        <v>4266</v>
      </c>
    </row>
    <row r="706" spans="1:8" x14ac:dyDescent="0.3">
      <c r="A706">
        <v>-4500116</v>
      </c>
      <c r="B706" t="s">
        <v>5302</v>
      </c>
      <c r="C706">
        <v>4500116</v>
      </c>
      <c r="D706" t="s">
        <v>5303</v>
      </c>
      <c r="E706" t="s">
        <v>4897</v>
      </c>
      <c r="F706" t="s">
        <v>6099</v>
      </c>
      <c r="G706" t="s">
        <v>6100</v>
      </c>
      <c r="H706" t="s">
        <v>6101</v>
      </c>
    </row>
    <row r="707" spans="1:8" x14ac:dyDescent="0.3">
      <c r="A707" t="s">
        <v>6096</v>
      </c>
      <c r="B707" t="s">
        <v>6097</v>
      </c>
      <c r="C707">
        <v>4500194</v>
      </c>
      <c r="D707" t="s">
        <v>6098</v>
      </c>
      <c r="E707" t="s">
        <v>4897</v>
      </c>
      <c r="F707">
        <v>1</v>
      </c>
      <c r="G707" t="s">
        <v>97</v>
      </c>
      <c r="H707" t="e">
        <v>#N/A</v>
      </c>
    </row>
    <row r="708" spans="1:8" x14ac:dyDescent="0.3">
      <c r="A708">
        <v>-4500020</v>
      </c>
      <c r="B708" t="s">
        <v>5395</v>
      </c>
      <c r="C708">
        <v>4500020</v>
      </c>
      <c r="D708" t="s">
        <v>5396</v>
      </c>
      <c r="E708" t="s">
        <v>5397</v>
      </c>
      <c r="F708" t="s">
        <v>6887</v>
      </c>
      <c r="G708" t="s">
        <v>6888</v>
      </c>
      <c r="H708" t="s">
        <v>6889</v>
      </c>
    </row>
    <row r="709" spans="1:8" x14ac:dyDescent="0.3">
      <c r="A709">
        <v>-4501342</v>
      </c>
      <c r="B709" t="s">
        <v>3984</v>
      </c>
      <c r="C709">
        <v>4501342</v>
      </c>
      <c r="D709" t="s">
        <v>3985</v>
      </c>
      <c r="E709" t="s">
        <v>2948</v>
      </c>
      <c r="F709" t="s">
        <v>3986</v>
      </c>
      <c r="G709" t="s">
        <v>97</v>
      </c>
      <c r="H709" t="e">
        <v>#N/A</v>
      </c>
    </row>
    <row r="710" spans="1:8" x14ac:dyDescent="0.3">
      <c r="A710">
        <v>-4501176</v>
      </c>
      <c r="B710" t="s">
        <v>4227</v>
      </c>
      <c r="C710">
        <v>4501176</v>
      </c>
      <c r="D710" t="s">
        <v>4228</v>
      </c>
      <c r="E710" t="s">
        <v>4213</v>
      </c>
      <c r="F710" t="s">
        <v>4229</v>
      </c>
      <c r="G710" t="s">
        <v>97</v>
      </c>
      <c r="H710" t="e">
        <v>#N/A</v>
      </c>
    </row>
    <row r="711" spans="1:8" x14ac:dyDescent="0.3">
      <c r="A711">
        <v>-4501692</v>
      </c>
      <c r="B711" t="s">
        <v>3443</v>
      </c>
      <c r="C711">
        <v>4501692</v>
      </c>
      <c r="D711" t="s">
        <v>3444</v>
      </c>
      <c r="E711" t="s">
        <v>3439</v>
      </c>
      <c r="F711" t="s">
        <v>3445</v>
      </c>
      <c r="G711" t="s">
        <v>3446</v>
      </c>
      <c r="H711" t="s">
        <v>3447</v>
      </c>
    </row>
    <row r="712" spans="1:8" x14ac:dyDescent="0.3">
      <c r="A712">
        <v>-4499379</v>
      </c>
      <c r="B712" t="s">
        <v>5963</v>
      </c>
      <c r="C712">
        <v>4499379</v>
      </c>
      <c r="D712" t="s">
        <v>5964</v>
      </c>
      <c r="E712" t="s">
        <v>5965</v>
      </c>
      <c r="F712" t="s">
        <v>5966</v>
      </c>
      <c r="G712" t="s">
        <v>5967</v>
      </c>
      <c r="H712" t="s">
        <v>5968</v>
      </c>
    </row>
    <row r="713" spans="1:8" x14ac:dyDescent="0.3">
      <c r="A713">
        <v>-4501118</v>
      </c>
      <c r="B713" t="s">
        <v>4277</v>
      </c>
      <c r="C713">
        <v>4501118</v>
      </c>
      <c r="D713" t="s">
        <v>4278</v>
      </c>
      <c r="E713" t="s">
        <v>2989</v>
      </c>
      <c r="F713" t="s">
        <v>4279</v>
      </c>
      <c r="G713" t="s">
        <v>4280</v>
      </c>
      <c r="H713" t="s">
        <v>2723</v>
      </c>
    </row>
    <row r="714" spans="1:8" x14ac:dyDescent="0.3">
      <c r="A714">
        <v>-4500557</v>
      </c>
      <c r="B714" t="s">
        <v>4940</v>
      </c>
      <c r="C714">
        <v>4500557</v>
      </c>
      <c r="D714" t="s">
        <v>4941</v>
      </c>
      <c r="E714" t="s">
        <v>3184</v>
      </c>
      <c r="F714" t="s">
        <v>4942</v>
      </c>
      <c r="G714" t="s">
        <v>97</v>
      </c>
      <c r="H714" t="e">
        <v>#N/A</v>
      </c>
    </row>
    <row r="715" spans="1:8" x14ac:dyDescent="0.3">
      <c r="A715">
        <v>-4501491</v>
      </c>
      <c r="B715" t="s">
        <v>3816</v>
      </c>
      <c r="C715">
        <v>4501491</v>
      </c>
      <c r="D715" t="s">
        <v>3817</v>
      </c>
      <c r="E715" t="s">
        <v>3818</v>
      </c>
      <c r="F715" t="s">
        <v>3819</v>
      </c>
      <c r="G715" t="s">
        <v>3820</v>
      </c>
      <c r="H715" t="s">
        <v>2577</v>
      </c>
    </row>
    <row r="716" spans="1:8" x14ac:dyDescent="0.3">
      <c r="A716">
        <v>-4994121</v>
      </c>
      <c r="B716" t="s">
        <v>2624</v>
      </c>
      <c r="C716">
        <v>4994121</v>
      </c>
      <c r="D716" t="s">
        <v>2625</v>
      </c>
      <c r="E716" t="s">
        <v>2626</v>
      </c>
      <c r="F716" t="s">
        <v>2627</v>
      </c>
      <c r="G716" t="s">
        <v>97</v>
      </c>
      <c r="H716" t="e">
        <v>#N/A</v>
      </c>
    </row>
    <row r="717" spans="1:8" x14ac:dyDescent="0.3">
      <c r="A717">
        <v>-4501420</v>
      </c>
      <c r="B717" t="s">
        <v>3898</v>
      </c>
      <c r="C717">
        <v>4501420</v>
      </c>
      <c r="D717" t="s">
        <v>3899</v>
      </c>
      <c r="E717" t="s">
        <v>3900</v>
      </c>
      <c r="F717" t="s">
        <v>6448</v>
      </c>
      <c r="G717" t="s">
        <v>6449</v>
      </c>
      <c r="H717" t="s">
        <v>6450</v>
      </c>
    </row>
    <row r="718" spans="1:8" x14ac:dyDescent="0.3">
      <c r="A718">
        <v>-4500893</v>
      </c>
      <c r="B718" t="s">
        <v>4607</v>
      </c>
      <c r="C718">
        <v>4500893</v>
      </c>
      <c r="D718" t="s">
        <v>4606</v>
      </c>
      <c r="E718" t="s">
        <v>4147</v>
      </c>
      <c r="F718" t="s">
        <v>4608</v>
      </c>
      <c r="G718" t="s">
        <v>4609</v>
      </c>
      <c r="H718" t="s">
        <v>4610</v>
      </c>
    </row>
    <row r="719" spans="1:8" x14ac:dyDescent="0.3">
      <c r="A719">
        <v>-4499552</v>
      </c>
      <c r="B719" t="s">
        <v>5860</v>
      </c>
      <c r="C719">
        <v>4499552</v>
      </c>
      <c r="D719" t="s">
        <v>5861</v>
      </c>
      <c r="E719" t="s">
        <v>4213</v>
      </c>
      <c r="F719">
        <v>1</v>
      </c>
      <c r="G719" t="s">
        <v>97</v>
      </c>
      <c r="H719" t="e">
        <v>#N/A</v>
      </c>
    </row>
    <row r="720" spans="1:8" x14ac:dyDescent="0.3">
      <c r="A720">
        <v>-4501079</v>
      </c>
      <c r="B720" t="s">
        <v>4348</v>
      </c>
      <c r="C720">
        <v>4501079</v>
      </c>
      <c r="D720" t="s">
        <v>4349</v>
      </c>
      <c r="E720" t="s">
        <v>4290</v>
      </c>
      <c r="F720" t="s">
        <v>4350</v>
      </c>
      <c r="G720" t="s">
        <v>4351</v>
      </c>
      <c r="H720" t="s">
        <v>2589</v>
      </c>
    </row>
    <row r="721" spans="1:8" x14ac:dyDescent="0.3">
      <c r="A721">
        <v>-4500421</v>
      </c>
      <c r="B721" t="s">
        <v>5043</v>
      </c>
      <c r="C721">
        <v>1</v>
      </c>
      <c r="D721" t="e">
        <v>#N/A</v>
      </c>
      <c r="E721" t="e">
        <v>#N/A</v>
      </c>
      <c r="F721" t="s">
        <v>6669</v>
      </c>
      <c r="G721" t="s">
        <v>6670</v>
      </c>
      <c r="H721" t="s">
        <v>4047</v>
      </c>
    </row>
    <row r="722" spans="1:8" x14ac:dyDescent="0.3">
      <c r="A722">
        <v>-4500907</v>
      </c>
      <c r="B722" t="s">
        <v>4578</v>
      </c>
      <c r="C722">
        <v>4500920</v>
      </c>
      <c r="D722" t="s">
        <v>6172</v>
      </c>
      <c r="E722" t="s">
        <v>4441</v>
      </c>
      <c r="F722" t="s">
        <v>4579</v>
      </c>
      <c r="G722" t="s">
        <v>4580</v>
      </c>
      <c r="H722" t="s">
        <v>4581</v>
      </c>
    </row>
    <row r="723" spans="1:8" x14ac:dyDescent="0.3">
      <c r="A723">
        <v>-4500377</v>
      </c>
      <c r="B723" t="s">
        <v>5075</v>
      </c>
      <c r="C723">
        <v>4500377</v>
      </c>
      <c r="D723" t="s">
        <v>5076</v>
      </c>
      <c r="E723" t="s">
        <v>3673</v>
      </c>
      <c r="F723" t="s">
        <v>5077</v>
      </c>
      <c r="G723" t="s">
        <v>5078</v>
      </c>
      <c r="H723" t="s">
        <v>5079</v>
      </c>
    </row>
    <row r="724" spans="1:8" x14ac:dyDescent="0.3">
      <c r="A724">
        <v>-4499816</v>
      </c>
      <c r="B724" t="s">
        <v>5595</v>
      </c>
      <c r="C724">
        <v>4499816</v>
      </c>
      <c r="D724" t="s">
        <v>5596</v>
      </c>
      <c r="E724" t="s">
        <v>3006</v>
      </c>
      <c r="F724" t="s">
        <v>5597</v>
      </c>
      <c r="G724" t="s">
        <v>5598</v>
      </c>
      <c r="H724" t="s">
        <v>5599</v>
      </c>
    </row>
    <row r="725" spans="1:8" x14ac:dyDescent="0.3">
      <c r="A725">
        <v>-4501227</v>
      </c>
      <c r="B725" t="s">
        <v>4153</v>
      </c>
      <c r="C725">
        <v>4501227</v>
      </c>
      <c r="D725" t="s">
        <v>3714</v>
      </c>
      <c r="E725" t="s">
        <v>4132</v>
      </c>
      <c r="F725" t="s">
        <v>5509</v>
      </c>
      <c r="G725" t="s">
        <v>5510</v>
      </c>
      <c r="H725" t="s">
        <v>5511</v>
      </c>
    </row>
    <row r="726" spans="1:8" x14ac:dyDescent="0.3">
      <c r="A726">
        <v>-4501163</v>
      </c>
      <c r="B726" t="s">
        <v>4251</v>
      </c>
      <c r="C726">
        <v>4501163</v>
      </c>
      <c r="D726" t="s">
        <v>3714</v>
      </c>
      <c r="E726" t="s">
        <v>4109</v>
      </c>
      <c r="F726" t="s">
        <v>5509</v>
      </c>
      <c r="G726" t="s">
        <v>5510</v>
      </c>
      <c r="H726" t="s">
        <v>5511</v>
      </c>
    </row>
    <row r="727" spans="1:8" x14ac:dyDescent="0.3">
      <c r="A727">
        <v>-4499901</v>
      </c>
      <c r="B727" t="s">
        <v>5507</v>
      </c>
      <c r="C727">
        <v>4499901</v>
      </c>
      <c r="D727" t="s">
        <v>5508</v>
      </c>
      <c r="E727" t="s">
        <v>4132</v>
      </c>
      <c r="F727" t="s">
        <v>5509</v>
      </c>
      <c r="G727" t="s">
        <v>5510</v>
      </c>
      <c r="H727" t="s">
        <v>5511</v>
      </c>
    </row>
    <row r="728" spans="1:8" x14ac:dyDescent="0.3">
      <c r="A728">
        <v>-4500218</v>
      </c>
      <c r="B728" t="s">
        <v>5209</v>
      </c>
      <c r="C728">
        <v>4500218</v>
      </c>
      <c r="D728" t="s">
        <v>5210</v>
      </c>
      <c r="E728" t="s">
        <v>3006</v>
      </c>
      <c r="F728" t="s">
        <v>5211</v>
      </c>
      <c r="G728" t="s">
        <v>4894</v>
      </c>
      <c r="H728" t="s">
        <v>2739</v>
      </c>
    </row>
    <row r="729" spans="1:8" x14ac:dyDescent="0.3">
      <c r="A729">
        <v>-4501934</v>
      </c>
      <c r="B729" t="s">
        <v>2981</v>
      </c>
      <c r="C729">
        <v>4501934</v>
      </c>
      <c r="D729" t="s">
        <v>2982</v>
      </c>
      <c r="E729" t="s">
        <v>2983</v>
      </c>
      <c r="F729" t="s">
        <v>2984</v>
      </c>
      <c r="G729" t="s">
        <v>2985</v>
      </c>
      <c r="H729" t="s">
        <v>2986</v>
      </c>
    </row>
    <row r="730" spans="1:8" x14ac:dyDescent="0.3">
      <c r="A730">
        <v>-4501786</v>
      </c>
      <c r="B730" t="s">
        <v>3241</v>
      </c>
      <c r="C730">
        <v>4501786</v>
      </c>
      <c r="D730" t="s">
        <v>3242</v>
      </c>
      <c r="E730" t="s">
        <v>3162</v>
      </c>
      <c r="F730">
        <v>1</v>
      </c>
      <c r="G730" t="s">
        <v>97</v>
      </c>
      <c r="H730" t="e">
        <v>#N/A</v>
      </c>
    </row>
    <row r="731" spans="1:8" x14ac:dyDescent="0.3">
      <c r="A731">
        <v>-4501405</v>
      </c>
      <c r="B731" t="s">
        <v>3912</v>
      </c>
      <c r="C731">
        <v>4501405</v>
      </c>
      <c r="D731" t="s">
        <v>2747</v>
      </c>
      <c r="E731" t="s">
        <v>2970</v>
      </c>
      <c r="F731" t="s">
        <v>3243</v>
      </c>
      <c r="G731" t="s">
        <v>3244</v>
      </c>
      <c r="H731" t="s">
        <v>3245</v>
      </c>
    </row>
    <row r="732" spans="1:8" x14ac:dyDescent="0.3">
      <c r="A732">
        <v>-4501120</v>
      </c>
      <c r="B732" t="s">
        <v>4275</v>
      </c>
      <c r="C732">
        <v>4501120</v>
      </c>
      <c r="D732" t="s">
        <v>4276</v>
      </c>
      <c r="E732" t="s">
        <v>2586</v>
      </c>
      <c r="F732" t="s">
        <v>6511</v>
      </c>
      <c r="G732" t="s">
        <v>6512</v>
      </c>
      <c r="H732" t="s">
        <v>6513</v>
      </c>
    </row>
    <row r="733" spans="1:8" x14ac:dyDescent="0.3">
      <c r="A733">
        <v>-4501013</v>
      </c>
      <c r="B733" t="s">
        <v>4436</v>
      </c>
      <c r="C733">
        <v>4501013</v>
      </c>
      <c r="D733" t="s">
        <v>4437</v>
      </c>
      <c r="E733" t="s">
        <v>4397</v>
      </c>
      <c r="F733" t="s">
        <v>4438</v>
      </c>
      <c r="G733" t="s">
        <v>4439</v>
      </c>
      <c r="H733" t="s">
        <v>4440</v>
      </c>
    </row>
    <row r="734" spans="1:8" x14ac:dyDescent="0.3">
      <c r="A734">
        <v>-4500621</v>
      </c>
      <c r="B734" t="s">
        <v>4895</v>
      </c>
      <c r="C734">
        <v>4500621</v>
      </c>
      <c r="D734" t="s">
        <v>4896</v>
      </c>
      <c r="E734" t="s">
        <v>4897</v>
      </c>
      <c r="F734" t="s">
        <v>6640</v>
      </c>
      <c r="G734" t="s">
        <v>6641</v>
      </c>
      <c r="H734" t="s">
        <v>3181</v>
      </c>
    </row>
    <row r="735" spans="1:8" x14ac:dyDescent="0.3">
      <c r="A735">
        <v>-4501160</v>
      </c>
      <c r="B735" t="s">
        <v>4252</v>
      </c>
      <c r="C735">
        <v>4501160</v>
      </c>
      <c r="D735" t="s">
        <v>3120</v>
      </c>
      <c r="E735" t="s">
        <v>4253</v>
      </c>
      <c r="F735" t="s">
        <v>6504</v>
      </c>
      <c r="G735" t="s">
        <v>6505</v>
      </c>
      <c r="H735" t="s">
        <v>6506</v>
      </c>
    </row>
    <row r="736" spans="1:8" x14ac:dyDescent="0.3">
      <c r="A736">
        <v>-4501055</v>
      </c>
      <c r="B736" t="s">
        <v>4381</v>
      </c>
      <c r="C736">
        <v>4501055</v>
      </c>
      <c r="D736" t="s">
        <v>3032</v>
      </c>
      <c r="E736" t="s">
        <v>2989</v>
      </c>
      <c r="F736" t="s">
        <v>4382</v>
      </c>
      <c r="G736" t="s">
        <v>4383</v>
      </c>
      <c r="H736" t="s">
        <v>2694</v>
      </c>
    </row>
    <row r="737" spans="1:8" x14ac:dyDescent="0.3">
      <c r="A737" t="s">
        <v>6088</v>
      </c>
      <c r="B737" t="s">
        <v>6089</v>
      </c>
      <c r="C737">
        <v>4500126</v>
      </c>
      <c r="D737" t="s">
        <v>6090</v>
      </c>
      <c r="E737" t="s">
        <v>6080</v>
      </c>
      <c r="F737" t="s">
        <v>6812</v>
      </c>
      <c r="G737" t="s">
        <v>6813</v>
      </c>
      <c r="H737" t="s">
        <v>5657</v>
      </c>
    </row>
    <row r="738" spans="1:8" x14ac:dyDescent="0.3">
      <c r="A738">
        <v>-4501769</v>
      </c>
      <c r="B738" t="s">
        <v>3285</v>
      </c>
      <c r="C738">
        <v>4501769</v>
      </c>
      <c r="D738" t="s">
        <v>2963</v>
      </c>
      <c r="E738" t="s">
        <v>3262</v>
      </c>
      <c r="F738" t="s">
        <v>3286</v>
      </c>
      <c r="G738" t="s">
        <v>3287</v>
      </c>
      <c r="H738" t="s">
        <v>3269</v>
      </c>
    </row>
    <row r="739" spans="1:8" x14ac:dyDescent="0.3">
      <c r="A739">
        <v>-4499726</v>
      </c>
      <c r="B739" t="s">
        <v>5666</v>
      </c>
      <c r="C739">
        <v>4499726</v>
      </c>
      <c r="D739" t="s">
        <v>5667</v>
      </c>
      <c r="E739" t="s">
        <v>4053</v>
      </c>
      <c r="F739" t="s">
        <v>5668</v>
      </c>
      <c r="G739" t="s">
        <v>5669</v>
      </c>
      <c r="H739" t="s">
        <v>5670</v>
      </c>
    </row>
    <row r="740" spans="1:8" x14ac:dyDescent="0.3">
      <c r="A740">
        <v>-4501955</v>
      </c>
      <c r="B740" t="s">
        <v>2951</v>
      </c>
      <c r="C740">
        <v>4501955</v>
      </c>
      <c r="D740" t="s">
        <v>2952</v>
      </c>
      <c r="E740" t="s">
        <v>2942</v>
      </c>
      <c r="F740" t="s">
        <v>2953</v>
      </c>
      <c r="G740" t="s">
        <v>2954</v>
      </c>
      <c r="H740" t="s">
        <v>2955</v>
      </c>
    </row>
    <row r="741" spans="1:8" x14ac:dyDescent="0.3">
      <c r="A741" t="s">
        <v>6025</v>
      </c>
      <c r="B741" t="s">
        <v>6026</v>
      </c>
      <c r="C741">
        <v>1</v>
      </c>
      <c r="D741" t="e">
        <v>#N/A</v>
      </c>
      <c r="E741" t="e">
        <v>#N/A</v>
      </c>
      <c r="F741" t="s">
        <v>6027</v>
      </c>
      <c r="G741" t="s">
        <v>6028</v>
      </c>
      <c r="H741" t="s">
        <v>2739</v>
      </c>
    </row>
    <row r="742" spans="1:8" x14ac:dyDescent="0.3">
      <c r="A742">
        <v>-4499847</v>
      </c>
      <c r="B742" t="s">
        <v>5561</v>
      </c>
      <c r="C742">
        <v>4499847</v>
      </c>
      <c r="D742" t="s">
        <v>5562</v>
      </c>
      <c r="E742" t="s">
        <v>3006</v>
      </c>
      <c r="F742" t="s">
        <v>5563</v>
      </c>
      <c r="G742" t="s">
        <v>5564</v>
      </c>
      <c r="H742" t="s">
        <v>5565</v>
      </c>
    </row>
    <row r="743" spans="1:8" x14ac:dyDescent="0.3">
      <c r="A743">
        <v>-4499490</v>
      </c>
      <c r="B743" t="s">
        <v>5945</v>
      </c>
      <c r="C743">
        <v>4499490</v>
      </c>
      <c r="D743" t="s">
        <v>5946</v>
      </c>
      <c r="E743" t="s">
        <v>4386</v>
      </c>
      <c r="F743" t="s">
        <v>5947</v>
      </c>
      <c r="G743" t="s">
        <v>5948</v>
      </c>
      <c r="H743" t="s">
        <v>5949</v>
      </c>
    </row>
    <row r="744" spans="1:8" x14ac:dyDescent="0.3">
      <c r="A744" t="s">
        <v>6255</v>
      </c>
      <c r="B744" t="s">
        <v>6256</v>
      </c>
      <c r="C744">
        <v>4501058</v>
      </c>
      <c r="D744" t="s">
        <v>4372</v>
      </c>
      <c r="E744" t="s">
        <v>4373</v>
      </c>
      <c r="F744" t="s">
        <v>6257</v>
      </c>
      <c r="G744" t="s">
        <v>6258</v>
      </c>
      <c r="H744" t="s">
        <v>6259</v>
      </c>
    </row>
    <row r="745" spans="1:8" x14ac:dyDescent="0.3">
      <c r="A745" t="s">
        <v>6173</v>
      </c>
      <c r="B745" t="s">
        <v>6174</v>
      </c>
      <c r="C745">
        <v>4501011</v>
      </c>
      <c r="D745" t="s">
        <v>4448</v>
      </c>
      <c r="E745" t="s">
        <v>4397</v>
      </c>
      <c r="F745" t="s">
        <v>6831</v>
      </c>
      <c r="G745" t="s">
        <v>6832</v>
      </c>
      <c r="H745" t="s">
        <v>4389</v>
      </c>
    </row>
    <row r="746" spans="1:8" x14ac:dyDescent="0.3">
      <c r="A746">
        <v>-4501372</v>
      </c>
      <c r="B746" t="s">
        <v>3946</v>
      </c>
      <c r="C746">
        <v>4501372</v>
      </c>
      <c r="D746" t="s">
        <v>3714</v>
      </c>
      <c r="E746" t="s">
        <v>2942</v>
      </c>
      <c r="F746" t="s">
        <v>3947</v>
      </c>
      <c r="G746" t="s">
        <v>3948</v>
      </c>
      <c r="H746" t="s">
        <v>3949</v>
      </c>
    </row>
    <row r="747" spans="1:8" x14ac:dyDescent="0.3">
      <c r="A747">
        <v>-4501230</v>
      </c>
      <c r="B747" t="s">
        <v>4151</v>
      </c>
      <c r="C747">
        <v>4501230</v>
      </c>
      <c r="D747" t="s">
        <v>4152</v>
      </c>
      <c r="E747" t="s">
        <v>4132</v>
      </c>
      <c r="F747" t="s">
        <v>6483</v>
      </c>
      <c r="G747" t="s">
        <v>6484</v>
      </c>
      <c r="H747" t="s">
        <v>4203</v>
      </c>
    </row>
    <row r="748" spans="1:8" x14ac:dyDescent="0.3">
      <c r="A748">
        <v>-4499685</v>
      </c>
      <c r="B748" t="s">
        <v>5705</v>
      </c>
      <c r="C748">
        <v>4499685</v>
      </c>
      <c r="D748" t="s">
        <v>5706</v>
      </c>
      <c r="E748" t="s">
        <v>3585</v>
      </c>
      <c r="F748" t="s">
        <v>6890</v>
      </c>
      <c r="G748" t="s">
        <v>6891</v>
      </c>
      <c r="H748" t="s">
        <v>2613</v>
      </c>
    </row>
    <row r="749" spans="1:8" x14ac:dyDescent="0.3">
      <c r="A749">
        <v>-4994168</v>
      </c>
      <c r="B749" t="s">
        <v>2596</v>
      </c>
      <c r="C749">
        <v>4994168</v>
      </c>
      <c r="D749" t="s">
        <v>2597</v>
      </c>
      <c r="E749" t="s">
        <v>2598</v>
      </c>
      <c r="F749" t="s">
        <v>2599</v>
      </c>
      <c r="G749" t="s">
        <v>2600</v>
      </c>
      <c r="H749" t="s">
        <v>2601</v>
      </c>
    </row>
    <row r="750" spans="1:8" x14ac:dyDescent="0.3">
      <c r="A750">
        <v>-4993940</v>
      </c>
      <c r="B750" t="s">
        <v>2804</v>
      </c>
      <c r="C750">
        <v>4993940</v>
      </c>
      <c r="D750" t="s">
        <v>2805</v>
      </c>
      <c r="E750" t="s">
        <v>2806</v>
      </c>
      <c r="F750" t="s">
        <v>2807</v>
      </c>
      <c r="G750" t="s">
        <v>97</v>
      </c>
      <c r="H750" t="e">
        <v>#N/A</v>
      </c>
    </row>
    <row r="751" spans="1:8" x14ac:dyDescent="0.3">
      <c r="A751">
        <v>-4500269</v>
      </c>
      <c r="B751" t="s">
        <v>5169</v>
      </c>
      <c r="C751">
        <v>4500269</v>
      </c>
      <c r="D751" t="s">
        <v>5170</v>
      </c>
      <c r="E751" t="s">
        <v>3006</v>
      </c>
      <c r="F751" t="s">
        <v>5171</v>
      </c>
      <c r="G751" t="s">
        <v>5172</v>
      </c>
      <c r="H751" t="s">
        <v>5173</v>
      </c>
    </row>
    <row r="752" spans="1:8" x14ac:dyDescent="0.3">
      <c r="A752" t="s">
        <v>6260</v>
      </c>
      <c r="B752" t="s">
        <v>6284</v>
      </c>
      <c r="C752">
        <v>1</v>
      </c>
      <c r="D752" t="e">
        <v>#N/A</v>
      </c>
      <c r="E752" t="e">
        <v>#N/A</v>
      </c>
      <c r="F752" t="s">
        <v>6285</v>
      </c>
      <c r="G752" t="s">
        <v>6286</v>
      </c>
      <c r="H752" t="s">
        <v>2633</v>
      </c>
    </row>
    <row r="753" spans="1:8" x14ac:dyDescent="0.3">
      <c r="A753">
        <v>-4500257</v>
      </c>
      <c r="B753" t="s">
        <v>5176</v>
      </c>
      <c r="C753">
        <v>4500257</v>
      </c>
      <c r="D753" t="s">
        <v>5177</v>
      </c>
      <c r="E753" t="s">
        <v>3453</v>
      </c>
      <c r="F753" t="s">
        <v>6892</v>
      </c>
      <c r="G753" t="s">
        <v>6893</v>
      </c>
      <c r="H753" t="s">
        <v>6894</v>
      </c>
    </row>
    <row r="754" spans="1:8" x14ac:dyDescent="0.3">
      <c r="A754">
        <v>-4501074</v>
      </c>
      <c r="B754" t="s">
        <v>4353</v>
      </c>
      <c r="C754">
        <v>4501072</v>
      </c>
      <c r="D754" t="s">
        <v>6895</v>
      </c>
      <c r="E754" t="s">
        <v>4354</v>
      </c>
      <c r="F754" t="s">
        <v>4355</v>
      </c>
      <c r="G754" t="s">
        <v>4356</v>
      </c>
      <c r="H754" t="s">
        <v>2589</v>
      </c>
    </row>
    <row r="755" spans="1:8" x14ac:dyDescent="0.3">
      <c r="A755">
        <v>-4499539</v>
      </c>
      <c r="B755" t="s">
        <v>5872</v>
      </c>
      <c r="C755">
        <v>1</v>
      </c>
      <c r="D755" t="e">
        <v>#N/A</v>
      </c>
      <c r="E755" t="e">
        <v>#N/A</v>
      </c>
      <c r="F755" t="s">
        <v>5873</v>
      </c>
      <c r="G755" t="s">
        <v>5874</v>
      </c>
      <c r="H755" t="s">
        <v>5875</v>
      </c>
    </row>
    <row r="756" spans="1:8" x14ac:dyDescent="0.3">
      <c r="A756">
        <v>-4757639</v>
      </c>
      <c r="B756" t="s">
        <v>2924</v>
      </c>
      <c r="C756">
        <v>4757639</v>
      </c>
      <c r="D756" t="s">
        <v>2925</v>
      </c>
      <c r="E756" t="s">
        <v>2926</v>
      </c>
      <c r="F756" t="s">
        <v>2927</v>
      </c>
      <c r="G756" t="s">
        <v>2928</v>
      </c>
      <c r="H756" t="s">
        <v>2929</v>
      </c>
    </row>
    <row r="757" spans="1:8" x14ac:dyDescent="0.3">
      <c r="A757">
        <v>-4500256</v>
      </c>
      <c r="B757" t="s">
        <v>5178</v>
      </c>
      <c r="C757">
        <v>4500256</v>
      </c>
      <c r="D757" t="s">
        <v>5179</v>
      </c>
      <c r="E757" t="s">
        <v>3453</v>
      </c>
      <c r="F757" t="s">
        <v>5180</v>
      </c>
      <c r="G757" t="s">
        <v>5181</v>
      </c>
      <c r="H757" t="s">
        <v>3430</v>
      </c>
    </row>
    <row r="758" spans="1:8" x14ac:dyDescent="0.3">
      <c r="A758">
        <v>-4500815</v>
      </c>
      <c r="B758" t="s">
        <v>4700</v>
      </c>
      <c r="C758">
        <v>4500815</v>
      </c>
      <c r="D758" t="s">
        <v>4699</v>
      </c>
      <c r="E758" t="s">
        <v>4698</v>
      </c>
      <c r="F758" t="s">
        <v>6578</v>
      </c>
      <c r="G758" t="s">
        <v>6579</v>
      </c>
      <c r="H758" t="s">
        <v>2769</v>
      </c>
    </row>
    <row r="759" spans="1:8" x14ac:dyDescent="0.3">
      <c r="A759">
        <v>-4499780</v>
      </c>
      <c r="B759" t="s">
        <v>5622</v>
      </c>
      <c r="C759">
        <v>4499780</v>
      </c>
      <c r="D759" t="s">
        <v>5623</v>
      </c>
      <c r="E759" t="s">
        <v>4885</v>
      </c>
      <c r="F759" t="s">
        <v>5624</v>
      </c>
      <c r="G759" t="s">
        <v>5625</v>
      </c>
      <c r="H759" t="s">
        <v>5626</v>
      </c>
    </row>
    <row r="760" spans="1:8" x14ac:dyDescent="0.3">
      <c r="A760">
        <v>-4501561</v>
      </c>
      <c r="B760" t="s">
        <v>3678</v>
      </c>
      <c r="C760">
        <v>4501561</v>
      </c>
      <c r="D760" t="s">
        <v>3679</v>
      </c>
      <c r="E760" t="s">
        <v>3673</v>
      </c>
      <c r="F760" t="s">
        <v>3680</v>
      </c>
      <c r="G760" t="s">
        <v>3681</v>
      </c>
      <c r="H760" t="s">
        <v>3682</v>
      </c>
    </row>
    <row r="761" spans="1:8" x14ac:dyDescent="0.3">
      <c r="A761">
        <v>-4500672</v>
      </c>
      <c r="B761" t="s">
        <v>4847</v>
      </c>
      <c r="C761">
        <v>4500672</v>
      </c>
      <c r="D761" t="s">
        <v>4848</v>
      </c>
      <c r="E761" t="s">
        <v>4849</v>
      </c>
      <c r="F761" t="s">
        <v>4850</v>
      </c>
      <c r="G761" t="s">
        <v>97</v>
      </c>
      <c r="H761" t="e">
        <v>#N/A</v>
      </c>
    </row>
    <row r="762" spans="1:8" x14ac:dyDescent="0.3">
      <c r="A762">
        <v>-4501206</v>
      </c>
      <c r="B762" t="s">
        <v>4188</v>
      </c>
      <c r="C762">
        <v>4501206</v>
      </c>
      <c r="D762" t="s">
        <v>4189</v>
      </c>
      <c r="E762" t="s">
        <v>4091</v>
      </c>
      <c r="F762" t="s">
        <v>5038</v>
      </c>
      <c r="G762" t="s">
        <v>5039</v>
      </c>
      <c r="H762" t="s">
        <v>4097</v>
      </c>
    </row>
    <row r="763" spans="1:8" x14ac:dyDescent="0.3">
      <c r="A763">
        <v>-4500429</v>
      </c>
      <c r="B763" t="s">
        <v>5037</v>
      </c>
      <c r="C763">
        <v>4500429</v>
      </c>
      <c r="D763" t="s">
        <v>5036</v>
      </c>
      <c r="E763" t="s">
        <v>4085</v>
      </c>
      <c r="F763">
        <v>1</v>
      </c>
      <c r="G763" t="s">
        <v>97</v>
      </c>
      <c r="H763" t="e">
        <v>#N/A</v>
      </c>
    </row>
    <row r="764" spans="1:8" x14ac:dyDescent="0.3">
      <c r="A764">
        <v>-4501543</v>
      </c>
      <c r="B764" t="s">
        <v>3716</v>
      </c>
      <c r="C764">
        <v>4501543</v>
      </c>
      <c r="D764" t="s">
        <v>3717</v>
      </c>
      <c r="E764" t="s">
        <v>3006</v>
      </c>
      <c r="F764" t="s">
        <v>3718</v>
      </c>
      <c r="G764" t="s">
        <v>3719</v>
      </c>
      <c r="H764" t="s">
        <v>2577</v>
      </c>
    </row>
    <row r="765" spans="1:8" x14ac:dyDescent="0.3">
      <c r="A765">
        <v>-4501324</v>
      </c>
      <c r="B765" t="s">
        <v>4017</v>
      </c>
      <c r="C765">
        <v>4501324</v>
      </c>
      <c r="D765" t="s">
        <v>4018</v>
      </c>
      <c r="E765" t="s">
        <v>4019</v>
      </c>
      <c r="F765">
        <v>1</v>
      </c>
      <c r="G765" t="s">
        <v>97</v>
      </c>
      <c r="H765" t="e">
        <v>#N/A</v>
      </c>
    </row>
    <row r="766" spans="1:8" x14ac:dyDescent="0.3">
      <c r="A766" t="s">
        <v>6130</v>
      </c>
      <c r="B766" t="s">
        <v>6131</v>
      </c>
      <c r="C766">
        <v>4500538</v>
      </c>
      <c r="D766" t="s">
        <v>3458</v>
      </c>
      <c r="E766" t="s">
        <v>4019</v>
      </c>
      <c r="F766" t="s">
        <v>4020</v>
      </c>
      <c r="G766" t="s">
        <v>4021</v>
      </c>
      <c r="H766" t="s">
        <v>4022</v>
      </c>
    </row>
    <row r="767" spans="1:8" x14ac:dyDescent="0.3">
      <c r="A767">
        <v>-4501883</v>
      </c>
      <c r="B767" t="s">
        <v>3065</v>
      </c>
      <c r="C767">
        <v>4501883</v>
      </c>
      <c r="D767" t="s">
        <v>3002</v>
      </c>
      <c r="E767" t="s">
        <v>2939</v>
      </c>
      <c r="F767" t="s">
        <v>3066</v>
      </c>
      <c r="G767" t="s">
        <v>3067</v>
      </c>
      <c r="H767" t="s">
        <v>3025</v>
      </c>
    </row>
    <row r="768" spans="1:8" x14ac:dyDescent="0.3">
      <c r="A768">
        <v>-4500100</v>
      </c>
      <c r="B768" t="s">
        <v>5316</v>
      </c>
      <c r="C768">
        <v>4500100</v>
      </c>
      <c r="D768" t="s">
        <v>5317</v>
      </c>
      <c r="E768" t="s">
        <v>2580</v>
      </c>
      <c r="F768" t="s">
        <v>5318</v>
      </c>
      <c r="G768" t="s">
        <v>5319</v>
      </c>
      <c r="H768" t="s">
        <v>5320</v>
      </c>
    </row>
    <row r="769" spans="1:8" x14ac:dyDescent="0.3">
      <c r="A769" t="s">
        <v>6139</v>
      </c>
      <c r="B769" t="s">
        <v>6140</v>
      </c>
      <c r="C769">
        <v>4500723</v>
      </c>
      <c r="D769" t="s">
        <v>4794</v>
      </c>
      <c r="E769" t="s">
        <v>4795</v>
      </c>
      <c r="F769" t="s">
        <v>6822</v>
      </c>
      <c r="G769" t="s">
        <v>6823</v>
      </c>
      <c r="H769" t="s">
        <v>6824</v>
      </c>
    </row>
    <row r="770" spans="1:8" x14ac:dyDescent="0.3">
      <c r="A770">
        <v>-4501664</v>
      </c>
      <c r="B770" t="s">
        <v>3512</v>
      </c>
      <c r="C770">
        <v>4501664</v>
      </c>
      <c r="D770" t="s">
        <v>3513</v>
      </c>
      <c r="E770" t="s">
        <v>3507</v>
      </c>
      <c r="F770">
        <v>1</v>
      </c>
      <c r="G770" t="s">
        <v>97</v>
      </c>
      <c r="H770" t="e">
        <v>#N/A</v>
      </c>
    </row>
    <row r="771" spans="1:8" x14ac:dyDescent="0.3">
      <c r="A771">
        <v>-4500135</v>
      </c>
      <c r="B771" t="s">
        <v>5280</v>
      </c>
      <c r="C771">
        <v>4500135</v>
      </c>
      <c r="D771" t="s">
        <v>5281</v>
      </c>
      <c r="E771" t="s">
        <v>3544</v>
      </c>
      <c r="F771" t="s">
        <v>3514</v>
      </c>
      <c r="G771" t="s">
        <v>3515</v>
      </c>
      <c r="H771" t="s">
        <v>3516</v>
      </c>
    </row>
    <row r="772" spans="1:8" x14ac:dyDescent="0.3">
      <c r="A772">
        <v>-4500972</v>
      </c>
      <c r="B772" t="s">
        <v>4504</v>
      </c>
      <c r="C772">
        <v>4500972</v>
      </c>
      <c r="D772" t="s">
        <v>4503</v>
      </c>
      <c r="E772" t="s">
        <v>2995</v>
      </c>
      <c r="F772" t="s">
        <v>4505</v>
      </c>
      <c r="G772" t="s">
        <v>4506</v>
      </c>
      <c r="H772" t="s">
        <v>2694</v>
      </c>
    </row>
    <row r="773" spans="1:8" x14ac:dyDescent="0.3">
      <c r="A773">
        <v>-4994098</v>
      </c>
      <c r="B773" t="s">
        <v>2660</v>
      </c>
      <c r="C773">
        <v>4994098</v>
      </c>
      <c r="D773" t="s">
        <v>2661</v>
      </c>
      <c r="E773" t="s">
        <v>2662</v>
      </c>
      <c r="F773" t="s">
        <v>2663</v>
      </c>
      <c r="G773" t="s">
        <v>2664</v>
      </c>
      <c r="H773" t="s">
        <v>2665</v>
      </c>
    </row>
    <row r="774" spans="1:8" x14ac:dyDescent="0.3">
      <c r="A774">
        <v>-4500580</v>
      </c>
      <c r="B774" t="s">
        <v>4927</v>
      </c>
      <c r="C774">
        <v>4500580</v>
      </c>
      <c r="D774" t="s">
        <v>4928</v>
      </c>
      <c r="E774" t="s">
        <v>4929</v>
      </c>
      <c r="F774" t="s">
        <v>6646</v>
      </c>
      <c r="G774" t="s">
        <v>6647</v>
      </c>
      <c r="H774" t="s">
        <v>5208</v>
      </c>
    </row>
    <row r="775" spans="1:8" x14ac:dyDescent="0.3">
      <c r="A775">
        <v>-4499640</v>
      </c>
      <c r="B775" t="s">
        <v>5757</v>
      </c>
      <c r="C775">
        <v>4499640</v>
      </c>
      <c r="D775" t="s">
        <v>5753</v>
      </c>
      <c r="E775" t="s">
        <v>5754</v>
      </c>
      <c r="F775" t="s">
        <v>5755</v>
      </c>
      <c r="G775" t="s">
        <v>3916</v>
      </c>
      <c r="H775" t="s">
        <v>5756</v>
      </c>
    </row>
    <row r="776" spans="1:8" x14ac:dyDescent="0.3">
      <c r="A776">
        <v>-4501512</v>
      </c>
      <c r="B776" t="s">
        <v>3778</v>
      </c>
      <c r="C776">
        <v>4501512</v>
      </c>
      <c r="D776" t="s">
        <v>3779</v>
      </c>
      <c r="E776" t="s">
        <v>3765</v>
      </c>
      <c r="F776" t="s">
        <v>3780</v>
      </c>
      <c r="G776" t="s">
        <v>3781</v>
      </c>
      <c r="H776" t="s">
        <v>2633</v>
      </c>
    </row>
    <row r="777" spans="1:8" x14ac:dyDescent="0.3">
      <c r="A777">
        <v>-4501681</v>
      </c>
      <c r="B777" t="s">
        <v>3473</v>
      </c>
      <c r="C777">
        <v>4501681</v>
      </c>
      <c r="D777" t="s">
        <v>3474</v>
      </c>
      <c r="E777" t="s">
        <v>2911</v>
      </c>
      <c r="F777" t="s">
        <v>3475</v>
      </c>
      <c r="G777" t="s">
        <v>3476</v>
      </c>
      <c r="H777" t="s">
        <v>3477</v>
      </c>
    </row>
    <row r="778" spans="1:8" x14ac:dyDescent="0.3">
      <c r="A778">
        <v>-4994122</v>
      </c>
      <c r="B778" t="s">
        <v>2619</v>
      </c>
      <c r="C778">
        <v>4994122</v>
      </c>
      <c r="D778" t="s">
        <v>2620</v>
      </c>
      <c r="E778" t="s">
        <v>2621</v>
      </c>
      <c r="F778" t="s">
        <v>2622</v>
      </c>
      <c r="G778" t="s">
        <v>2623</v>
      </c>
      <c r="H778" t="s">
        <v>2613</v>
      </c>
    </row>
    <row r="779" spans="1:8" x14ac:dyDescent="0.3">
      <c r="A779">
        <v>-4501040</v>
      </c>
      <c r="B779" t="s">
        <v>4406</v>
      </c>
      <c r="C779">
        <v>4501040</v>
      </c>
      <c r="D779" t="s">
        <v>4407</v>
      </c>
      <c r="E779" t="s">
        <v>4368</v>
      </c>
      <c r="F779">
        <v>1</v>
      </c>
      <c r="G779" t="s">
        <v>97</v>
      </c>
      <c r="H779" t="e">
        <v>#N/A</v>
      </c>
    </row>
    <row r="780" spans="1:8" x14ac:dyDescent="0.3">
      <c r="A780">
        <v>-4500929</v>
      </c>
      <c r="B780" t="s">
        <v>4561</v>
      </c>
      <c r="C780">
        <v>4500929</v>
      </c>
      <c r="D780" t="s">
        <v>4562</v>
      </c>
      <c r="E780" t="s">
        <v>4549</v>
      </c>
      <c r="F780" t="s">
        <v>4408</v>
      </c>
      <c r="G780" t="s">
        <v>4409</v>
      </c>
      <c r="H780" t="s">
        <v>4410</v>
      </c>
    </row>
    <row r="781" spans="1:8" x14ac:dyDescent="0.3">
      <c r="A781">
        <v>-4501205</v>
      </c>
      <c r="B781" t="s">
        <v>4190</v>
      </c>
      <c r="C781">
        <v>4501205</v>
      </c>
      <c r="D781" t="s">
        <v>2747</v>
      </c>
      <c r="E781" t="s">
        <v>4091</v>
      </c>
      <c r="F781" t="s">
        <v>6490</v>
      </c>
      <c r="G781" t="s">
        <v>4217</v>
      </c>
      <c r="H781" t="s">
        <v>6491</v>
      </c>
    </row>
    <row r="782" spans="1:8" x14ac:dyDescent="0.3">
      <c r="A782">
        <v>-4501082</v>
      </c>
      <c r="B782" t="s">
        <v>4343</v>
      </c>
      <c r="C782">
        <v>4501082</v>
      </c>
      <c r="D782" t="s">
        <v>4344</v>
      </c>
      <c r="E782" t="s">
        <v>2586</v>
      </c>
      <c r="F782" t="s">
        <v>4345</v>
      </c>
      <c r="G782" t="s">
        <v>3192</v>
      </c>
      <c r="H782" t="s">
        <v>2589</v>
      </c>
    </row>
    <row r="783" spans="1:8" x14ac:dyDescent="0.3">
      <c r="A783">
        <v>-4500939</v>
      </c>
      <c r="B783" t="s">
        <v>4547</v>
      </c>
      <c r="C783">
        <v>4500939</v>
      </c>
      <c r="D783" t="s">
        <v>4548</v>
      </c>
      <c r="E783" t="s">
        <v>4549</v>
      </c>
      <c r="F783" t="s">
        <v>4550</v>
      </c>
      <c r="G783" t="s">
        <v>4551</v>
      </c>
      <c r="H783" t="s">
        <v>2694</v>
      </c>
    </row>
    <row r="784" spans="1:8" x14ac:dyDescent="0.3">
      <c r="A784" t="s">
        <v>6025</v>
      </c>
      <c r="B784" t="s">
        <v>6029</v>
      </c>
      <c r="C784">
        <v>1</v>
      </c>
      <c r="D784" t="e">
        <v>#N/A</v>
      </c>
      <c r="E784" t="e">
        <v>#N/A</v>
      </c>
      <c r="F784" t="s">
        <v>6030</v>
      </c>
      <c r="G784" t="s">
        <v>6031</v>
      </c>
      <c r="H784" t="s">
        <v>3430</v>
      </c>
    </row>
    <row r="785" spans="1:8" x14ac:dyDescent="0.3">
      <c r="A785">
        <v>-4501608</v>
      </c>
      <c r="B785" t="s">
        <v>3614</v>
      </c>
      <c r="C785">
        <v>4501608</v>
      </c>
      <c r="D785" t="s">
        <v>3615</v>
      </c>
      <c r="E785" t="s">
        <v>3616</v>
      </c>
      <c r="F785">
        <v>1</v>
      </c>
      <c r="G785" t="s">
        <v>97</v>
      </c>
      <c r="H785" t="e">
        <v>#N/A</v>
      </c>
    </row>
    <row r="786" spans="1:8" x14ac:dyDescent="0.3">
      <c r="A786">
        <v>-4501595</v>
      </c>
      <c r="B786" t="s">
        <v>3624</v>
      </c>
      <c r="C786">
        <v>4501595</v>
      </c>
      <c r="D786" t="s">
        <v>3625</v>
      </c>
      <c r="E786" t="s">
        <v>3616</v>
      </c>
      <c r="F786" t="s">
        <v>3617</v>
      </c>
      <c r="G786" t="s">
        <v>3618</v>
      </c>
      <c r="H786" t="s">
        <v>3619</v>
      </c>
    </row>
    <row r="787" spans="1:8" x14ac:dyDescent="0.3">
      <c r="A787">
        <v>-4500571</v>
      </c>
      <c r="B787" t="s">
        <v>4935</v>
      </c>
      <c r="C787">
        <v>4500571</v>
      </c>
      <c r="D787" t="s">
        <v>4936</v>
      </c>
      <c r="E787" t="s">
        <v>4937</v>
      </c>
      <c r="F787" t="s">
        <v>6648</v>
      </c>
      <c r="G787" t="s">
        <v>6649</v>
      </c>
      <c r="H787" t="s">
        <v>6210</v>
      </c>
    </row>
    <row r="788" spans="1:8" x14ac:dyDescent="0.3">
      <c r="A788">
        <v>-4500104</v>
      </c>
      <c r="B788" t="s">
        <v>5311</v>
      </c>
      <c r="C788">
        <v>4500104</v>
      </c>
      <c r="D788" t="s">
        <v>5312</v>
      </c>
      <c r="E788" t="s">
        <v>4034</v>
      </c>
      <c r="F788" t="s">
        <v>5313</v>
      </c>
      <c r="G788" t="s">
        <v>5314</v>
      </c>
      <c r="H788" t="s">
        <v>5315</v>
      </c>
    </row>
    <row r="789" spans="1:8" x14ac:dyDescent="0.3">
      <c r="A789">
        <v>-4501578</v>
      </c>
      <c r="B789" t="s">
        <v>3649</v>
      </c>
      <c r="C789">
        <v>4501578</v>
      </c>
      <c r="D789" t="s">
        <v>3650</v>
      </c>
      <c r="E789" t="s">
        <v>3634</v>
      </c>
      <c r="F789" t="s">
        <v>3339</v>
      </c>
      <c r="G789" t="s">
        <v>3340</v>
      </c>
      <c r="H789" t="s">
        <v>2914</v>
      </c>
    </row>
    <row r="790" spans="1:8" x14ac:dyDescent="0.3">
      <c r="A790">
        <v>-4501847</v>
      </c>
      <c r="B790" t="s">
        <v>3123</v>
      </c>
      <c r="C790">
        <v>4501847</v>
      </c>
      <c r="D790" t="s">
        <v>3124</v>
      </c>
      <c r="E790" t="s">
        <v>3125</v>
      </c>
      <c r="F790">
        <v>1</v>
      </c>
      <c r="G790" t="s">
        <v>97</v>
      </c>
      <c r="H790" t="e">
        <v>#N/A</v>
      </c>
    </row>
    <row r="791" spans="1:8" x14ac:dyDescent="0.3">
      <c r="A791" t="s">
        <v>6137</v>
      </c>
      <c r="B791" t="s">
        <v>6138</v>
      </c>
      <c r="C791">
        <v>4500579</v>
      </c>
      <c r="D791" t="s">
        <v>4930</v>
      </c>
      <c r="E791" t="s">
        <v>3156</v>
      </c>
      <c r="F791" t="s">
        <v>3126</v>
      </c>
      <c r="G791" t="s">
        <v>3127</v>
      </c>
      <c r="H791" t="s">
        <v>3128</v>
      </c>
    </row>
    <row r="792" spans="1:8" x14ac:dyDescent="0.3">
      <c r="A792">
        <v>-4501922</v>
      </c>
      <c r="B792" t="s">
        <v>3004</v>
      </c>
      <c r="C792">
        <v>4501922</v>
      </c>
      <c r="D792" t="s">
        <v>3005</v>
      </c>
      <c r="E792" t="s">
        <v>3006</v>
      </c>
      <c r="F792" t="s">
        <v>3007</v>
      </c>
      <c r="G792" t="s">
        <v>3008</v>
      </c>
      <c r="H792" t="s">
        <v>3009</v>
      </c>
    </row>
    <row r="793" spans="1:8" x14ac:dyDescent="0.3">
      <c r="A793">
        <v>-4500857</v>
      </c>
      <c r="B793" t="s">
        <v>4651</v>
      </c>
      <c r="C793">
        <v>4500857</v>
      </c>
      <c r="D793" t="s">
        <v>4650</v>
      </c>
      <c r="E793" t="s">
        <v>2998</v>
      </c>
      <c r="F793" t="s">
        <v>6555</v>
      </c>
      <c r="G793" t="s">
        <v>6556</v>
      </c>
      <c r="H793" t="s">
        <v>6557</v>
      </c>
    </row>
    <row r="794" spans="1:8" x14ac:dyDescent="0.3">
      <c r="A794">
        <v>-4499690</v>
      </c>
      <c r="B794" t="s">
        <v>5699</v>
      </c>
      <c r="C794">
        <v>4499690</v>
      </c>
      <c r="D794" t="s">
        <v>5700</v>
      </c>
      <c r="E794" t="s">
        <v>3585</v>
      </c>
      <c r="F794" t="s">
        <v>5701</v>
      </c>
      <c r="G794" t="s">
        <v>5702</v>
      </c>
      <c r="H794" t="s">
        <v>2613</v>
      </c>
    </row>
    <row r="795" spans="1:8" x14ac:dyDescent="0.3">
      <c r="A795">
        <v>-4501214</v>
      </c>
      <c r="B795" t="s">
        <v>4168</v>
      </c>
      <c r="C795">
        <v>4501214</v>
      </c>
      <c r="D795" t="s">
        <v>3433</v>
      </c>
      <c r="E795" t="s">
        <v>2842</v>
      </c>
      <c r="F795" t="s">
        <v>4169</v>
      </c>
      <c r="G795" t="s">
        <v>4170</v>
      </c>
      <c r="H795" t="s">
        <v>4171</v>
      </c>
    </row>
    <row r="796" spans="1:8" x14ac:dyDescent="0.3">
      <c r="A796" t="s">
        <v>6303</v>
      </c>
      <c r="B796" t="s">
        <v>6309</v>
      </c>
      <c r="C796">
        <v>1</v>
      </c>
      <c r="D796" t="e">
        <v>#N/A</v>
      </c>
      <c r="E796" t="e">
        <v>#N/A</v>
      </c>
      <c r="F796" t="s">
        <v>6310</v>
      </c>
      <c r="G796" t="s">
        <v>6311</v>
      </c>
      <c r="H796" t="s">
        <v>4135</v>
      </c>
    </row>
    <row r="797" spans="1:8" x14ac:dyDescent="0.3">
      <c r="A797" t="s">
        <v>6260</v>
      </c>
      <c r="B797" t="s">
        <v>6274</v>
      </c>
      <c r="C797">
        <v>1</v>
      </c>
      <c r="D797" t="e">
        <v>#N/A</v>
      </c>
      <c r="E797" t="e">
        <v>#N/A</v>
      </c>
      <c r="F797" t="s">
        <v>6275</v>
      </c>
      <c r="G797" t="s">
        <v>6276</v>
      </c>
      <c r="H797" t="s">
        <v>2633</v>
      </c>
    </row>
    <row r="798" spans="1:8" x14ac:dyDescent="0.3">
      <c r="A798" t="s">
        <v>6303</v>
      </c>
      <c r="B798" t="s">
        <v>6304</v>
      </c>
      <c r="C798">
        <v>1</v>
      </c>
      <c r="D798" t="e">
        <v>#N/A</v>
      </c>
      <c r="E798" t="e">
        <v>#N/A</v>
      </c>
      <c r="F798" t="s">
        <v>6305</v>
      </c>
      <c r="G798" t="s">
        <v>6306</v>
      </c>
      <c r="H798" t="s">
        <v>6307</v>
      </c>
    </row>
    <row r="799" spans="1:8" x14ac:dyDescent="0.3">
      <c r="A799" t="s">
        <v>6303</v>
      </c>
      <c r="B799" t="s">
        <v>6334</v>
      </c>
      <c r="C799">
        <v>4500094</v>
      </c>
      <c r="D799" t="s">
        <v>5322</v>
      </c>
      <c r="E799" t="s">
        <v>2842</v>
      </c>
      <c r="F799" t="s">
        <v>6335</v>
      </c>
      <c r="G799" t="s">
        <v>3097</v>
      </c>
      <c r="H799" t="s">
        <v>4088</v>
      </c>
    </row>
    <row r="800" spans="1:8" x14ac:dyDescent="0.3">
      <c r="A800">
        <v>-4500105</v>
      </c>
      <c r="B800" t="s">
        <v>5309</v>
      </c>
      <c r="C800">
        <v>4500105</v>
      </c>
      <c r="D800" t="s">
        <v>5310</v>
      </c>
      <c r="E800" t="s">
        <v>4705</v>
      </c>
      <c r="F800" t="s">
        <v>6896</v>
      </c>
      <c r="G800" t="s">
        <v>4356</v>
      </c>
      <c r="H800" t="s">
        <v>6595</v>
      </c>
    </row>
    <row r="801" spans="1:8" x14ac:dyDescent="0.3">
      <c r="A801">
        <v>-4500203</v>
      </c>
      <c r="B801" t="s">
        <v>5224</v>
      </c>
      <c r="C801">
        <v>4500203</v>
      </c>
      <c r="D801" t="s">
        <v>5225</v>
      </c>
      <c r="E801" t="s">
        <v>2948</v>
      </c>
      <c r="F801" t="s">
        <v>6709</v>
      </c>
      <c r="G801" t="s">
        <v>6710</v>
      </c>
      <c r="H801" t="s">
        <v>6711</v>
      </c>
    </row>
    <row r="802" spans="1:8" x14ac:dyDescent="0.3">
      <c r="A802">
        <v>-4499885</v>
      </c>
      <c r="B802" t="s">
        <v>5531</v>
      </c>
      <c r="C802">
        <v>4499885</v>
      </c>
      <c r="D802" t="s">
        <v>3114</v>
      </c>
      <c r="E802" t="s">
        <v>4120</v>
      </c>
      <c r="F802" t="s">
        <v>5532</v>
      </c>
      <c r="G802" t="s">
        <v>5533</v>
      </c>
      <c r="H802" t="s">
        <v>4112</v>
      </c>
    </row>
    <row r="803" spans="1:8" x14ac:dyDescent="0.3">
      <c r="A803">
        <v>-4501642</v>
      </c>
      <c r="B803" t="s">
        <v>3542</v>
      </c>
      <c r="C803">
        <v>4501642</v>
      </c>
      <c r="D803" t="s">
        <v>3543</v>
      </c>
      <c r="E803" t="s">
        <v>3544</v>
      </c>
      <c r="F803" t="s">
        <v>3526</v>
      </c>
      <c r="G803" t="s">
        <v>3527</v>
      </c>
      <c r="H803" t="s">
        <v>3528</v>
      </c>
    </row>
    <row r="804" spans="1:8" x14ac:dyDescent="0.3">
      <c r="A804">
        <v>-4501221</v>
      </c>
      <c r="B804" t="s">
        <v>4158</v>
      </c>
      <c r="C804">
        <v>4501221</v>
      </c>
      <c r="D804" t="s">
        <v>2747</v>
      </c>
      <c r="E804" t="s">
        <v>2842</v>
      </c>
      <c r="F804" t="s">
        <v>6485</v>
      </c>
      <c r="G804" t="s">
        <v>6486</v>
      </c>
      <c r="H804" t="s">
        <v>2845</v>
      </c>
    </row>
    <row r="805" spans="1:8" x14ac:dyDescent="0.3">
      <c r="A805" t="s">
        <v>6105</v>
      </c>
      <c r="B805" t="s">
        <v>6106</v>
      </c>
      <c r="C805">
        <v>4500315</v>
      </c>
      <c r="D805" t="s">
        <v>6107</v>
      </c>
      <c r="E805" t="s">
        <v>5140</v>
      </c>
      <c r="F805" t="s">
        <v>6108</v>
      </c>
      <c r="G805" t="s">
        <v>6109</v>
      </c>
      <c r="H805" t="s">
        <v>3450</v>
      </c>
    </row>
    <row r="806" spans="1:8" x14ac:dyDescent="0.3">
      <c r="A806">
        <v>-4500901</v>
      </c>
      <c r="B806" t="s">
        <v>4594</v>
      </c>
      <c r="C806">
        <v>4500901</v>
      </c>
      <c r="D806" t="s">
        <v>4595</v>
      </c>
      <c r="E806" t="s">
        <v>4100</v>
      </c>
      <c r="F806" t="s">
        <v>4596</v>
      </c>
      <c r="G806" t="s">
        <v>4597</v>
      </c>
      <c r="H806" t="s">
        <v>4598</v>
      </c>
    </row>
    <row r="807" spans="1:8" x14ac:dyDescent="0.3">
      <c r="A807">
        <v>-4499917</v>
      </c>
      <c r="B807" t="s">
        <v>5495</v>
      </c>
      <c r="C807">
        <v>4499917</v>
      </c>
      <c r="D807" t="s">
        <v>5496</v>
      </c>
      <c r="E807" t="s">
        <v>3544</v>
      </c>
      <c r="F807" t="s">
        <v>5497</v>
      </c>
      <c r="G807" t="s">
        <v>5498</v>
      </c>
      <c r="H807" t="s">
        <v>2613</v>
      </c>
    </row>
    <row r="808" spans="1:8" x14ac:dyDescent="0.3">
      <c r="A808">
        <v>-4501518</v>
      </c>
      <c r="B808" t="s">
        <v>3766</v>
      </c>
      <c r="C808">
        <v>4501518</v>
      </c>
      <c r="D808" t="s">
        <v>3469</v>
      </c>
      <c r="E808" t="s">
        <v>3765</v>
      </c>
      <c r="F808" t="s">
        <v>3767</v>
      </c>
      <c r="G808" t="s">
        <v>3768</v>
      </c>
      <c r="H808" t="s">
        <v>3769</v>
      </c>
    </row>
    <row r="809" spans="1:8" x14ac:dyDescent="0.3">
      <c r="A809">
        <v>-4501492</v>
      </c>
      <c r="B809" t="s">
        <v>3812</v>
      </c>
      <c r="C809">
        <v>4501492</v>
      </c>
      <c r="D809" t="s">
        <v>3810</v>
      </c>
      <c r="E809" t="s">
        <v>3811</v>
      </c>
      <c r="F809" t="s">
        <v>3813</v>
      </c>
      <c r="G809" t="s">
        <v>3814</v>
      </c>
      <c r="H809" t="s">
        <v>3815</v>
      </c>
    </row>
    <row r="810" spans="1:8" x14ac:dyDescent="0.3">
      <c r="A810">
        <v>-4499489</v>
      </c>
      <c r="B810" t="s">
        <v>5950</v>
      </c>
      <c r="C810">
        <v>4499489</v>
      </c>
      <c r="D810" t="s">
        <v>5951</v>
      </c>
      <c r="E810" t="s">
        <v>4354</v>
      </c>
      <c r="F810" t="s">
        <v>5952</v>
      </c>
      <c r="G810" t="s">
        <v>97</v>
      </c>
      <c r="H810" t="e">
        <v>#N/A</v>
      </c>
    </row>
    <row r="811" spans="1:8" x14ac:dyDescent="0.3">
      <c r="A811">
        <v>-4500378</v>
      </c>
      <c r="B811" t="s">
        <v>5072</v>
      </c>
      <c r="C811">
        <v>4500378</v>
      </c>
      <c r="D811" t="s">
        <v>5071</v>
      </c>
      <c r="E811" t="s">
        <v>4781</v>
      </c>
      <c r="F811" t="s">
        <v>5073</v>
      </c>
      <c r="G811" t="s">
        <v>5074</v>
      </c>
      <c r="H811" t="s">
        <v>2769</v>
      </c>
    </row>
    <row r="812" spans="1:8" x14ac:dyDescent="0.3">
      <c r="A812">
        <v>-4500477</v>
      </c>
      <c r="B812" t="s">
        <v>4990</v>
      </c>
      <c r="C812">
        <v>4500477</v>
      </c>
      <c r="D812" t="s">
        <v>4991</v>
      </c>
      <c r="E812" t="s">
        <v>2662</v>
      </c>
      <c r="F812" t="s">
        <v>4992</v>
      </c>
      <c r="G812" t="s">
        <v>4993</v>
      </c>
      <c r="H812" t="s">
        <v>4994</v>
      </c>
    </row>
    <row r="813" spans="1:8" x14ac:dyDescent="0.3">
      <c r="A813">
        <v>-4500850</v>
      </c>
      <c r="B813" t="s">
        <v>4655</v>
      </c>
      <c r="C813">
        <v>4500850</v>
      </c>
      <c r="D813" t="s">
        <v>3605</v>
      </c>
      <c r="E813" t="s">
        <v>3162</v>
      </c>
      <c r="F813" t="s">
        <v>4656</v>
      </c>
      <c r="G813" t="s">
        <v>4657</v>
      </c>
      <c r="H813" t="s">
        <v>4658</v>
      </c>
    </row>
    <row r="814" spans="1:8" x14ac:dyDescent="0.3">
      <c r="A814">
        <v>-4500313</v>
      </c>
      <c r="B814" t="s">
        <v>5123</v>
      </c>
      <c r="C814">
        <v>4500313</v>
      </c>
      <c r="D814" t="s">
        <v>5124</v>
      </c>
      <c r="E814" t="s">
        <v>3453</v>
      </c>
      <c r="F814" t="s">
        <v>5125</v>
      </c>
      <c r="G814" t="s">
        <v>5126</v>
      </c>
      <c r="H814" t="s">
        <v>5127</v>
      </c>
    </row>
    <row r="815" spans="1:8" x14ac:dyDescent="0.3">
      <c r="A815">
        <v>-4501208</v>
      </c>
      <c r="B815" t="s">
        <v>4181</v>
      </c>
      <c r="C815">
        <v>4501208</v>
      </c>
      <c r="D815" t="s">
        <v>4182</v>
      </c>
      <c r="E815" t="s">
        <v>4085</v>
      </c>
      <c r="F815" t="s">
        <v>4183</v>
      </c>
      <c r="G815" t="s">
        <v>4184</v>
      </c>
      <c r="H815" t="s">
        <v>4185</v>
      </c>
    </row>
    <row r="816" spans="1:8" x14ac:dyDescent="0.3">
      <c r="A816">
        <v>-4499380</v>
      </c>
      <c r="B816" t="s">
        <v>5959</v>
      </c>
      <c r="C816">
        <v>1</v>
      </c>
      <c r="D816" t="e">
        <v>#N/A</v>
      </c>
      <c r="E816" t="e">
        <v>#N/A</v>
      </c>
      <c r="F816" t="s">
        <v>5960</v>
      </c>
      <c r="G816" t="s">
        <v>5961</v>
      </c>
      <c r="H816" t="s">
        <v>5962</v>
      </c>
    </row>
    <row r="817" spans="1:8" x14ac:dyDescent="0.3">
      <c r="A817" t="s">
        <v>6243</v>
      </c>
      <c r="B817" t="s">
        <v>6244</v>
      </c>
      <c r="C817" t="e">
        <v>#VALUE!</v>
      </c>
      <c r="D817" t="e">
        <v>#VALUE!</v>
      </c>
      <c r="E817" t="e">
        <v>#VALUE!</v>
      </c>
      <c r="F817" t="s">
        <v>6245</v>
      </c>
      <c r="G817" t="s">
        <v>6246</v>
      </c>
      <c r="H817" t="s">
        <v>6247</v>
      </c>
    </row>
    <row r="818" spans="1:8" x14ac:dyDescent="0.3">
      <c r="A818">
        <v>-4501025</v>
      </c>
      <c r="B818" t="s">
        <v>4423</v>
      </c>
      <c r="C818">
        <v>4501025</v>
      </c>
      <c r="D818" t="s">
        <v>4422</v>
      </c>
      <c r="E818" t="s">
        <v>4373</v>
      </c>
      <c r="F818" t="s">
        <v>6518</v>
      </c>
      <c r="G818" t="s">
        <v>6519</v>
      </c>
      <c r="H818" t="s">
        <v>4380</v>
      </c>
    </row>
    <row r="819" spans="1:8" x14ac:dyDescent="0.3">
      <c r="A819">
        <v>-4500296</v>
      </c>
      <c r="B819" t="s">
        <v>5142</v>
      </c>
      <c r="C819">
        <v>4500296</v>
      </c>
      <c r="D819" t="s">
        <v>5141</v>
      </c>
      <c r="E819" t="s">
        <v>3131</v>
      </c>
      <c r="F819" t="s">
        <v>6696</v>
      </c>
      <c r="G819" t="s">
        <v>6697</v>
      </c>
      <c r="H819" t="s">
        <v>6698</v>
      </c>
    </row>
    <row r="820" spans="1:8" x14ac:dyDescent="0.3">
      <c r="A820">
        <v>-4499369</v>
      </c>
      <c r="B820" t="s">
        <v>5987</v>
      </c>
      <c r="C820">
        <v>4499369</v>
      </c>
      <c r="D820" t="s">
        <v>5725</v>
      </c>
      <c r="E820" t="s">
        <v>5400</v>
      </c>
      <c r="F820">
        <v>1</v>
      </c>
      <c r="G820" t="s">
        <v>97</v>
      </c>
      <c r="H820" t="e">
        <v>#N/A</v>
      </c>
    </row>
    <row r="821" spans="1:8" x14ac:dyDescent="0.3">
      <c r="A821" t="s">
        <v>6132</v>
      </c>
      <c r="B821" t="s">
        <v>6133</v>
      </c>
      <c r="C821">
        <v>4500540</v>
      </c>
      <c r="D821" t="s">
        <v>3002</v>
      </c>
      <c r="E821" t="s">
        <v>3156</v>
      </c>
      <c r="F821" t="s">
        <v>6134</v>
      </c>
      <c r="G821" t="s">
        <v>6135</v>
      </c>
      <c r="H821" t="s">
        <v>6136</v>
      </c>
    </row>
    <row r="822" spans="1:8" x14ac:dyDescent="0.3">
      <c r="A822">
        <v>-4500502</v>
      </c>
      <c r="B822" t="s">
        <v>4971</v>
      </c>
      <c r="C822">
        <v>4500502</v>
      </c>
      <c r="D822" t="s">
        <v>4972</v>
      </c>
      <c r="E822" t="s">
        <v>3453</v>
      </c>
      <c r="F822" t="s">
        <v>4973</v>
      </c>
      <c r="G822" t="s">
        <v>4974</v>
      </c>
      <c r="H822" t="s">
        <v>3456</v>
      </c>
    </row>
    <row r="823" spans="1:8" x14ac:dyDescent="0.3">
      <c r="A823">
        <v>-4501557</v>
      </c>
      <c r="B823" t="s">
        <v>3691</v>
      </c>
      <c r="C823">
        <v>4501557</v>
      </c>
      <c r="D823" t="s">
        <v>3692</v>
      </c>
      <c r="E823" t="s">
        <v>3673</v>
      </c>
      <c r="F823" t="s">
        <v>3693</v>
      </c>
      <c r="G823" t="s">
        <v>3694</v>
      </c>
      <c r="H823" t="s">
        <v>3250</v>
      </c>
    </row>
    <row r="824" spans="1:8" x14ac:dyDescent="0.3">
      <c r="A824">
        <v>-4501338</v>
      </c>
      <c r="B824" t="s">
        <v>3987</v>
      </c>
      <c r="C824">
        <v>4501338</v>
      </c>
      <c r="D824" t="s">
        <v>3988</v>
      </c>
      <c r="E824" t="s">
        <v>3151</v>
      </c>
      <c r="F824" t="s">
        <v>6462</v>
      </c>
      <c r="G824" t="s">
        <v>6463</v>
      </c>
      <c r="H824" t="s">
        <v>2803</v>
      </c>
    </row>
    <row r="825" spans="1:8" x14ac:dyDescent="0.3">
      <c r="A825" t="s">
        <v>6057</v>
      </c>
      <c r="B825" t="s">
        <v>6058</v>
      </c>
      <c r="C825">
        <v>4499740</v>
      </c>
      <c r="D825" t="s">
        <v>6059</v>
      </c>
      <c r="E825" t="s">
        <v>4756</v>
      </c>
      <c r="F825" t="s">
        <v>6060</v>
      </c>
      <c r="G825" t="s">
        <v>6061</v>
      </c>
      <c r="H825" t="s">
        <v>4016</v>
      </c>
    </row>
    <row r="826" spans="1:8" x14ac:dyDescent="0.3">
      <c r="A826">
        <v>-4500623</v>
      </c>
      <c r="B826" t="s">
        <v>4889</v>
      </c>
      <c r="C826">
        <v>4500623</v>
      </c>
      <c r="D826" t="s">
        <v>2961</v>
      </c>
      <c r="E826" t="s">
        <v>4206</v>
      </c>
      <c r="F826" t="s">
        <v>4890</v>
      </c>
      <c r="G826" t="s">
        <v>97</v>
      </c>
      <c r="H826" t="e">
        <v>#N/A</v>
      </c>
    </row>
    <row r="827" spans="1:8" x14ac:dyDescent="0.3">
      <c r="A827">
        <v>-4499586</v>
      </c>
      <c r="B827" t="s">
        <v>5807</v>
      </c>
      <c r="C827">
        <v>4499586</v>
      </c>
      <c r="D827" t="s">
        <v>5808</v>
      </c>
      <c r="E827" t="s">
        <v>4386</v>
      </c>
      <c r="F827" t="s">
        <v>5809</v>
      </c>
      <c r="G827" t="s">
        <v>5810</v>
      </c>
      <c r="H827" t="s">
        <v>5811</v>
      </c>
    </row>
    <row r="828" spans="1:8" x14ac:dyDescent="0.3">
      <c r="A828">
        <v>-4501833</v>
      </c>
      <c r="B828" t="s">
        <v>3154</v>
      </c>
      <c r="C828">
        <v>4501833</v>
      </c>
      <c r="D828" t="s">
        <v>3155</v>
      </c>
      <c r="E828" t="s">
        <v>3156</v>
      </c>
      <c r="F828" t="s">
        <v>3157</v>
      </c>
      <c r="G828" t="s">
        <v>3158</v>
      </c>
      <c r="H828" t="s">
        <v>3159</v>
      </c>
    </row>
    <row r="829" spans="1:8" x14ac:dyDescent="0.3">
      <c r="A829">
        <v>-4500558</v>
      </c>
      <c r="B829" t="s">
        <v>4938</v>
      </c>
      <c r="C829">
        <v>4500558</v>
      </c>
      <c r="D829" t="s">
        <v>4939</v>
      </c>
      <c r="E829" t="s">
        <v>4037</v>
      </c>
      <c r="F829" t="s">
        <v>6650</v>
      </c>
      <c r="G829" t="s">
        <v>6651</v>
      </c>
      <c r="H829" t="s">
        <v>6652</v>
      </c>
    </row>
    <row r="830" spans="1:8" x14ac:dyDescent="0.3">
      <c r="A830">
        <v>-4499676</v>
      </c>
      <c r="B830" t="s">
        <v>5712</v>
      </c>
      <c r="C830">
        <v>4499676</v>
      </c>
      <c r="D830" t="s">
        <v>5713</v>
      </c>
      <c r="E830" t="s">
        <v>3156</v>
      </c>
      <c r="F830" t="s">
        <v>6897</v>
      </c>
      <c r="G830" t="s">
        <v>6898</v>
      </c>
      <c r="H830" t="s">
        <v>4678</v>
      </c>
    </row>
    <row r="831" spans="1:8" x14ac:dyDescent="0.3">
      <c r="A831">
        <v>-4501862</v>
      </c>
      <c r="B831" t="s">
        <v>3108</v>
      </c>
      <c r="C831">
        <v>4501862</v>
      </c>
      <c r="D831" t="s">
        <v>3109</v>
      </c>
      <c r="E831" t="s">
        <v>3110</v>
      </c>
      <c r="F831" t="s">
        <v>3111</v>
      </c>
      <c r="G831" t="s">
        <v>3112</v>
      </c>
      <c r="H831" t="s">
        <v>2785</v>
      </c>
    </row>
    <row r="832" spans="1:8" x14ac:dyDescent="0.3">
      <c r="A832">
        <v>-4993993</v>
      </c>
      <c r="B832" t="s">
        <v>2752</v>
      </c>
      <c r="C832">
        <v>4993993</v>
      </c>
      <c r="D832" t="s">
        <v>2753</v>
      </c>
      <c r="E832" t="s">
        <v>2754</v>
      </c>
      <c r="F832" t="s">
        <v>2755</v>
      </c>
      <c r="G832" t="s">
        <v>2756</v>
      </c>
      <c r="H832" t="s">
        <v>2757</v>
      </c>
    </row>
    <row r="833" spans="1:8" x14ac:dyDescent="0.3">
      <c r="A833">
        <v>-4500504</v>
      </c>
      <c r="B833" t="s">
        <v>4968</v>
      </c>
      <c r="C833">
        <v>4500504</v>
      </c>
      <c r="D833" t="s">
        <v>4967</v>
      </c>
      <c r="E833" t="s">
        <v>2810</v>
      </c>
      <c r="F833" t="s">
        <v>6662</v>
      </c>
      <c r="G833" t="s">
        <v>6663</v>
      </c>
      <c r="H833" t="s">
        <v>6664</v>
      </c>
    </row>
    <row r="834" spans="1:8" x14ac:dyDescent="0.3">
      <c r="A834">
        <v>-4501474</v>
      </c>
      <c r="B834" t="s">
        <v>3847</v>
      </c>
      <c r="C834">
        <v>4501474</v>
      </c>
      <c r="D834" t="s">
        <v>3848</v>
      </c>
      <c r="E834" t="s">
        <v>3818</v>
      </c>
      <c r="F834" t="s">
        <v>6436</v>
      </c>
      <c r="G834" t="s">
        <v>6437</v>
      </c>
      <c r="H834" t="s">
        <v>6438</v>
      </c>
    </row>
    <row r="835" spans="1:8" x14ac:dyDescent="0.3">
      <c r="A835">
        <v>-4994119</v>
      </c>
      <c r="B835" t="s">
        <v>2634</v>
      </c>
      <c r="C835">
        <v>4994119</v>
      </c>
      <c r="D835" t="s">
        <v>2635</v>
      </c>
      <c r="E835" t="s">
        <v>2636</v>
      </c>
      <c r="F835" t="s">
        <v>2637</v>
      </c>
      <c r="G835" t="s">
        <v>2638</v>
      </c>
      <c r="H835" t="s">
        <v>2639</v>
      </c>
    </row>
    <row r="836" spans="1:8" x14ac:dyDescent="0.3">
      <c r="A836">
        <v>-4500255</v>
      </c>
      <c r="B836" t="s">
        <v>5182</v>
      </c>
      <c r="C836">
        <v>4500255</v>
      </c>
      <c r="D836" t="s">
        <v>5183</v>
      </c>
      <c r="E836" t="s">
        <v>3765</v>
      </c>
      <c r="F836" t="s">
        <v>5184</v>
      </c>
      <c r="G836" t="s">
        <v>5185</v>
      </c>
      <c r="H836" t="s">
        <v>5186</v>
      </c>
    </row>
    <row r="837" spans="1:8" x14ac:dyDescent="0.3">
      <c r="A837">
        <v>-4500919</v>
      </c>
      <c r="B837" t="s">
        <v>4571</v>
      </c>
      <c r="C837">
        <v>4500919</v>
      </c>
      <c r="D837" t="s">
        <v>4568</v>
      </c>
      <c r="E837" t="s">
        <v>4100</v>
      </c>
      <c r="F837" t="s">
        <v>6312</v>
      </c>
      <c r="G837" t="s">
        <v>6313</v>
      </c>
      <c r="H837" t="s">
        <v>2699</v>
      </c>
    </row>
    <row r="838" spans="1:8" x14ac:dyDescent="0.3">
      <c r="A838">
        <v>-4500065</v>
      </c>
      <c r="B838" t="s">
        <v>5347</v>
      </c>
      <c r="C838">
        <v>4500065</v>
      </c>
      <c r="D838" t="s">
        <v>5348</v>
      </c>
      <c r="E838" t="s">
        <v>3616</v>
      </c>
      <c r="F838" t="s">
        <v>5349</v>
      </c>
      <c r="G838" t="s">
        <v>97</v>
      </c>
      <c r="H838" t="e">
        <v>#N/A</v>
      </c>
    </row>
    <row r="839" spans="1:8" x14ac:dyDescent="0.3">
      <c r="A839" t="s">
        <v>6393</v>
      </c>
      <c r="B839" t="s">
        <v>6394</v>
      </c>
      <c r="C839" t="e">
        <v>#VALUE!</v>
      </c>
      <c r="D839" t="e">
        <v>#VALUE!</v>
      </c>
      <c r="E839" t="e">
        <v>#VALUE!</v>
      </c>
      <c r="F839" t="s">
        <v>6899</v>
      </c>
      <c r="G839" t="s">
        <v>6900</v>
      </c>
      <c r="H839" t="s">
        <v>2633</v>
      </c>
    </row>
    <row r="840" spans="1:8" x14ac:dyDescent="0.3">
      <c r="A840">
        <v>-4500400</v>
      </c>
      <c r="B840" t="s">
        <v>5058</v>
      </c>
      <c r="C840">
        <v>4500400</v>
      </c>
      <c r="D840" t="s">
        <v>5059</v>
      </c>
      <c r="E840" t="s">
        <v>4091</v>
      </c>
      <c r="F840" t="s">
        <v>6671</v>
      </c>
      <c r="G840" t="s">
        <v>6672</v>
      </c>
      <c r="H840" t="s">
        <v>6673</v>
      </c>
    </row>
    <row r="841" spans="1:8" x14ac:dyDescent="0.3">
      <c r="A841">
        <v>-4499656</v>
      </c>
      <c r="B841" t="s">
        <v>5739</v>
      </c>
      <c r="C841">
        <v>4499656</v>
      </c>
      <c r="D841" t="s">
        <v>5580</v>
      </c>
      <c r="E841" t="s">
        <v>4091</v>
      </c>
      <c r="F841" t="s">
        <v>6671</v>
      </c>
      <c r="G841" t="s">
        <v>6672</v>
      </c>
      <c r="H841" t="s">
        <v>6673</v>
      </c>
    </row>
    <row r="842" spans="1:8" x14ac:dyDescent="0.3">
      <c r="A842">
        <v>-4501211</v>
      </c>
      <c r="B842" t="s">
        <v>4177</v>
      </c>
      <c r="C842">
        <v>4501211</v>
      </c>
      <c r="D842" t="s">
        <v>3750</v>
      </c>
      <c r="E842" t="s">
        <v>2842</v>
      </c>
      <c r="F842" t="s">
        <v>4178</v>
      </c>
      <c r="G842" t="s">
        <v>4179</v>
      </c>
      <c r="H842" t="s">
        <v>4180</v>
      </c>
    </row>
    <row r="843" spans="1:8" x14ac:dyDescent="0.3">
      <c r="A843" t="s">
        <v>6178</v>
      </c>
      <c r="B843" t="s">
        <v>6179</v>
      </c>
      <c r="C843">
        <v>4501214</v>
      </c>
      <c r="D843" t="s">
        <v>3433</v>
      </c>
      <c r="E843" t="s">
        <v>2842</v>
      </c>
      <c r="F843">
        <v>1</v>
      </c>
      <c r="G843" t="s">
        <v>97</v>
      </c>
      <c r="H843" t="e">
        <v>#N/A</v>
      </c>
    </row>
    <row r="844" spans="1:8" x14ac:dyDescent="0.3">
      <c r="A844" t="s">
        <v>6206</v>
      </c>
      <c r="B844" t="s">
        <v>6207</v>
      </c>
      <c r="C844">
        <v>4501817</v>
      </c>
      <c r="D844" t="s">
        <v>4984</v>
      </c>
      <c r="E844" t="s">
        <v>4937</v>
      </c>
      <c r="F844" t="s">
        <v>6208</v>
      </c>
      <c r="G844" t="s">
        <v>6209</v>
      </c>
      <c r="H844" t="s">
        <v>6210</v>
      </c>
    </row>
    <row r="845" spans="1:8" x14ac:dyDescent="0.3">
      <c r="A845">
        <v>-4501527</v>
      </c>
      <c r="B845" t="s">
        <v>3749</v>
      </c>
      <c r="C845">
        <v>4501527</v>
      </c>
      <c r="D845" t="s">
        <v>3750</v>
      </c>
      <c r="E845" t="s">
        <v>3006</v>
      </c>
      <c r="F845" t="s">
        <v>3751</v>
      </c>
      <c r="G845" t="s">
        <v>3752</v>
      </c>
      <c r="H845" t="s">
        <v>3753</v>
      </c>
    </row>
    <row r="846" spans="1:8" x14ac:dyDescent="0.3">
      <c r="A846">
        <v>-4757663</v>
      </c>
      <c r="B846" t="s">
        <v>2840</v>
      </c>
      <c r="C846">
        <v>4757663</v>
      </c>
      <c r="D846" t="s">
        <v>2841</v>
      </c>
      <c r="E846" t="s">
        <v>2842</v>
      </c>
      <c r="F846" t="s">
        <v>2843</v>
      </c>
      <c r="G846" t="s">
        <v>2844</v>
      </c>
      <c r="H846" t="s">
        <v>2845</v>
      </c>
    </row>
    <row r="847" spans="1:8" x14ac:dyDescent="0.3">
      <c r="A847">
        <v>-4501752</v>
      </c>
      <c r="B847" t="s">
        <v>3323</v>
      </c>
      <c r="C847">
        <v>4501752</v>
      </c>
      <c r="D847" t="s">
        <v>3324</v>
      </c>
      <c r="E847" t="s">
        <v>3325</v>
      </c>
      <c r="F847" t="s">
        <v>3326</v>
      </c>
      <c r="G847" t="s">
        <v>3327</v>
      </c>
      <c r="H847" t="s">
        <v>2645</v>
      </c>
    </row>
    <row r="848" spans="1:8" x14ac:dyDescent="0.3">
      <c r="A848">
        <v>-4500837</v>
      </c>
      <c r="B848" t="s">
        <v>4671</v>
      </c>
      <c r="C848">
        <v>4500837</v>
      </c>
      <c r="D848" t="s">
        <v>2809</v>
      </c>
      <c r="E848" t="s">
        <v>4669</v>
      </c>
      <c r="F848" t="s">
        <v>4672</v>
      </c>
      <c r="G848" t="s">
        <v>4673</v>
      </c>
      <c r="H848" t="s">
        <v>4674</v>
      </c>
    </row>
    <row r="849" spans="1:8" x14ac:dyDescent="0.3">
      <c r="A849">
        <v>-4499874</v>
      </c>
      <c r="B849" t="s">
        <v>5542</v>
      </c>
      <c r="C849">
        <v>4499874</v>
      </c>
      <c r="D849" t="s">
        <v>2809</v>
      </c>
      <c r="E849" t="s">
        <v>4037</v>
      </c>
      <c r="F849" t="s">
        <v>4672</v>
      </c>
      <c r="G849" t="s">
        <v>4673</v>
      </c>
      <c r="H849" t="s">
        <v>4674</v>
      </c>
    </row>
    <row r="850" spans="1:8" x14ac:dyDescent="0.3">
      <c r="A850" t="s">
        <v>6230</v>
      </c>
      <c r="B850" t="s">
        <v>6231</v>
      </c>
      <c r="C850" t="e">
        <v>#VALUE!</v>
      </c>
      <c r="D850" t="e">
        <v>#VALUE!</v>
      </c>
      <c r="E850" t="e">
        <v>#VALUE!</v>
      </c>
      <c r="F850" t="s">
        <v>6232</v>
      </c>
      <c r="G850" t="s">
        <v>6233</v>
      </c>
      <c r="H850" t="s">
        <v>6234</v>
      </c>
    </row>
    <row r="851" spans="1:8" x14ac:dyDescent="0.3">
      <c r="A851">
        <v>-4499560</v>
      </c>
      <c r="B851" t="s">
        <v>5842</v>
      </c>
      <c r="C851">
        <v>4499560</v>
      </c>
      <c r="D851" t="s">
        <v>5843</v>
      </c>
      <c r="E851" t="s">
        <v>4529</v>
      </c>
      <c r="F851" t="s">
        <v>5844</v>
      </c>
      <c r="G851" t="s">
        <v>5845</v>
      </c>
      <c r="H851" t="s">
        <v>5846</v>
      </c>
    </row>
    <row r="852" spans="1:8" x14ac:dyDescent="0.3">
      <c r="A852">
        <v>-4500072</v>
      </c>
      <c r="B852" t="s">
        <v>5341</v>
      </c>
      <c r="C852">
        <v>4500072</v>
      </c>
      <c r="D852" t="s">
        <v>5342</v>
      </c>
      <c r="E852" t="s">
        <v>3544</v>
      </c>
      <c r="F852" t="s">
        <v>6726</v>
      </c>
      <c r="G852" t="s">
        <v>6727</v>
      </c>
      <c r="H852" t="s">
        <v>3565</v>
      </c>
    </row>
    <row r="853" spans="1:8" x14ac:dyDescent="0.3">
      <c r="A853">
        <v>-4499848</v>
      </c>
      <c r="B853" t="s">
        <v>5560</v>
      </c>
      <c r="C853">
        <v>4499848</v>
      </c>
      <c r="D853" t="s">
        <v>4667</v>
      </c>
      <c r="E853" t="s">
        <v>3811</v>
      </c>
      <c r="F853" t="s">
        <v>6759</v>
      </c>
      <c r="G853" t="s">
        <v>6760</v>
      </c>
      <c r="H853" t="s">
        <v>3250</v>
      </c>
    </row>
    <row r="854" spans="1:8" x14ac:dyDescent="0.3">
      <c r="A854">
        <v>-4500498</v>
      </c>
      <c r="B854" t="s">
        <v>4976</v>
      </c>
      <c r="C854">
        <v>4500498</v>
      </c>
      <c r="D854" t="s">
        <v>4975</v>
      </c>
      <c r="E854" t="s">
        <v>3535</v>
      </c>
      <c r="F854" t="s">
        <v>4977</v>
      </c>
      <c r="G854" t="s">
        <v>4978</v>
      </c>
      <c r="H854" t="s">
        <v>2613</v>
      </c>
    </row>
    <row r="855" spans="1:8" x14ac:dyDescent="0.3">
      <c r="A855">
        <v>-4501714</v>
      </c>
      <c r="B855" t="s">
        <v>3410</v>
      </c>
      <c r="C855">
        <v>4501714</v>
      </c>
      <c r="D855" t="s">
        <v>3411</v>
      </c>
      <c r="E855" t="s">
        <v>2906</v>
      </c>
      <c r="F855" t="s">
        <v>3412</v>
      </c>
      <c r="G855" t="s">
        <v>3413</v>
      </c>
      <c r="H855" t="s">
        <v>3375</v>
      </c>
    </row>
    <row r="856" spans="1:8" x14ac:dyDescent="0.3">
      <c r="A856">
        <v>-4500149</v>
      </c>
      <c r="B856" t="s">
        <v>5265</v>
      </c>
      <c r="C856">
        <v>4500149</v>
      </c>
      <c r="D856" t="s">
        <v>5266</v>
      </c>
      <c r="E856" t="s">
        <v>2979</v>
      </c>
      <c r="F856" t="s">
        <v>5267</v>
      </c>
      <c r="G856" t="s">
        <v>5268</v>
      </c>
      <c r="H856" t="s">
        <v>4074</v>
      </c>
    </row>
    <row r="857" spans="1:8" x14ac:dyDescent="0.3">
      <c r="A857">
        <v>-4994128</v>
      </c>
      <c r="B857" t="s">
        <v>2614</v>
      </c>
      <c r="C857">
        <v>4994128</v>
      </c>
      <c r="D857" t="s">
        <v>2615</v>
      </c>
      <c r="E857" t="s">
        <v>2616</v>
      </c>
      <c r="F857" t="s">
        <v>2617</v>
      </c>
      <c r="G857" t="s">
        <v>2618</v>
      </c>
      <c r="H857" t="s">
        <v>2607</v>
      </c>
    </row>
    <row r="858" spans="1:8" x14ac:dyDescent="0.3">
      <c r="A858">
        <v>-4501262</v>
      </c>
      <c r="B858" t="s">
        <v>4107</v>
      </c>
      <c r="C858">
        <v>4501262</v>
      </c>
      <c r="D858" t="s">
        <v>4108</v>
      </c>
      <c r="E858" t="s">
        <v>4109</v>
      </c>
      <c r="F858" t="s">
        <v>4110</v>
      </c>
      <c r="G858" t="s">
        <v>4111</v>
      </c>
      <c r="H858" t="s">
        <v>4112</v>
      </c>
    </row>
    <row r="859" spans="1:8" x14ac:dyDescent="0.3">
      <c r="A859">
        <v>-4501125</v>
      </c>
      <c r="B859" t="s">
        <v>4269</v>
      </c>
      <c r="C859">
        <v>4501125</v>
      </c>
      <c r="D859" t="s">
        <v>4268</v>
      </c>
      <c r="E859" t="s">
        <v>4267</v>
      </c>
      <c r="F859" t="s">
        <v>6509</v>
      </c>
      <c r="G859" t="s">
        <v>6510</v>
      </c>
      <c r="H859" t="s">
        <v>5389</v>
      </c>
    </row>
    <row r="860" spans="1:8" x14ac:dyDescent="0.3">
      <c r="A860">
        <v>-4500991</v>
      </c>
      <c r="B860" t="s">
        <v>4476</v>
      </c>
      <c r="C860">
        <v>4500991</v>
      </c>
      <c r="D860" t="s">
        <v>4477</v>
      </c>
      <c r="E860" t="s">
        <v>4462</v>
      </c>
      <c r="F860" t="s">
        <v>4478</v>
      </c>
      <c r="G860" t="s">
        <v>4479</v>
      </c>
      <c r="H860" t="s">
        <v>4480</v>
      </c>
    </row>
    <row r="861" spans="1:8" x14ac:dyDescent="0.3">
      <c r="A861">
        <v>-4499895</v>
      </c>
      <c r="B861" t="s">
        <v>5520</v>
      </c>
      <c r="C861">
        <v>1</v>
      </c>
      <c r="D861" t="e">
        <v>#N/A</v>
      </c>
      <c r="E861" t="e">
        <v>#N/A</v>
      </c>
      <c r="F861" t="s">
        <v>5521</v>
      </c>
      <c r="G861" t="s">
        <v>97</v>
      </c>
      <c r="H861" t="e">
        <v>#N/A</v>
      </c>
    </row>
    <row r="862" spans="1:8" x14ac:dyDescent="0.3">
      <c r="A862" t="s">
        <v>6019</v>
      </c>
      <c r="B862" t="s">
        <v>6020</v>
      </c>
      <c r="C862" t="s">
        <v>6021</v>
      </c>
      <c r="D862" t="e">
        <v>#N/A</v>
      </c>
      <c r="E862" t="e">
        <v>#N/A</v>
      </c>
      <c r="F862" t="s">
        <v>6022</v>
      </c>
      <c r="G862" t="s">
        <v>6023</v>
      </c>
      <c r="H862" t="s">
        <v>6024</v>
      </c>
    </row>
    <row r="863" spans="1:8" x14ac:dyDescent="0.3">
      <c r="A863">
        <v>-4501931</v>
      </c>
      <c r="B863" t="s">
        <v>2987</v>
      </c>
      <c r="C863">
        <v>4501931</v>
      </c>
      <c r="D863" t="s">
        <v>2988</v>
      </c>
      <c r="E863" t="s">
        <v>2989</v>
      </c>
      <c r="F863" t="s">
        <v>2990</v>
      </c>
      <c r="G863" t="s">
        <v>2991</v>
      </c>
      <c r="H863" t="s">
        <v>2992</v>
      </c>
    </row>
    <row r="864" spans="1:8" x14ac:dyDescent="0.3">
      <c r="A864">
        <v>-4501520</v>
      </c>
      <c r="B864" t="s">
        <v>3764</v>
      </c>
      <c r="C864">
        <v>4501520</v>
      </c>
      <c r="D864" t="s">
        <v>3220</v>
      </c>
      <c r="E864" t="s">
        <v>3765</v>
      </c>
      <c r="F864" t="s">
        <v>6901</v>
      </c>
      <c r="G864" t="s">
        <v>6902</v>
      </c>
      <c r="H864" t="s">
        <v>2633</v>
      </c>
    </row>
    <row r="865" spans="1:9" x14ac:dyDescent="0.3">
      <c r="A865" t="s">
        <v>6429</v>
      </c>
      <c r="B865" t="s">
        <v>6430</v>
      </c>
      <c r="C865">
        <v>4501063</v>
      </c>
      <c r="D865" t="s">
        <v>6903</v>
      </c>
      <c r="E865" t="s">
        <v>4361</v>
      </c>
      <c r="F865" t="s">
        <v>6431</v>
      </c>
      <c r="G865" t="s">
        <v>6432</v>
      </c>
      <c r="H865" t="s">
        <v>4459</v>
      </c>
    </row>
    <row r="866" spans="1:9" x14ac:dyDescent="0.3">
      <c r="A866">
        <v>-4501748</v>
      </c>
      <c r="B866" t="s">
        <v>3341</v>
      </c>
      <c r="C866">
        <v>4501748</v>
      </c>
      <c r="D866" t="s">
        <v>3342</v>
      </c>
      <c r="E866" t="s">
        <v>3330</v>
      </c>
      <c r="F866">
        <v>1</v>
      </c>
      <c r="G866" t="s">
        <v>97</v>
      </c>
      <c r="H866" t="e">
        <v>#N/A</v>
      </c>
      <c r="I866" t="s">
        <v>3346</v>
      </c>
    </row>
    <row r="867" spans="1:9" x14ac:dyDescent="0.3">
      <c r="A867">
        <v>-4500084</v>
      </c>
      <c r="B867" t="s">
        <v>5330</v>
      </c>
      <c r="C867">
        <v>4500084</v>
      </c>
      <c r="D867" t="s">
        <v>5329</v>
      </c>
      <c r="E867" t="s">
        <v>3535</v>
      </c>
      <c r="F867" t="s">
        <v>3343</v>
      </c>
      <c r="G867" t="s">
        <v>3344</v>
      </c>
      <c r="H867" t="s">
        <v>3345</v>
      </c>
    </row>
    <row r="868" spans="1:9" x14ac:dyDescent="0.3">
      <c r="A868">
        <v>-4500902</v>
      </c>
      <c r="B868" t="s">
        <v>4592</v>
      </c>
      <c r="C868">
        <v>4500902</v>
      </c>
      <c r="D868" t="s">
        <v>4593</v>
      </c>
      <c r="E868" t="s">
        <v>4100</v>
      </c>
      <c r="F868" t="s">
        <v>6539</v>
      </c>
      <c r="G868" t="s">
        <v>6540</v>
      </c>
      <c r="H868" t="s">
        <v>6541</v>
      </c>
    </row>
    <row r="869" spans="1:9" x14ac:dyDescent="0.3">
      <c r="A869">
        <v>-4499699</v>
      </c>
      <c r="B869" t="s">
        <v>5681</v>
      </c>
      <c r="C869">
        <v>4499699</v>
      </c>
      <c r="D869" t="s">
        <v>5682</v>
      </c>
      <c r="E869" t="s">
        <v>3544</v>
      </c>
      <c r="F869" t="s">
        <v>5683</v>
      </c>
      <c r="G869" t="s">
        <v>5684</v>
      </c>
      <c r="H869" t="s">
        <v>2613</v>
      </c>
    </row>
    <row r="870" spans="1:9" x14ac:dyDescent="0.3">
      <c r="A870">
        <v>-4499744</v>
      </c>
      <c r="B870" t="s">
        <v>5649</v>
      </c>
      <c r="C870">
        <v>4499744</v>
      </c>
      <c r="D870" t="s">
        <v>5650</v>
      </c>
      <c r="E870" t="s">
        <v>4053</v>
      </c>
      <c r="F870" t="s">
        <v>5651</v>
      </c>
      <c r="G870" t="s">
        <v>5652</v>
      </c>
      <c r="H870" t="s">
        <v>2694</v>
      </c>
    </row>
    <row r="871" spans="1:9" x14ac:dyDescent="0.3">
      <c r="A871">
        <v>-4501772</v>
      </c>
      <c r="B871" t="s">
        <v>3275</v>
      </c>
      <c r="C871">
        <v>4501772</v>
      </c>
      <c r="D871" t="s">
        <v>3276</v>
      </c>
      <c r="E871" t="s">
        <v>3262</v>
      </c>
      <c r="F871" t="s">
        <v>3277</v>
      </c>
      <c r="G871" t="s">
        <v>3278</v>
      </c>
      <c r="H871" t="s">
        <v>3279</v>
      </c>
    </row>
    <row r="872" spans="1:9" x14ac:dyDescent="0.3">
      <c r="A872">
        <v>-4500394</v>
      </c>
      <c r="B872" t="s">
        <v>5064</v>
      </c>
      <c r="C872">
        <v>4500394</v>
      </c>
      <c r="D872" t="s">
        <v>5065</v>
      </c>
      <c r="E872" t="s">
        <v>4267</v>
      </c>
      <c r="F872" t="s">
        <v>6904</v>
      </c>
      <c r="G872" t="s">
        <v>6905</v>
      </c>
      <c r="H872" t="s">
        <v>5389</v>
      </c>
    </row>
    <row r="873" spans="1:9" x14ac:dyDescent="0.3">
      <c r="A873" t="s">
        <v>6260</v>
      </c>
      <c r="B873" t="s">
        <v>6281</v>
      </c>
      <c r="C873">
        <v>4501555</v>
      </c>
      <c r="D873" t="s">
        <v>3695</v>
      </c>
      <c r="E873" t="s">
        <v>3673</v>
      </c>
      <c r="F873" t="s">
        <v>6282</v>
      </c>
      <c r="G873" t="s">
        <v>6283</v>
      </c>
      <c r="H873" t="s">
        <v>2739</v>
      </c>
    </row>
    <row r="874" spans="1:9" x14ac:dyDescent="0.3">
      <c r="A874">
        <v>-4500703</v>
      </c>
      <c r="B874" t="s">
        <v>4810</v>
      </c>
      <c r="C874">
        <v>4500703</v>
      </c>
      <c r="D874" t="s">
        <v>4811</v>
      </c>
      <c r="E874" t="s">
        <v>4044</v>
      </c>
      <c r="F874" t="s">
        <v>4812</v>
      </c>
      <c r="G874" t="s">
        <v>4813</v>
      </c>
      <c r="H874" t="s">
        <v>4814</v>
      </c>
    </row>
    <row r="875" spans="1:9" x14ac:dyDescent="0.3">
      <c r="A875">
        <v>-4499884</v>
      </c>
      <c r="B875" t="s">
        <v>5534</v>
      </c>
      <c r="C875">
        <v>1</v>
      </c>
      <c r="D875" t="e">
        <v>#N/A</v>
      </c>
      <c r="E875" t="e">
        <v>#N/A</v>
      </c>
      <c r="F875" t="s">
        <v>5535</v>
      </c>
      <c r="G875" t="s">
        <v>5536</v>
      </c>
      <c r="H875" t="s">
        <v>5537</v>
      </c>
    </row>
    <row r="876" spans="1:9" x14ac:dyDescent="0.3">
      <c r="A876">
        <v>-4499781</v>
      </c>
      <c r="B876" t="s">
        <v>5619</v>
      </c>
      <c r="C876">
        <v>4499781</v>
      </c>
      <c r="D876" t="s">
        <v>5620</v>
      </c>
      <c r="E876" t="s">
        <v>4885</v>
      </c>
      <c r="F876" t="s">
        <v>5621</v>
      </c>
      <c r="G876" t="s">
        <v>97</v>
      </c>
      <c r="H876" t="e">
        <v>#N/A</v>
      </c>
    </row>
    <row r="877" spans="1:9" x14ac:dyDescent="0.3">
      <c r="A877">
        <v>-4500319</v>
      </c>
      <c r="B877" t="s">
        <v>5117</v>
      </c>
      <c r="C877">
        <v>4500319</v>
      </c>
      <c r="D877" t="s">
        <v>5118</v>
      </c>
      <c r="E877" t="s">
        <v>3131</v>
      </c>
      <c r="F877" t="s">
        <v>6682</v>
      </c>
      <c r="G877" t="s">
        <v>6683</v>
      </c>
      <c r="H877" t="s">
        <v>6684</v>
      </c>
    </row>
    <row r="878" spans="1:9" x14ac:dyDescent="0.3">
      <c r="A878">
        <v>-4500356</v>
      </c>
      <c r="B878" t="s">
        <v>5095</v>
      </c>
      <c r="C878">
        <v>4500356</v>
      </c>
      <c r="D878" t="s">
        <v>5096</v>
      </c>
      <c r="E878" t="s">
        <v>4441</v>
      </c>
      <c r="F878" t="s">
        <v>5097</v>
      </c>
      <c r="G878" t="s">
        <v>5098</v>
      </c>
      <c r="H878" t="s">
        <v>4056</v>
      </c>
    </row>
    <row r="879" spans="1:9" x14ac:dyDescent="0.3">
      <c r="A879">
        <v>-4500402</v>
      </c>
      <c r="B879" t="s">
        <v>5057</v>
      </c>
      <c r="C879">
        <v>4500402</v>
      </c>
      <c r="D879" t="s">
        <v>3546</v>
      </c>
      <c r="E879" t="s">
        <v>4091</v>
      </c>
      <c r="F879" t="s">
        <v>5587</v>
      </c>
      <c r="G879" t="s">
        <v>5588</v>
      </c>
      <c r="H879" t="s">
        <v>5589</v>
      </c>
    </row>
    <row r="880" spans="1:9" x14ac:dyDescent="0.3">
      <c r="A880">
        <v>-4501190</v>
      </c>
      <c r="B880" t="s">
        <v>4204</v>
      </c>
      <c r="C880">
        <v>4501190</v>
      </c>
      <c r="D880" t="s">
        <v>4205</v>
      </c>
      <c r="E880" t="s">
        <v>4206</v>
      </c>
      <c r="F880" t="s">
        <v>4207</v>
      </c>
      <c r="G880" t="s">
        <v>4208</v>
      </c>
      <c r="H880" t="s">
        <v>4203</v>
      </c>
    </row>
    <row r="881" spans="1:9" x14ac:dyDescent="0.3">
      <c r="A881">
        <v>-4499622</v>
      </c>
      <c r="B881" t="s">
        <v>5772</v>
      </c>
      <c r="C881">
        <v>4499622</v>
      </c>
      <c r="D881" t="s">
        <v>5773</v>
      </c>
      <c r="E881" t="s">
        <v>4698</v>
      </c>
      <c r="F881" t="s">
        <v>6369</v>
      </c>
      <c r="G881" t="s">
        <v>6370</v>
      </c>
      <c r="H881" t="s">
        <v>2769</v>
      </c>
    </row>
    <row r="882" spans="1:9" x14ac:dyDescent="0.3">
      <c r="A882">
        <v>-4500070</v>
      </c>
      <c r="B882" t="s">
        <v>5343</v>
      </c>
      <c r="C882">
        <v>4500070</v>
      </c>
      <c r="D882" t="s">
        <v>5344</v>
      </c>
      <c r="E882" t="s">
        <v>2586</v>
      </c>
      <c r="F882" t="s">
        <v>5345</v>
      </c>
      <c r="G882" t="s">
        <v>5346</v>
      </c>
      <c r="H882" t="s">
        <v>2589</v>
      </c>
    </row>
    <row r="883" spans="1:9" x14ac:dyDescent="0.3">
      <c r="A883">
        <v>-4499996</v>
      </c>
      <c r="B883" t="s">
        <v>5427</v>
      </c>
      <c r="C883">
        <v>4499996</v>
      </c>
      <c r="D883" t="s">
        <v>5428</v>
      </c>
      <c r="E883" t="s">
        <v>3131</v>
      </c>
      <c r="F883" t="s">
        <v>6730</v>
      </c>
      <c r="G883" t="s">
        <v>6731</v>
      </c>
      <c r="H883" t="s">
        <v>3960</v>
      </c>
    </row>
    <row r="884" spans="1:9" x14ac:dyDescent="0.3">
      <c r="A884">
        <v>-4500511</v>
      </c>
      <c r="B884" t="s">
        <v>4959</v>
      </c>
      <c r="C884">
        <v>4500511</v>
      </c>
      <c r="D884" t="s">
        <v>4960</v>
      </c>
      <c r="E884" t="s">
        <v>3991</v>
      </c>
      <c r="F884" t="s">
        <v>6653</v>
      </c>
      <c r="G884" t="s">
        <v>6654</v>
      </c>
      <c r="H884" t="s">
        <v>2779</v>
      </c>
    </row>
    <row r="885" spans="1:9" x14ac:dyDescent="0.3">
      <c r="A885">
        <v>-4994050</v>
      </c>
      <c r="B885" t="s">
        <v>2700</v>
      </c>
      <c r="C885">
        <v>4994050</v>
      </c>
      <c r="D885" t="s">
        <v>2701</v>
      </c>
      <c r="E885" t="s">
        <v>2702</v>
      </c>
      <c r="F885" t="s">
        <v>2703</v>
      </c>
      <c r="G885" t="s">
        <v>2704</v>
      </c>
      <c r="H885" t="s">
        <v>2705</v>
      </c>
    </row>
    <row r="886" spans="1:9" x14ac:dyDescent="0.3">
      <c r="A886">
        <v>-4500321</v>
      </c>
      <c r="B886" t="s">
        <v>5113</v>
      </c>
      <c r="C886">
        <v>4500321</v>
      </c>
      <c r="D886" t="s">
        <v>5114</v>
      </c>
      <c r="E886" t="s">
        <v>4082</v>
      </c>
      <c r="F886" t="s">
        <v>5115</v>
      </c>
      <c r="G886" t="s">
        <v>5116</v>
      </c>
      <c r="H886" t="s">
        <v>3025</v>
      </c>
    </row>
    <row r="887" spans="1:9" x14ac:dyDescent="0.3">
      <c r="A887">
        <v>-4501218</v>
      </c>
      <c r="B887" t="s">
        <v>4160</v>
      </c>
      <c r="C887">
        <v>4501218</v>
      </c>
      <c r="D887" t="s">
        <v>4161</v>
      </c>
      <c r="E887" t="s">
        <v>2842</v>
      </c>
      <c r="F887" t="s">
        <v>4162</v>
      </c>
      <c r="G887" t="s">
        <v>97</v>
      </c>
      <c r="H887" t="e">
        <v>#N/A</v>
      </c>
    </row>
    <row r="888" spans="1:9" x14ac:dyDescent="0.3">
      <c r="A888">
        <v>-4499492</v>
      </c>
      <c r="B888" t="s">
        <v>5943</v>
      </c>
      <c r="C888">
        <v>4499492</v>
      </c>
      <c r="D888" t="s">
        <v>5944</v>
      </c>
      <c r="E888" t="s">
        <v>4416</v>
      </c>
      <c r="F888" t="s">
        <v>4628</v>
      </c>
      <c r="G888" t="s">
        <v>4629</v>
      </c>
      <c r="H888" t="s">
        <v>4630</v>
      </c>
    </row>
    <row r="889" spans="1:9" x14ac:dyDescent="0.3">
      <c r="A889">
        <v>-4500436</v>
      </c>
      <c r="B889" t="s">
        <v>5030</v>
      </c>
      <c r="C889">
        <v>4500436</v>
      </c>
      <c r="D889" t="s">
        <v>5031</v>
      </c>
      <c r="E889" t="s">
        <v>3573</v>
      </c>
      <c r="F889" t="s">
        <v>5032</v>
      </c>
      <c r="G889" t="s">
        <v>5031</v>
      </c>
      <c r="H889" t="s">
        <v>2645</v>
      </c>
    </row>
    <row r="890" spans="1:9" x14ac:dyDescent="0.3">
      <c r="A890">
        <v>-4994116</v>
      </c>
      <c r="B890" t="s">
        <v>2640</v>
      </c>
      <c r="C890">
        <v>4994116</v>
      </c>
      <c r="D890" t="s">
        <v>2641</v>
      </c>
      <c r="E890" t="s">
        <v>2642</v>
      </c>
      <c r="F890">
        <v>1</v>
      </c>
      <c r="G890" t="s">
        <v>97</v>
      </c>
      <c r="H890" t="e">
        <v>#N/A</v>
      </c>
    </row>
    <row r="891" spans="1:9" x14ac:dyDescent="0.3">
      <c r="A891">
        <v>-4994115</v>
      </c>
      <c r="B891" t="s">
        <v>2646</v>
      </c>
      <c r="C891">
        <v>4994115</v>
      </c>
      <c r="D891" t="s">
        <v>2647</v>
      </c>
      <c r="E891" t="s">
        <v>2642</v>
      </c>
      <c r="F891">
        <v>1</v>
      </c>
      <c r="G891" t="s">
        <v>97</v>
      </c>
      <c r="H891" t="e">
        <v>#N/A</v>
      </c>
    </row>
    <row r="892" spans="1:9" x14ac:dyDescent="0.3">
      <c r="A892">
        <v>-4501714</v>
      </c>
      <c r="B892" t="s">
        <v>3404</v>
      </c>
      <c r="C892">
        <v>1</v>
      </c>
      <c r="D892" t="e">
        <v>#N/A</v>
      </c>
      <c r="E892" t="e">
        <v>#N/A</v>
      </c>
      <c r="F892">
        <v>1</v>
      </c>
      <c r="G892" t="s">
        <v>97</v>
      </c>
      <c r="H892" t="e">
        <v>#N/A</v>
      </c>
      <c r="I892" t="s">
        <v>3405</v>
      </c>
    </row>
    <row r="893" spans="1:9" x14ac:dyDescent="0.3">
      <c r="A893">
        <v>-4501504</v>
      </c>
      <c r="B893" t="s">
        <v>3800</v>
      </c>
      <c r="C893">
        <v>4501504</v>
      </c>
      <c r="D893" t="s">
        <v>3054</v>
      </c>
      <c r="E893" t="s">
        <v>3793</v>
      </c>
      <c r="F893">
        <v>1</v>
      </c>
      <c r="G893" t="s">
        <v>97</v>
      </c>
      <c r="H893" t="e">
        <v>#N/A</v>
      </c>
    </row>
    <row r="894" spans="1:9" x14ac:dyDescent="0.3">
      <c r="A894">
        <v>-4499786</v>
      </c>
      <c r="B894" t="s">
        <v>5611</v>
      </c>
      <c r="C894">
        <v>4499786</v>
      </c>
      <c r="D894" t="s">
        <v>5612</v>
      </c>
      <c r="E894" t="s">
        <v>3573</v>
      </c>
      <c r="F894" t="s">
        <v>2643</v>
      </c>
      <c r="G894" t="s">
        <v>2644</v>
      </c>
      <c r="H894" t="s">
        <v>2645</v>
      </c>
    </row>
    <row r="895" spans="1:9" x14ac:dyDescent="0.3">
      <c r="A895">
        <v>-4757654</v>
      </c>
      <c r="B895" t="s">
        <v>2874</v>
      </c>
      <c r="C895">
        <v>4757654</v>
      </c>
      <c r="D895" t="s">
        <v>2875</v>
      </c>
      <c r="E895" t="s">
        <v>2876</v>
      </c>
      <c r="F895" t="s">
        <v>2877</v>
      </c>
      <c r="G895" t="s">
        <v>2878</v>
      </c>
      <c r="H895" t="s">
        <v>2879</v>
      </c>
    </row>
    <row r="896" spans="1:9" x14ac:dyDescent="0.3">
      <c r="A896">
        <v>-4499666</v>
      </c>
      <c r="B896" t="s">
        <v>5721</v>
      </c>
      <c r="C896">
        <v>4499666</v>
      </c>
      <c r="D896" t="s">
        <v>5722</v>
      </c>
      <c r="E896" t="s">
        <v>3673</v>
      </c>
      <c r="F896" t="s">
        <v>5723</v>
      </c>
      <c r="G896" t="s">
        <v>5724</v>
      </c>
      <c r="H896" t="s">
        <v>3250</v>
      </c>
    </row>
    <row r="897" spans="1:9" x14ac:dyDescent="0.3">
      <c r="A897">
        <v>-4499756</v>
      </c>
      <c r="B897" t="s">
        <v>5639</v>
      </c>
      <c r="C897">
        <v>4499756</v>
      </c>
      <c r="D897" t="s">
        <v>5640</v>
      </c>
      <c r="E897" t="s">
        <v>4698</v>
      </c>
      <c r="F897" t="s">
        <v>6906</v>
      </c>
      <c r="G897" t="s">
        <v>6907</v>
      </c>
      <c r="H897" t="s">
        <v>6908</v>
      </c>
    </row>
    <row r="898" spans="1:9" x14ac:dyDescent="0.3">
      <c r="A898">
        <v>-4500192</v>
      </c>
      <c r="B898" t="s">
        <v>5246</v>
      </c>
      <c r="C898">
        <v>1</v>
      </c>
      <c r="D898" t="e">
        <v>#N/A</v>
      </c>
      <c r="E898" t="e">
        <v>#N/A</v>
      </c>
      <c r="F898" t="s">
        <v>5247</v>
      </c>
      <c r="G898" t="s">
        <v>5248</v>
      </c>
      <c r="H898" t="s">
        <v>4056</v>
      </c>
    </row>
    <row r="899" spans="1:9" x14ac:dyDescent="0.3">
      <c r="A899">
        <v>-4757653</v>
      </c>
      <c r="B899" t="s">
        <v>2880</v>
      </c>
      <c r="C899">
        <v>4757653</v>
      </c>
      <c r="D899" t="s">
        <v>2881</v>
      </c>
      <c r="E899" t="s">
        <v>2882</v>
      </c>
      <c r="F899" t="s">
        <v>2883</v>
      </c>
      <c r="G899" t="s">
        <v>2884</v>
      </c>
      <c r="H899" t="s">
        <v>2885</v>
      </c>
    </row>
    <row r="900" spans="1:9" x14ac:dyDescent="0.3">
      <c r="A900">
        <v>-4500588</v>
      </c>
      <c r="B900" t="s">
        <v>4922</v>
      </c>
      <c r="C900">
        <v>4500588</v>
      </c>
      <c r="D900" t="s">
        <v>4923</v>
      </c>
      <c r="E900" t="s">
        <v>4397</v>
      </c>
      <c r="F900" t="s">
        <v>4924</v>
      </c>
      <c r="G900" t="s">
        <v>4925</v>
      </c>
      <c r="H900" t="s">
        <v>4926</v>
      </c>
    </row>
    <row r="901" spans="1:9" x14ac:dyDescent="0.3">
      <c r="A901">
        <v>-4500503</v>
      </c>
      <c r="B901" t="s">
        <v>4970</v>
      </c>
      <c r="C901">
        <v>4500503</v>
      </c>
      <c r="D901" t="s">
        <v>4969</v>
      </c>
      <c r="E901" t="s">
        <v>3423</v>
      </c>
      <c r="F901" t="s">
        <v>3406</v>
      </c>
      <c r="G901" t="s">
        <v>3407</v>
      </c>
      <c r="H901" t="s">
        <v>2914</v>
      </c>
    </row>
    <row r="902" spans="1:9" x14ac:dyDescent="0.3">
      <c r="A902" t="s">
        <v>6161</v>
      </c>
      <c r="B902" t="s">
        <v>6162</v>
      </c>
      <c r="C902">
        <v>1</v>
      </c>
      <c r="D902" t="e">
        <v>#N/A</v>
      </c>
      <c r="E902" t="e">
        <v>#N/A</v>
      </c>
      <c r="F902" t="s">
        <v>6163</v>
      </c>
      <c r="G902" t="s">
        <v>6164</v>
      </c>
      <c r="H902" t="s">
        <v>6165</v>
      </c>
    </row>
    <row r="903" spans="1:9" x14ac:dyDescent="0.3">
      <c r="A903">
        <v>-4499494</v>
      </c>
      <c r="B903" t="s">
        <v>5935</v>
      </c>
      <c r="C903">
        <v>4499494</v>
      </c>
      <c r="D903" t="s">
        <v>5936</v>
      </c>
      <c r="E903" t="s">
        <v>5937</v>
      </c>
      <c r="F903" t="s">
        <v>5938</v>
      </c>
      <c r="G903" t="s">
        <v>5939</v>
      </c>
      <c r="H903" t="s">
        <v>3430</v>
      </c>
    </row>
    <row r="904" spans="1:9" x14ac:dyDescent="0.3">
      <c r="A904">
        <v>-4994129</v>
      </c>
      <c r="B904" t="s">
        <v>2608</v>
      </c>
      <c r="C904">
        <v>4994129</v>
      </c>
      <c r="D904" t="s">
        <v>2609</v>
      </c>
      <c r="E904" t="s">
        <v>2610</v>
      </c>
      <c r="F904" t="s">
        <v>2611</v>
      </c>
      <c r="G904" t="s">
        <v>2612</v>
      </c>
      <c r="H904" t="s">
        <v>2613</v>
      </c>
    </row>
    <row r="905" spans="1:9" x14ac:dyDescent="0.3">
      <c r="A905">
        <v>-4500491</v>
      </c>
      <c r="B905" t="s">
        <v>2608</v>
      </c>
      <c r="C905">
        <v>4500491</v>
      </c>
      <c r="D905" t="s">
        <v>4984</v>
      </c>
      <c r="E905" t="s">
        <v>3416</v>
      </c>
      <c r="F905">
        <v>1</v>
      </c>
      <c r="G905" t="s">
        <v>97</v>
      </c>
      <c r="H905" t="e">
        <v>#N/A</v>
      </c>
    </row>
    <row r="906" spans="1:9" x14ac:dyDescent="0.3">
      <c r="A906">
        <v>-4500475</v>
      </c>
      <c r="B906" t="s">
        <v>4995</v>
      </c>
      <c r="C906">
        <v>4500475</v>
      </c>
      <c r="D906" t="s">
        <v>4996</v>
      </c>
      <c r="E906" t="s">
        <v>2662</v>
      </c>
      <c r="F906" t="s">
        <v>4997</v>
      </c>
      <c r="G906" t="s">
        <v>4998</v>
      </c>
      <c r="H906" t="s">
        <v>3375</v>
      </c>
    </row>
    <row r="907" spans="1:9" x14ac:dyDescent="0.3">
      <c r="A907">
        <v>-4500010</v>
      </c>
      <c r="B907" t="s">
        <v>5412</v>
      </c>
      <c r="C907">
        <v>4500010</v>
      </c>
      <c r="D907" t="s">
        <v>5413</v>
      </c>
      <c r="E907" t="s">
        <v>3167</v>
      </c>
      <c r="F907" t="s">
        <v>5414</v>
      </c>
      <c r="G907" t="s">
        <v>5415</v>
      </c>
      <c r="H907" t="s">
        <v>4016</v>
      </c>
    </row>
    <row r="908" spans="1:9" x14ac:dyDescent="0.3">
      <c r="A908">
        <v>-4994109</v>
      </c>
      <c r="B908" t="s">
        <v>2655</v>
      </c>
      <c r="C908">
        <v>4994109</v>
      </c>
      <c r="D908" t="s">
        <v>2656</v>
      </c>
      <c r="E908" t="s">
        <v>2657</v>
      </c>
      <c r="F908">
        <v>1</v>
      </c>
      <c r="G908" t="s">
        <v>97</v>
      </c>
      <c r="H908" t="e">
        <v>#N/A</v>
      </c>
    </row>
    <row r="909" spans="1:9" x14ac:dyDescent="0.3">
      <c r="A909">
        <v>-4501714</v>
      </c>
      <c r="B909" t="s">
        <v>3408</v>
      </c>
      <c r="C909">
        <v>1</v>
      </c>
      <c r="D909" t="e">
        <v>#N/A</v>
      </c>
      <c r="E909" t="e">
        <v>#N/A</v>
      </c>
      <c r="F909">
        <v>1</v>
      </c>
      <c r="G909" t="s">
        <v>97</v>
      </c>
      <c r="H909" t="e">
        <v>#N/A</v>
      </c>
      <c r="I909" t="s">
        <v>3409</v>
      </c>
    </row>
    <row r="910" spans="1:9" x14ac:dyDescent="0.3">
      <c r="A910">
        <v>-4501542</v>
      </c>
      <c r="B910" t="s">
        <v>3720</v>
      </c>
      <c r="C910">
        <v>4501542</v>
      </c>
      <c r="D910" t="s">
        <v>3721</v>
      </c>
      <c r="E910" t="s">
        <v>3722</v>
      </c>
      <c r="F910">
        <v>1</v>
      </c>
      <c r="G910" t="s">
        <v>97</v>
      </c>
      <c r="H910" t="e">
        <v>#N/A</v>
      </c>
      <c r="I910" t="s">
        <v>3409</v>
      </c>
    </row>
    <row r="911" spans="1:9" x14ac:dyDescent="0.3">
      <c r="A911">
        <v>-4499921</v>
      </c>
      <c r="B911" t="s">
        <v>5492</v>
      </c>
      <c r="C911">
        <v>4499921</v>
      </c>
      <c r="D911" t="s">
        <v>5491</v>
      </c>
      <c r="E911" t="s">
        <v>3416</v>
      </c>
      <c r="F911" t="s">
        <v>2658</v>
      </c>
      <c r="G911" t="s">
        <v>2659</v>
      </c>
      <c r="H911" t="s">
        <v>2645</v>
      </c>
    </row>
    <row r="912" spans="1:9" x14ac:dyDescent="0.3">
      <c r="A912">
        <v>-4499684</v>
      </c>
      <c r="B912" t="s">
        <v>5707</v>
      </c>
      <c r="C912">
        <v>4499684</v>
      </c>
      <c r="D912" t="s">
        <v>5708</v>
      </c>
      <c r="E912" t="s">
        <v>3634</v>
      </c>
      <c r="F912">
        <v>1</v>
      </c>
      <c r="G912" t="s">
        <v>97</v>
      </c>
      <c r="H912" t="e">
        <v>#N/A</v>
      </c>
    </row>
    <row r="913" spans="1:9" x14ac:dyDescent="0.3">
      <c r="A913">
        <v>-4500254</v>
      </c>
      <c r="B913" t="s">
        <v>5187</v>
      </c>
      <c r="C913">
        <v>4500254</v>
      </c>
      <c r="D913" t="s">
        <v>3054</v>
      </c>
      <c r="E913" t="s">
        <v>2848</v>
      </c>
      <c r="F913" t="s">
        <v>4192</v>
      </c>
      <c r="G913" t="s">
        <v>4193</v>
      </c>
      <c r="H913" t="s">
        <v>4194</v>
      </c>
    </row>
    <row r="914" spans="1:9" x14ac:dyDescent="0.3">
      <c r="A914">
        <v>-4499593</v>
      </c>
      <c r="B914" t="s">
        <v>5797</v>
      </c>
      <c r="C914">
        <v>4499593</v>
      </c>
      <c r="D914" t="s">
        <v>5798</v>
      </c>
      <c r="E914" t="s">
        <v>5799</v>
      </c>
      <c r="F914">
        <v>1</v>
      </c>
      <c r="G914" t="s">
        <v>97</v>
      </c>
      <c r="H914" t="e">
        <v>#N/A</v>
      </c>
    </row>
    <row r="915" spans="1:9" x14ac:dyDescent="0.3">
      <c r="A915">
        <v>-4500711</v>
      </c>
      <c r="B915" t="s">
        <v>4797</v>
      </c>
      <c r="C915">
        <v>4500711</v>
      </c>
      <c r="D915" t="s">
        <v>4798</v>
      </c>
      <c r="E915" t="s">
        <v>4795</v>
      </c>
      <c r="F915" t="s">
        <v>4799</v>
      </c>
      <c r="G915" t="s">
        <v>4800</v>
      </c>
      <c r="H915" t="s">
        <v>4801</v>
      </c>
    </row>
    <row r="916" spans="1:9" x14ac:dyDescent="0.3">
      <c r="A916" t="s">
        <v>6065</v>
      </c>
      <c r="B916" t="s">
        <v>6066</v>
      </c>
      <c r="C916">
        <v>4499803</v>
      </c>
      <c r="D916" t="s">
        <v>6067</v>
      </c>
      <c r="E916" t="s">
        <v>4669</v>
      </c>
      <c r="F916" t="s">
        <v>6068</v>
      </c>
      <c r="G916" t="s">
        <v>6069</v>
      </c>
      <c r="H916" t="s">
        <v>6051</v>
      </c>
    </row>
    <row r="917" spans="1:9" x14ac:dyDescent="0.3">
      <c r="A917">
        <v>-4500290</v>
      </c>
      <c r="B917" t="s">
        <v>5148</v>
      </c>
      <c r="C917">
        <v>4500290</v>
      </c>
      <c r="D917" t="s">
        <v>5149</v>
      </c>
      <c r="E917" t="s">
        <v>3722</v>
      </c>
      <c r="F917" t="s">
        <v>5150</v>
      </c>
      <c r="G917" t="s">
        <v>5151</v>
      </c>
      <c r="H917" t="s">
        <v>5152</v>
      </c>
    </row>
    <row r="918" spans="1:9" x14ac:dyDescent="0.3">
      <c r="A918">
        <v>-4499908</v>
      </c>
      <c r="B918" t="s">
        <v>5503</v>
      </c>
      <c r="C918">
        <v>4499908</v>
      </c>
      <c r="D918" t="s">
        <v>5504</v>
      </c>
      <c r="E918" t="s">
        <v>3325</v>
      </c>
      <c r="F918" t="s">
        <v>5505</v>
      </c>
      <c r="G918" t="s">
        <v>5506</v>
      </c>
      <c r="H918" t="s">
        <v>2607</v>
      </c>
    </row>
    <row r="919" spans="1:9" x14ac:dyDescent="0.3">
      <c r="A919">
        <v>-4499886</v>
      </c>
      <c r="B919" t="s">
        <v>5528</v>
      </c>
      <c r="C919">
        <v>4499886</v>
      </c>
      <c r="D919" t="s">
        <v>3192</v>
      </c>
      <c r="E919" t="s">
        <v>2979</v>
      </c>
      <c r="F919" t="s">
        <v>5529</v>
      </c>
      <c r="G919" t="s">
        <v>5530</v>
      </c>
      <c r="H919" t="s">
        <v>4475</v>
      </c>
    </row>
    <row r="920" spans="1:9" x14ac:dyDescent="0.3">
      <c r="A920">
        <v>-4500340</v>
      </c>
      <c r="B920" t="s">
        <v>5102</v>
      </c>
      <c r="C920">
        <v>4500340</v>
      </c>
      <c r="D920" t="s">
        <v>5103</v>
      </c>
      <c r="E920" t="s">
        <v>4937</v>
      </c>
      <c r="F920" t="s">
        <v>6373</v>
      </c>
      <c r="G920" t="s">
        <v>6374</v>
      </c>
      <c r="H920" t="s">
        <v>6375</v>
      </c>
    </row>
    <row r="921" spans="1:9" x14ac:dyDescent="0.3">
      <c r="A921">
        <v>-4499864</v>
      </c>
      <c r="B921" t="s">
        <v>5543</v>
      </c>
      <c r="C921">
        <v>4499864</v>
      </c>
      <c r="D921" t="s">
        <v>5544</v>
      </c>
      <c r="E921" t="s">
        <v>3900</v>
      </c>
      <c r="F921" t="s">
        <v>6373</v>
      </c>
      <c r="G921" t="s">
        <v>6374</v>
      </c>
      <c r="H921" t="s">
        <v>6375</v>
      </c>
    </row>
    <row r="922" spans="1:9" x14ac:dyDescent="0.3">
      <c r="A922">
        <v>-4500454</v>
      </c>
      <c r="B922" t="s">
        <v>5013</v>
      </c>
      <c r="C922">
        <v>4500454</v>
      </c>
      <c r="D922" t="s">
        <v>3458</v>
      </c>
      <c r="E922" t="s">
        <v>3006</v>
      </c>
      <c r="F922" t="s">
        <v>5014</v>
      </c>
      <c r="G922" t="s">
        <v>5015</v>
      </c>
      <c r="H922" t="s">
        <v>2577</v>
      </c>
    </row>
    <row r="923" spans="1:9" x14ac:dyDescent="0.3">
      <c r="A923">
        <v>-4501089</v>
      </c>
      <c r="B923" t="s">
        <v>4333</v>
      </c>
      <c r="C923">
        <v>4501089</v>
      </c>
      <c r="D923" t="s">
        <v>4334</v>
      </c>
      <c r="E923" t="s">
        <v>4262</v>
      </c>
      <c r="F923" t="s">
        <v>4335</v>
      </c>
      <c r="G923" t="s">
        <v>4336</v>
      </c>
      <c r="H923" t="s">
        <v>4266</v>
      </c>
    </row>
    <row r="924" spans="1:9" x14ac:dyDescent="0.3">
      <c r="A924" t="s">
        <v>6260</v>
      </c>
      <c r="B924" t="s">
        <v>6261</v>
      </c>
      <c r="C924">
        <v>1</v>
      </c>
      <c r="D924" t="e">
        <v>#N/A</v>
      </c>
      <c r="E924" t="e">
        <v>#N/A</v>
      </c>
      <c r="F924" t="s">
        <v>6262</v>
      </c>
      <c r="G924" t="s">
        <v>97</v>
      </c>
      <c r="H924" t="e">
        <v>#N/A</v>
      </c>
    </row>
    <row r="925" spans="1:9" x14ac:dyDescent="0.3">
      <c r="A925">
        <v>-4757658</v>
      </c>
      <c r="B925" t="s">
        <v>2858</v>
      </c>
      <c r="C925">
        <v>4757658</v>
      </c>
      <c r="D925" t="s">
        <v>2859</v>
      </c>
      <c r="E925" t="s">
        <v>2860</v>
      </c>
      <c r="F925" t="s">
        <v>2861</v>
      </c>
      <c r="G925" t="s">
        <v>2862</v>
      </c>
      <c r="H925" t="s">
        <v>2803</v>
      </c>
    </row>
    <row r="926" spans="1:9" x14ac:dyDescent="0.3">
      <c r="A926">
        <v>-4501656</v>
      </c>
      <c r="B926" t="s">
        <v>3529</v>
      </c>
      <c r="C926">
        <v>4501656</v>
      </c>
      <c r="D926" t="s">
        <v>3530</v>
      </c>
      <c r="E926" t="s">
        <v>3366</v>
      </c>
      <c r="F926" t="s">
        <v>3531</v>
      </c>
      <c r="G926" t="s">
        <v>3532</v>
      </c>
      <c r="H926" t="s">
        <v>3533</v>
      </c>
      <c r="I926" t="s">
        <v>3393</v>
      </c>
    </row>
    <row r="927" spans="1:9" x14ac:dyDescent="0.3">
      <c r="A927" t="s">
        <v>6260</v>
      </c>
      <c r="B927" t="s">
        <v>6295</v>
      </c>
      <c r="C927">
        <v>1</v>
      </c>
      <c r="D927" t="e">
        <v>#N/A</v>
      </c>
      <c r="E927" t="e">
        <v>#N/A</v>
      </c>
      <c r="F927" t="s">
        <v>6296</v>
      </c>
      <c r="G927" t="s">
        <v>6297</v>
      </c>
      <c r="H927" t="s">
        <v>6298</v>
      </c>
    </row>
    <row r="928" spans="1:9" x14ac:dyDescent="0.3">
      <c r="A928">
        <v>-4500077</v>
      </c>
      <c r="B928" t="s">
        <v>5331</v>
      </c>
      <c r="C928">
        <v>4500077</v>
      </c>
      <c r="D928" t="s">
        <v>5332</v>
      </c>
      <c r="E928" t="s">
        <v>4885</v>
      </c>
      <c r="F928" t="s">
        <v>5333</v>
      </c>
      <c r="G928" t="s">
        <v>5334</v>
      </c>
      <c r="H928" t="s">
        <v>2694</v>
      </c>
    </row>
    <row r="929" spans="1:8" x14ac:dyDescent="0.3">
      <c r="A929">
        <v>-4500949</v>
      </c>
      <c r="B929" t="s">
        <v>4535</v>
      </c>
      <c r="C929">
        <v>4500949</v>
      </c>
      <c r="D929" t="s">
        <v>3469</v>
      </c>
      <c r="E929" t="s">
        <v>4529</v>
      </c>
      <c r="F929" t="s">
        <v>6532</v>
      </c>
      <c r="G929" t="s">
        <v>5388</v>
      </c>
      <c r="H929" t="s">
        <v>4056</v>
      </c>
    </row>
    <row r="930" spans="1:8" x14ac:dyDescent="0.3">
      <c r="A930">
        <v>-4499610</v>
      </c>
      <c r="B930" t="s">
        <v>5782</v>
      </c>
      <c r="C930">
        <v>4499610</v>
      </c>
      <c r="D930" t="s">
        <v>5780</v>
      </c>
      <c r="E930" t="s">
        <v>5781</v>
      </c>
      <c r="F930" t="s">
        <v>6782</v>
      </c>
      <c r="G930" t="s">
        <v>6783</v>
      </c>
      <c r="H930" t="s">
        <v>6784</v>
      </c>
    </row>
    <row r="931" spans="1:8" x14ac:dyDescent="0.3">
      <c r="A931" t="s">
        <v>6070</v>
      </c>
      <c r="B931" t="s">
        <v>6071</v>
      </c>
      <c r="C931">
        <v>4499811</v>
      </c>
      <c r="D931" t="s">
        <v>6072</v>
      </c>
      <c r="E931" t="s">
        <v>3311</v>
      </c>
      <c r="F931" t="s">
        <v>6806</v>
      </c>
      <c r="G931" t="s">
        <v>6807</v>
      </c>
      <c r="H931" t="s">
        <v>6808</v>
      </c>
    </row>
    <row r="932" spans="1:8" x14ac:dyDescent="0.3">
      <c r="A932">
        <v>-4500508</v>
      </c>
      <c r="B932" t="s">
        <v>4963</v>
      </c>
      <c r="C932">
        <v>4500508</v>
      </c>
      <c r="D932" t="s">
        <v>4964</v>
      </c>
      <c r="E932" t="s">
        <v>4698</v>
      </c>
      <c r="F932" t="s">
        <v>6658</v>
      </c>
      <c r="G932" t="s">
        <v>6659</v>
      </c>
      <c r="H932" t="s">
        <v>2769</v>
      </c>
    </row>
    <row r="933" spans="1:8" x14ac:dyDescent="0.3">
      <c r="A933">
        <v>-4501747</v>
      </c>
      <c r="B933" t="s">
        <v>3351</v>
      </c>
      <c r="C933">
        <v>4501747</v>
      </c>
      <c r="D933" t="s">
        <v>3352</v>
      </c>
      <c r="E933" t="s">
        <v>3330</v>
      </c>
      <c r="F933" t="s">
        <v>3353</v>
      </c>
      <c r="G933" t="s">
        <v>3354</v>
      </c>
      <c r="H933" t="s">
        <v>3355</v>
      </c>
    </row>
    <row r="934" spans="1:8" x14ac:dyDescent="0.3">
      <c r="A934">
        <v>-4499536</v>
      </c>
      <c r="B934" t="s">
        <v>5876</v>
      </c>
      <c r="C934">
        <v>4499536</v>
      </c>
      <c r="D934" t="s">
        <v>5877</v>
      </c>
      <c r="E934" t="s">
        <v>3325</v>
      </c>
      <c r="F934" t="s">
        <v>3353</v>
      </c>
      <c r="G934" t="s">
        <v>3354</v>
      </c>
      <c r="H934" t="s">
        <v>3355</v>
      </c>
    </row>
    <row r="935" spans="1:8" x14ac:dyDescent="0.3">
      <c r="A935" t="s">
        <v>6052</v>
      </c>
      <c r="B935" t="s">
        <v>6053</v>
      </c>
      <c r="C935">
        <v>4499648</v>
      </c>
      <c r="D935" t="s">
        <v>6054</v>
      </c>
      <c r="E935" t="s">
        <v>3156</v>
      </c>
      <c r="F935" t="s">
        <v>6801</v>
      </c>
      <c r="G935" t="s">
        <v>6802</v>
      </c>
      <c r="H935" t="s">
        <v>6803</v>
      </c>
    </row>
    <row r="936" spans="1:8" x14ac:dyDescent="0.3">
      <c r="A936">
        <v>-4499652</v>
      </c>
      <c r="B936" t="s">
        <v>5742</v>
      </c>
      <c r="C936">
        <v>4499652</v>
      </c>
      <c r="D936" t="s">
        <v>5743</v>
      </c>
      <c r="E936" t="s">
        <v>5744</v>
      </c>
      <c r="F936" t="s">
        <v>6778</v>
      </c>
      <c r="G936" t="s">
        <v>2612</v>
      </c>
      <c r="H936" t="s">
        <v>6120</v>
      </c>
    </row>
    <row r="937" spans="1:8" x14ac:dyDescent="0.3">
      <c r="A937">
        <v>-4500288</v>
      </c>
      <c r="B937" t="s">
        <v>5153</v>
      </c>
      <c r="C937">
        <v>4500288</v>
      </c>
      <c r="D937" t="s">
        <v>5154</v>
      </c>
      <c r="E937" t="s">
        <v>3667</v>
      </c>
      <c r="F937" t="s">
        <v>6699</v>
      </c>
      <c r="G937" t="s">
        <v>6700</v>
      </c>
      <c r="H937" t="s">
        <v>6701</v>
      </c>
    </row>
    <row r="938" spans="1:8" x14ac:dyDescent="0.3">
      <c r="A938">
        <v>-4993996</v>
      </c>
      <c r="B938" t="s">
        <v>2746</v>
      </c>
      <c r="C938">
        <v>4993996</v>
      </c>
      <c r="D938" t="s">
        <v>2747</v>
      </c>
      <c r="E938" t="s">
        <v>2748</v>
      </c>
      <c r="F938" t="s">
        <v>2749</v>
      </c>
      <c r="G938" t="s">
        <v>2750</v>
      </c>
      <c r="H938" t="s">
        <v>2751</v>
      </c>
    </row>
    <row r="939" spans="1:8" x14ac:dyDescent="0.3">
      <c r="A939">
        <v>-4499496</v>
      </c>
      <c r="B939" t="s">
        <v>5924</v>
      </c>
      <c r="C939">
        <v>4499496</v>
      </c>
      <c r="D939" t="s">
        <v>5922</v>
      </c>
      <c r="E939" t="s">
        <v>5923</v>
      </c>
      <c r="F939" t="s">
        <v>5925</v>
      </c>
      <c r="G939" t="s">
        <v>5926</v>
      </c>
      <c r="H939" t="s">
        <v>2589</v>
      </c>
    </row>
    <row r="940" spans="1:8" x14ac:dyDescent="0.3">
      <c r="A940" t="s">
        <v>6126</v>
      </c>
      <c r="B940" t="s">
        <v>6127</v>
      </c>
      <c r="C940">
        <v>4500533</v>
      </c>
      <c r="D940" t="s">
        <v>2957</v>
      </c>
      <c r="E940" t="s">
        <v>4725</v>
      </c>
      <c r="F940" t="s">
        <v>6128</v>
      </c>
      <c r="G940" t="s">
        <v>6129</v>
      </c>
      <c r="H940" t="s">
        <v>4016</v>
      </c>
    </row>
    <row r="941" spans="1:8" x14ac:dyDescent="0.3">
      <c r="A941" t="s">
        <v>6222</v>
      </c>
      <c r="B941">
        <v>34190008162</v>
      </c>
      <c r="C941">
        <v>4757665</v>
      </c>
      <c r="D941" t="s">
        <v>6223</v>
      </c>
      <c r="E941" t="s">
        <v>4725</v>
      </c>
      <c r="F941" t="s">
        <v>6128</v>
      </c>
      <c r="G941" t="s">
        <v>6129</v>
      </c>
      <c r="H941" t="s">
        <v>4016</v>
      </c>
    </row>
    <row r="942" spans="1:8" x14ac:dyDescent="0.3">
      <c r="A942">
        <v>-4500847</v>
      </c>
      <c r="B942" t="s">
        <v>4666</v>
      </c>
      <c r="C942">
        <v>4500847</v>
      </c>
      <c r="D942" t="s">
        <v>4667</v>
      </c>
      <c r="E942" t="s">
        <v>3110</v>
      </c>
      <c r="F942" t="s">
        <v>6560</v>
      </c>
      <c r="G942" t="s">
        <v>6561</v>
      </c>
      <c r="H942" t="s">
        <v>2785</v>
      </c>
    </row>
    <row r="943" spans="1:8" x14ac:dyDescent="0.3">
      <c r="A943">
        <v>-4501052</v>
      </c>
      <c r="B943" t="s">
        <v>4390</v>
      </c>
      <c r="C943">
        <v>4501052</v>
      </c>
      <c r="D943" t="s">
        <v>3234</v>
      </c>
      <c r="E943" t="s">
        <v>2989</v>
      </c>
      <c r="F943" t="s">
        <v>6909</v>
      </c>
      <c r="G943" t="s">
        <v>97</v>
      </c>
      <c r="H943" t="e">
        <v>#N/A</v>
      </c>
    </row>
    <row r="944" spans="1:8" x14ac:dyDescent="0.3">
      <c r="A944">
        <v>-4499578</v>
      </c>
      <c r="B944" t="s">
        <v>4390</v>
      </c>
      <c r="C944">
        <v>4499578</v>
      </c>
      <c r="D944" t="s">
        <v>5816</v>
      </c>
      <c r="E944" t="s">
        <v>4120</v>
      </c>
      <c r="F944" t="s">
        <v>4391</v>
      </c>
      <c r="G944" t="s">
        <v>2675</v>
      </c>
      <c r="H944" t="s">
        <v>4392</v>
      </c>
    </row>
    <row r="945" spans="1:9" x14ac:dyDescent="0.3">
      <c r="A945">
        <v>-4499705</v>
      </c>
      <c r="B945" t="s">
        <v>5677</v>
      </c>
      <c r="C945">
        <v>4499705</v>
      </c>
      <c r="D945" t="s">
        <v>5678</v>
      </c>
      <c r="E945" t="s">
        <v>3162</v>
      </c>
      <c r="F945" t="s">
        <v>6772</v>
      </c>
      <c r="G945" t="s">
        <v>6773</v>
      </c>
      <c r="H945" t="s">
        <v>6774</v>
      </c>
    </row>
    <row r="946" spans="1:9" x14ac:dyDescent="0.3">
      <c r="A946">
        <v>-4757652</v>
      </c>
      <c r="B946" t="s">
        <v>2886</v>
      </c>
      <c r="C946">
        <v>4757652</v>
      </c>
      <c r="D946" t="s">
        <v>2887</v>
      </c>
      <c r="E946" t="s">
        <v>2888</v>
      </c>
      <c r="F946" t="s">
        <v>2889</v>
      </c>
      <c r="G946" t="s">
        <v>2890</v>
      </c>
      <c r="H946" t="s">
        <v>2613</v>
      </c>
    </row>
    <row r="947" spans="1:9" x14ac:dyDescent="0.3">
      <c r="A947">
        <v>-4500736</v>
      </c>
      <c r="B947" t="s">
        <v>4777</v>
      </c>
      <c r="C947">
        <v>4500736</v>
      </c>
      <c r="D947" t="s">
        <v>4778</v>
      </c>
      <c r="E947" t="s">
        <v>4753</v>
      </c>
      <c r="F947">
        <v>1</v>
      </c>
      <c r="G947" t="s">
        <v>97</v>
      </c>
      <c r="H947" t="e">
        <v>#N/A</v>
      </c>
    </row>
    <row r="948" spans="1:9" x14ac:dyDescent="0.3">
      <c r="A948">
        <v>-4500221</v>
      </c>
      <c r="B948" t="s">
        <v>5204</v>
      </c>
      <c r="C948">
        <v>4500221</v>
      </c>
      <c r="D948" t="s">
        <v>5205</v>
      </c>
      <c r="E948" t="s">
        <v>4929</v>
      </c>
      <c r="F948" t="s">
        <v>5206</v>
      </c>
      <c r="G948" t="s">
        <v>5207</v>
      </c>
      <c r="H948" t="s">
        <v>5208</v>
      </c>
    </row>
    <row r="949" spans="1:9" x14ac:dyDescent="0.3">
      <c r="A949">
        <v>-4501413</v>
      </c>
      <c r="B949" t="s">
        <v>3905</v>
      </c>
      <c r="C949">
        <v>4501413</v>
      </c>
      <c r="D949" t="s">
        <v>3906</v>
      </c>
      <c r="E949" t="s">
        <v>3900</v>
      </c>
      <c r="F949" t="s">
        <v>6451</v>
      </c>
      <c r="G949" t="s">
        <v>6452</v>
      </c>
      <c r="H949" t="s">
        <v>2757</v>
      </c>
    </row>
    <row r="950" spans="1:9" x14ac:dyDescent="0.3">
      <c r="A950">
        <v>-4499546</v>
      </c>
      <c r="B950" t="s">
        <v>5867</v>
      </c>
      <c r="C950">
        <v>4499546</v>
      </c>
      <c r="D950" t="s">
        <v>5868</v>
      </c>
      <c r="E950" t="s">
        <v>5101</v>
      </c>
      <c r="F950" t="s">
        <v>5869</v>
      </c>
      <c r="G950" t="s">
        <v>5870</v>
      </c>
      <c r="H950" t="s">
        <v>5871</v>
      </c>
    </row>
    <row r="951" spans="1:9" x14ac:dyDescent="0.3">
      <c r="A951">
        <v>-4757666</v>
      </c>
      <c r="B951" t="s">
        <v>2828</v>
      </c>
      <c r="C951">
        <v>4757666</v>
      </c>
      <c r="D951" t="s">
        <v>2829</v>
      </c>
      <c r="E951" t="s">
        <v>2830</v>
      </c>
      <c r="F951" t="s">
        <v>2831</v>
      </c>
      <c r="G951" t="s">
        <v>2832</v>
      </c>
      <c r="H951" t="s">
        <v>2833</v>
      </c>
    </row>
    <row r="952" spans="1:9" x14ac:dyDescent="0.3">
      <c r="A952">
        <v>-4500451</v>
      </c>
      <c r="B952" t="s">
        <v>5018</v>
      </c>
      <c r="C952">
        <v>4500451</v>
      </c>
      <c r="D952" t="s">
        <v>5019</v>
      </c>
      <c r="E952" t="s">
        <v>4741</v>
      </c>
      <c r="F952" t="s">
        <v>2831</v>
      </c>
      <c r="G952" t="s">
        <v>2832</v>
      </c>
      <c r="H952" t="s">
        <v>2833</v>
      </c>
    </row>
    <row r="953" spans="1:9" x14ac:dyDescent="0.3">
      <c r="A953">
        <v>4501309</v>
      </c>
      <c r="B953" t="s">
        <v>5998</v>
      </c>
      <c r="C953">
        <v>4501309</v>
      </c>
      <c r="D953" t="s">
        <v>5999</v>
      </c>
      <c r="E953" t="s">
        <v>4028</v>
      </c>
      <c r="F953" t="s">
        <v>6793</v>
      </c>
      <c r="G953" t="s">
        <v>6794</v>
      </c>
      <c r="H953" t="s">
        <v>4532</v>
      </c>
    </row>
    <row r="954" spans="1:9" x14ac:dyDescent="0.3">
      <c r="A954">
        <v>-4757657</v>
      </c>
      <c r="B954" t="s">
        <v>2863</v>
      </c>
      <c r="C954">
        <v>4757657</v>
      </c>
      <c r="D954" t="s">
        <v>2864</v>
      </c>
      <c r="E954" t="s">
        <v>2865</v>
      </c>
      <c r="F954" t="s">
        <v>2866</v>
      </c>
      <c r="G954" t="s">
        <v>2867</v>
      </c>
      <c r="H954" t="s">
        <v>2779</v>
      </c>
    </row>
    <row r="955" spans="1:9" x14ac:dyDescent="0.3">
      <c r="A955" t="s">
        <v>6417</v>
      </c>
      <c r="B955" t="s">
        <v>6418</v>
      </c>
      <c r="C955" t="e">
        <v>#VALUE!</v>
      </c>
      <c r="D955" t="e">
        <v>#VALUE!</v>
      </c>
      <c r="E955" t="e">
        <v>#VALUE!</v>
      </c>
      <c r="F955" t="s">
        <v>6419</v>
      </c>
      <c r="G955" t="s">
        <v>6420</v>
      </c>
      <c r="H955" t="s">
        <v>6421</v>
      </c>
    </row>
    <row r="956" spans="1:9" x14ac:dyDescent="0.3">
      <c r="A956">
        <v>-4501586</v>
      </c>
      <c r="B956" t="s">
        <v>3626</v>
      </c>
      <c r="C956">
        <v>4501586</v>
      </c>
      <c r="D956" t="s">
        <v>3627</v>
      </c>
      <c r="E956" t="s">
        <v>3325</v>
      </c>
      <c r="F956">
        <v>1</v>
      </c>
      <c r="G956" t="s">
        <v>97</v>
      </c>
      <c r="H956" t="e">
        <v>#N/A</v>
      </c>
      <c r="I956" t="s">
        <v>3631</v>
      </c>
    </row>
    <row r="957" spans="1:9" x14ac:dyDescent="0.3">
      <c r="A957">
        <v>-4500055</v>
      </c>
      <c r="B957" t="s">
        <v>5358</v>
      </c>
      <c r="C957">
        <v>4500055</v>
      </c>
      <c r="D957" t="s">
        <v>5359</v>
      </c>
      <c r="E957" t="s">
        <v>3325</v>
      </c>
      <c r="F957" t="s">
        <v>3628</v>
      </c>
      <c r="G957" t="s">
        <v>3629</v>
      </c>
      <c r="H957" t="s">
        <v>3630</v>
      </c>
    </row>
    <row r="958" spans="1:9" x14ac:dyDescent="0.3">
      <c r="A958">
        <v>-4500469</v>
      </c>
      <c r="B958" t="s">
        <v>5001</v>
      </c>
      <c r="C958">
        <v>4500469</v>
      </c>
      <c r="D958" t="s">
        <v>5002</v>
      </c>
      <c r="E958" t="s">
        <v>3535</v>
      </c>
      <c r="F958" t="s">
        <v>6667</v>
      </c>
      <c r="G958" t="s">
        <v>6668</v>
      </c>
      <c r="H958" t="s">
        <v>2595</v>
      </c>
    </row>
    <row r="959" spans="1:9" x14ac:dyDescent="0.3">
      <c r="A959">
        <v>-4500024</v>
      </c>
      <c r="B959" t="s">
        <v>5390</v>
      </c>
      <c r="C959">
        <v>4500024</v>
      </c>
      <c r="D959" t="s">
        <v>2669</v>
      </c>
      <c r="E959" t="s">
        <v>2948</v>
      </c>
      <c r="F959" t="s">
        <v>6910</v>
      </c>
      <c r="G959" t="s">
        <v>3244</v>
      </c>
      <c r="H959" t="s">
        <v>3960</v>
      </c>
    </row>
    <row r="960" spans="1:9" x14ac:dyDescent="0.3">
      <c r="A960">
        <v>-4501374</v>
      </c>
      <c r="B960" t="s">
        <v>3942</v>
      </c>
      <c r="C960">
        <v>4501374</v>
      </c>
      <c r="D960" t="s">
        <v>3943</v>
      </c>
      <c r="E960" t="s">
        <v>2948</v>
      </c>
      <c r="F960" t="s">
        <v>3944</v>
      </c>
      <c r="G960" t="s">
        <v>3945</v>
      </c>
      <c r="H960" t="s">
        <v>2945</v>
      </c>
    </row>
    <row r="961" spans="1:8" x14ac:dyDescent="0.3">
      <c r="A961">
        <v>-4499567</v>
      </c>
      <c r="B961" t="s">
        <v>5832</v>
      </c>
      <c r="C961">
        <v>4499567</v>
      </c>
      <c r="D961" t="s">
        <v>5833</v>
      </c>
      <c r="E961" t="s">
        <v>3017</v>
      </c>
      <c r="F961" t="s">
        <v>5834</v>
      </c>
      <c r="G961" t="s">
        <v>5835</v>
      </c>
      <c r="H961" t="s">
        <v>3025</v>
      </c>
    </row>
    <row r="962" spans="1:8" x14ac:dyDescent="0.3">
      <c r="A962">
        <v>-4501282</v>
      </c>
      <c r="B962" t="s">
        <v>4065</v>
      </c>
      <c r="C962">
        <v>4501282</v>
      </c>
      <c r="D962" t="s">
        <v>4066</v>
      </c>
      <c r="E962" t="s">
        <v>2979</v>
      </c>
      <c r="F962" t="s">
        <v>4067</v>
      </c>
      <c r="G962" t="s">
        <v>4068</v>
      </c>
      <c r="H962" t="s">
        <v>4069</v>
      </c>
    </row>
    <row r="963" spans="1:8" x14ac:dyDescent="0.3">
      <c r="A963">
        <v>-4500947</v>
      </c>
      <c r="B963" t="s">
        <v>4538</v>
      </c>
      <c r="C963">
        <v>4500947</v>
      </c>
      <c r="D963" t="s">
        <v>4537</v>
      </c>
      <c r="E963" t="s">
        <v>4529</v>
      </c>
      <c r="F963" t="s">
        <v>4067</v>
      </c>
      <c r="G963" t="s">
        <v>4068</v>
      </c>
      <c r="H963" t="s">
        <v>4069</v>
      </c>
    </row>
    <row r="964" spans="1:8" x14ac:dyDescent="0.3">
      <c r="A964">
        <v>-4994039</v>
      </c>
      <c r="B964" t="s">
        <v>2706</v>
      </c>
      <c r="C964">
        <v>4994039</v>
      </c>
      <c r="D964" t="s">
        <v>2707</v>
      </c>
      <c r="E964" t="s">
        <v>2708</v>
      </c>
      <c r="F964" t="s">
        <v>2709</v>
      </c>
      <c r="G964" t="s">
        <v>2710</v>
      </c>
      <c r="H964" t="s">
        <v>2711</v>
      </c>
    </row>
    <row r="965" spans="1:8" x14ac:dyDescent="0.3">
      <c r="A965">
        <v>-4757650</v>
      </c>
      <c r="B965" t="s">
        <v>2891</v>
      </c>
      <c r="C965">
        <v>4757650</v>
      </c>
      <c r="D965" t="s">
        <v>2892</v>
      </c>
      <c r="E965" t="s">
        <v>2893</v>
      </c>
      <c r="F965" t="s">
        <v>2894</v>
      </c>
      <c r="G965" t="s">
        <v>2895</v>
      </c>
      <c r="H965" t="s">
        <v>2827</v>
      </c>
    </row>
    <row r="966" spans="1:8" x14ac:dyDescent="0.3">
      <c r="A966">
        <v>-4500127</v>
      </c>
      <c r="B966" t="s">
        <v>5295</v>
      </c>
      <c r="C966">
        <v>4500127</v>
      </c>
      <c r="D966" t="s">
        <v>5296</v>
      </c>
      <c r="E966" t="s">
        <v>3110</v>
      </c>
      <c r="F966" t="s">
        <v>6716</v>
      </c>
      <c r="G966" t="s">
        <v>6717</v>
      </c>
      <c r="H966" t="s">
        <v>2785</v>
      </c>
    </row>
    <row r="967" spans="1:8" x14ac:dyDescent="0.3">
      <c r="A967">
        <v>-4500307</v>
      </c>
      <c r="B967" t="s">
        <v>5131</v>
      </c>
      <c r="C967">
        <v>4500307</v>
      </c>
      <c r="D967" t="s">
        <v>5130</v>
      </c>
      <c r="E967" t="s">
        <v>2948</v>
      </c>
      <c r="F967" t="s">
        <v>6688</v>
      </c>
      <c r="G967" t="s">
        <v>6689</v>
      </c>
      <c r="H967" t="s">
        <v>6690</v>
      </c>
    </row>
    <row r="968" spans="1:8" x14ac:dyDescent="0.3">
      <c r="A968">
        <v>-4500771</v>
      </c>
      <c r="B968" t="s">
        <v>4746</v>
      </c>
      <c r="C968">
        <v>4500771</v>
      </c>
      <c r="D968" t="s">
        <v>4747</v>
      </c>
      <c r="E968" t="s">
        <v>4748</v>
      </c>
      <c r="F968" t="s">
        <v>6597</v>
      </c>
      <c r="G968" t="s">
        <v>6598</v>
      </c>
      <c r="H968" t="s">
        <v>6599</v>
      </c>
    </row>
    <row r="969" spans="1:8" x14ac:dyDescent="0.3">
      <c r="A969">
        <v>-4501685</v>
      </c>
      <c r="B969" t="s">
        <v>3457</v>
      </c>
      <c r="C969">
        <v>4501685</v>
      </c>
      <c r="D969" t="s">
        <v>3458</v>
      </c>
      <c r="E969" t="s">
        <v>3453</v>
      </c>
      <c r="F969" t="s">
        <v>3459</v>
      </c>
      <c r="G969" t="s">
        <v>3460</v>
      </c>
      <c r="H969" t="s">
        <v>3461</v>
      </c>
    </row>
    <row r="970" spans="1:8" x14ac:dyDescent="0.3">
      <c r="A970">
        <v>-4500482</v>
      </c>
      <c r="B970" t="s">
        <v>4987</v>
      </c>
      <c r="C970">
        <v>4500482</v>
      </c>
      <c r="D970" t="s">
        <v>4985</v>
      </c>
      <c r="E970" t="s">
        <v>4986</v>
      </c>
      <c r="F970" t="s">
        <v>4988</v>
      </c>
      <c r="G970" t="s">
        <v>4989</v>
      </c>
      <c r="H970" t="s">
        <v>3375</v>
      </c>
    </row>
    <row r="971" spans="1:8" x14ac:dyDescent="0.3">
      <c r="A971" t="s">
        <v>6303</v>
      </c>
      <c r="B971" t="s">
        <v>6328</v>
      </c>
      <c r="C971">
        <v>1</v>
      </c>
      <c r="D971" t="e">
        <v>#N/A</v>
      </c>
      <c r="E971" t="e">
        <v>#N/A</v>
      </c>
      <c r="F971" t="s">
        <v>6329</v>
      </c>
      <c r="G971" t="s">
        <v>6330</v>
      </c>
      <c r="H971" t="s">
        <v>4581</v>
      </c>
    </row>
    <row r="972" spans="1:8" x14ac:dyDescent="0.3">
      <c r="A972">
        <v>-4499723</v>
      </c>
      <c r="B972" t="s">
        <v>5671</v>
      </c>
      <c r="C972">
        <v>4499723</v>
      </c>
      <c r="D972" t="s">
        <v>5672</v>
      </c>
      <c r="E972" t="s">
        <v>3366</v>
      </c>
      <c r="F972" t="s">
        <v>6911</v>
      </c>
      <c r="G972" t="s">
        <v>6912</v>
      </c>
      <c r="H972" t="s">
        <v>6913</v>
      </c>
    </row>
    <row r="973" spans="1:8" x14ac:dyDescent="0.3">
      <c r="A973">
        <v>-4501202</v>
      </c>
      <c r="B973" t="s">
        <v>4195</v>
      </c>
      <c r="C973">
        <v>4501202</v>
      </c>
      <c r="D973" t="s">
        <v>4191</v>
      </c>
      <c r="E973" t="s">
        <v>4085</v>
      </c>
      <c r="F973" t="s">
        <v>4196</v>
      </c>
      <c r="G973" t="s">
        <v>4197</v>
      </c>
      <c r="H973" t="s">
        <v>4198</v>
      </c>
    </row>
    <row r="974" spans="1:8" x14ac:dyDescent="0.3">
      <c r="A974">
        <v>-4994019</v>
      </c>
      <c r="B974" t="s">
        <v>2718</v>
      </c>
      <c r="C974">
        <v>4994019</v>
      </c>
      <c r="D974" t="s">
        <v>2719</v>
      </c>
      <c r="E974" t="s">
        <v>2720</v>
      </c>
      <c r="F974" t="s">
        <v>2721</v>
      </c>
      <c r="G974" t="s">
        <v>2722</v>
      </c>
      <c r="H974" t="s">
        <v>2723</v>
      </c>
    </row>
    <row r="975" spans="1:8" x14ac:dyDescent="0.3">
      <c r="A975">
        <v>-4499573</v>
      </c>
      <c r="B975" t="s">
        <v>5823</v>
      </c>
      <c r="C975">
        <v>4499573</v>
      </c>
      <c r="D975" t="s">
        <v>5822</v>
      </c>
      <c r="E975" t="s">
        <v>2948</v>
      </c>
      <c r="F975" t="s">
        <v>6790</v>
      </c>
      <c r="G975" t="s">
        <v>6791</v>
      </c>
      <c r="H975" t="s">
        <v>6792</v>
      </c>
    </row>
    <row r="976" spans="1:8" x14ac:dyDescent="0.3">
      <c r="A976">
        <v>-4500942</v>
      </c>
      <c r="B976" t="s">
        <v>4542</v>
      </c>
      <c r="C976">
        <v>4500942</v>
      </c>
      <c r="D976" t="s">
        <v>4543</v>
      </c>
      <c r="E976" t="s">
        <v>4529</v>
      </c>
      <c r="F976" t="s">
        <v>4544</v>
      </c>
      <c r="G976" t="s">
        <v>4545</v>
      </c>
      <c r="H976" t="s">
        <v>4546</v>
      </c>
    </row>
    <row r="977" spans="1:8" x14ac:dyDescent="0.3">
      <c r="A977">
        <v>4501102</v>
      </c>
      <c r="B977" t="s">
        <v>5994</v>
      </c>
      <c r="C977">
        <v>4501102</v>
      </c>
      <c r="D977" t="s">
        <v>4309</v>
      </c>
      <c r="E977" t="s">
        <v>4267</v>
      </c>
      <c r="F977" t="s">
        <v>5110</v>
      </c>
      <c r="G977" t="s">
        <v>5111</v>
      </c>
      <c r="H977" t="s">
        <v>5112</v>
      </c>
    </row>
    <row r="978" spans="1:8" x14ac:dyDescent="0.3">
      <c r="A978">
        <v>-4499888</v>
      </c>
      <c r="B978" t="s">
        <v>5526</v>
      </c>
      <c r="C978">
        <v>4499888</v>
      </c>
      <c r="D978" t="s">
        <v>5527</v>
      </c>
      <c r="E978" t="s">
        <v>4267</v>
      </c>
      <c r="F978" t="s">
        <v>6755</v>
      </c>
      <c r="G978" t="s">
        <v>6756</v>
      </c>
      <c r="H978" t="s">
        <v>2589</v>
      </c>
    </row>
    <row r="979" spans="1:8" x14ac:dyDescent="0.3">
      <c r="A979">
        <v>-4501530</v>
      </c>
      <c r="B979" t="s">
        <v>3743</v>
      </c>
      <c r="C979">
        <v>4501530</v>
      </c>
      <c r="D979" t="s">
        <v>3744</v>
      </c>
      <c r="E979" t="s">
        <v>3745</v>
      </c>
      <c r="F979" t="s">
        <v>3746</v>
      </c>
      <c r="G979" t="s">
        <v>3747</v>
      </c>
      <c r="H979" t="s">
        <v>3748</v>
      </c>
    </row>
    <row r="980" spans="1:8" x14ac:dyDescent="0.3">
      <c r="A980">
        <v>-4500825</v>
      </c>
      <c r="B980" t="s">
        <v>4687</v>
      </c>
      <c r="C980">
        <v>4500825</v>
      </c>
      <c r="D980" t="s">
        <v>4688</v>
      </c>
      <c r="E980" t="s">
        <v>3173</v>
      </c>
      <c r="F980" t="s">
        <v>6572</v>
      </c>
      <c r="G980" t="s">
        <v>6573</v>
      </c>
      <c r="H980" t="s">
        <v>6574</v>
      </c>
    </row>
    <row r="981" spans="1:8" x14ac:dyDescent="0.3">
      <c r="A981" t="s">
        <v>6433</v>
      </c>
      <c r="B981">
        <v>34195000852</v>
      </c>
      <c r="C981" t="e">
        <v>#VALUE!</v>
      </c>
      <c r="D981" t="e">
        <v>#VALUE!</v>
      </c>
      <c r="E981" t="e">
        <v>#VALUE!</v>
      </c>
      <c r="F981" t="s">
        <v>6914</v>
      </c>
      <c r="G981" t="s">
        <v>6915</v>
      </c>
      <c r="H981" t="s">
        <v>6916</v>
      </c>
    </row>
    <row r="982" spans="1:8" x14ac:dyDescent="0.3">
      <c r="A982">
        <v>-4993934</v>
      </c>
      <c r="B982" t="s">
        <v>2808</v>
      </c>
      <c r="C982">
        <v>4993934</v>
      </c>
      <c r="D982" t="s">
        <v>2809</v>
      </c>
      <c r="E982" t="s">
        <v>2810</v>
      </c>
      <c r="F982" t="s">
        <v>2811</v>
      </c>
      <c r="G982" t="s">
        <v>97</v>
      </c>
      <c r="H982" t="e">
        <v>#N/A</v>
      </c>
    </row>
    <row r="983" spans="1:8" x14ac:dyDescent="0.3">
      <c r="A983">
        <v>-4500397</v>
      </c>
      <c r="B983" t="s">
        <v>5060</v>
      </c>
      <c r="C983">
        <v>4500397</v>
      </c>
      <c r="D983" t="s">
        <v>5061</v>
      </c>
      <c r="E983" t="s">
        <v>3311</v>
      </c>
      <c r="F983" t="s">
        <v>5062</v>
      </c>
      <c r="G983" t="s">
        <v>5063</v>
      </c>
      <c r="H983" t="s">
        <v>3565</v>
      </c>
    </row>
    <row r="984" spans="1:8" x14ac:dyDescent="0.3">
      <c r="A984">
        <v>-4499655</v>
      </c>
      <c r="B984" t="s">
        <v>5740</v>
      </c>
      <c r="C984">
        <v>4499655</v>
      </c>
      <c r="D984" t="s">
        <v>5741</v>
      </c>
      <c r="E984" t="s">
        <v>5046</v>
      </c>
      <c r="F984" t="s">
        <v>5814</v>
      </c>
      <c r="G984" t="s">
        <v>5815</v>
      </c>
      <c r="H984" t="s">
        <v>4389</v>
      </c>
    </row>
    <row r="985" spans="1:8" x14ac:dyDescent="0.3">
      <c r="A985">
        <v>-4993991</v>
      </c>
      <c r="B985" t="s">
        <v>2764</v>
      </c>
      <c r="C985">
        <v>4993991</v>
      </c>
      <c r="D985" t="s">
        <v>2765</v>
      </c>
      <c r="E985" t="s">
        <v>2766</v>
      </c>
      <c r="F985" t="s">
        <v>2767</v>
      </c>
      <c r="G985" t="s">
        <v>2768</v>
      </c>
      <c r="H985" t="s">
        <v>2769</v>
      </c>
    </row>
    <row r="986" spans="1:8" x14ac:dyDescent="0.3">
      <c r="A986">
        <v>-4501302</v>
      </c>
      <c r="B986" t="s">
        <v>4029</v>
      </c>
      <c r="C986">
        <v>4501302</v>
      </c>
      <c r="D986" t="s">
        <v>3809</v>
      </c>
      <c r="E986" t="s">
        <v>4028</v>
      </c>
      <c r="F986" t="s">
        <v>6469</v>
      </c>
      <c r="G986" t="s">
        <v>5346</v>
      </c>
      <c r="H986" t="s">
        <v>6470</v>
      </c>
    </row>
    <row r="987" spans="1:8" x14ac:dyDescent="0.3">
      <c r="A987">
        <v>-4993962</v>
      </c>
      <c r="B987" t="s">
        <v>2786</v>
      </c>
      <c r="C987">
        <v>4993962</v>
      </c>
      <c r="D987" t="s">
        <v>2787</v>
      </c>
      <c r="E987" t="s">
        <v>2788</v>
      </c>
      <c r="F987" t="s">
        <v>2789</v>
      </c>
      <c r="G987" t="s">
        <v>2790</v>
      </c>
      <c r="H987" t="s">
        <v>2791</v>
      </c>
    </row>
    <row r="988" spans="1:8" x14ac:dyDescent="0.3">
      <c r="A988">
        <v>-4501763</v>
      </c>
      <c r="B988" t="s">
        <v>3294</v>
      </c>
      <c r="C988">
        <v>4501763</v>
      </c>
      <c r="D988" t="s">
        <v>3295</v>
      </c>
      <c r="E988" t="s">
        <v>2580</v>
      </c>
      <c r="F988" t="s">
        <v>3296</v>
      </c>
      <c r="G988" t="s">
        <v>3297</v>
      </c>
      <c r="H988" t="s">
        <v>2583</v>
      </c>
    </row>
    <row r="989" spans="1:8" x14ac:dyDescent="0.3">
      <c r="A989" t="s">
        <v>6406</v>
      </c>
      <c r="B989" t="s">
        <v>6407</v>
      </c>
      <c r="C989" t="e">
        <v>#VALUE!</v>
      </c>
      <c r="D989" t="e">
        <v>#VALUE!</v>
      </c>
      <c r="E989" t="e">
        <v>#VALUE!</v>
      </c>
      <c r="F989" t="s">
        <v>6408</v>
      </c>
      <c r="G989" t="s">
        <v>6409</v>
      </c>
      <c r="H989" t="s">
        <v>6410</v>
      </c>
    </row>
    <row r="990" spans="1:8" x14ac:dyDescent="0.3">
      <c r="A990">
        <v>-4499843</v>
      </c>
      <c r="B990" t="s">
        <v>5570</v>
      </c>
      <c r="C990">
        <v>1</v>
      </c>
      <c r="D990" t="e">
        <v>#N/A</v>
      </c>
      <c r="E990" t="e">
        <v>#N/A</v>
      </c>
      <c r="F990" t="s">
        <v>5571</v>
      </c>
      <c r="G990" t="s">
        <v>97</v>
      </c>
      <c r="H990" t="e">
        <v>#N/A</v>
      </c>
    </row>
    <row r="991" spans="1:8" x14ac:dyDescent="0.3">
      <c r="A991">
        <v>-4500076</v>
      </c>
      <c r="B991" t="s">
        <v>5336</v>
      </c>
      <c r="C991">
        <v>4500076</v>
      </c>
      <c r="D991" t="s">
        <v>5335</v>
      </c>
      <c r="E991" t="s">
        <v>2995</v>
      </c>
      <c r="F991" t="s">
        <v>6724</v>
      </c>
      <c r="G991" t="s">
        <v>6725</v>
      </c>
      <c r="H991" t="s">
        <v>2694</v>
      </c>
    </row>
    <row r="992" spans="1:8" x14ac:dyDescent="0.3">
      <c r="A992">
        <v>-4499370</v>
      </c>
      <c r="B992" t="s">
        <v>5984</v>
      </c>
      <c r="C992">
        <v>4499370</v>
      </c>
      <c r="D992" t="s">
        <v>3842</v>
      </c>
      <c r="E992" t="s">
        <v>5928</v>
      </c>
      <c r="F992" t="s">
        <v>5985</v>
      </c>
      <c r="G992" t="s">
        <v>5986</v>
      </c>
      <c r="H992" t="s">
        <v>3960</v>
      </c>
    </row>
    <row r="993" spans="1:8" x14ac:dyDescent="0.3">
      <c r="A993">
        <v>-4500809</v>
      </c>
      <c r="B993" t="s">
        <v>4710</v>
      </c>
      <c r="C993">
        <v>4500809</v>
      </c>
      <c r="D993" t="s">
        <v>4260</v>
      </c>
      <c r="E993" t="s">
        <v>4100</v>
      </c>
      <c r="F993" t="s">
        <v>4711</v>
      </c>
      <c r="G993" t="s">
        <v>4712</v>
      </c>
      <c r="H993" t="s">
        <v>4713</v>
      </c>
    </row>
    <row r="994" spans="1:8" x14ac:dyDescent="0.3">
      <c r="A994">
        <v>-4499554</v>
      </c>
      <c r="B994" t="s">
        <v>5856</v>
      </c>
      <c r="C994">
        <v>4499554</v>
      </c>
      <c r="D994" t="s">
        <v>5857</v>
      </c>
      <c r="E994" t="s">
        <v>2995</v>
      </c>
      <c r="F994" t="s">
        <v>5858</v>
      </c>
      <c r="G994" t="s">
        <v>5859</v>
      </c>
      <c r="H994" t="s">
        <v>2694</v>
      </c>
    </row>
    <row r="995" spans="1:8" x14ac:dyDescent="0.3">
      <c r="A995" t="s">
        <v>6303</v>
      </c>
      <c r="B995" t="s">
        <v>6308</v>
      </c>
      <c r="C995">
        <v>4499783</v>
      </c>
      <c r="D995" t="s">
        <v>5616</v>
      </c>
      <c r="E995" t="s">
        <v>4885</v>
      </c>
      <c r="F995" t="s">
        <v>5858</v>
      </c>
      <c r="G995" t="s">
        <v>5859</v>
      </c>
      <c r="H995" t="s">
        <v>2694</v>
      </c>
    </row>
    <row r="996" spans="1:8" x14ac:dyDescent="0.3">
      <c r="A996">
        <v>-5052847</v>
      </c>
      <c r="B996" t="s">
        <v>2590</v>
      </c>
      <c r="C996">
        <v>5052847</v>
      </c>
      <c r="D996" t="s">
        <v>2591</v>
      </c>
      <c r="E996" t="s">
        <v>2592</v>
      </c>
      <c r="F996" t="s">
        <v>2593</v>
      </c>
      <c r="G996" t="s">
        <v>2594</v>
      </c>
      <c r="H996" t="s">
        <v>2595</v>
      </c>
    </row>
    <row r="997" spans="1:8" x14ac:dyDescent="0.3">
      <c r="A997">
        <v>-4500812</v>
      </c>
      <c r="B997" t="s">
        <v>4707</v>
      </c>
      <c r="C997">
        <v>4500812</v>
      </c>
      <c r="D997" t="s">
        <v>4708</v>
      </c>
      <c r="E997" t="s">
        <v>4705</v>
      </c>
      <c r="F997" t="s">
        <v>6582</v>
      </c>
      <c r="G997" t="s">
        <v>6583</v>
      </c>
      <c r="H997" t="s">
        <v>3181</v>
      </c>
    </row>
    <row r="998" spans="1:8" x14ac:dyDescent="0.3">
      <c r="A998">
        <v>-4994079</v>
      </c>
      <c r="B998" t="s">
        <v>2689</v>
      </c>
      <c r="C998">
        <v>4994079</v>
      </c>
      <c r="D998" t="s">
        <v>2690</v>
      </c>
      <c r="E998" t="s">
        <v>2691</v>
      </c>
      <c r="F998" t="s">
        <v>2692</v>
      </c>
      <c r="G998" t="s">
        <v>2693</v>
      </c>
      <c r="H998" t="s">
        <v>2694</v>
      </c>
    </row>
    <row r="999" spans="1:8" x14ac:dyDescent="0.3">
      <c r="A999">
        <v>-4757664</v>
      </c>
      <c r="B999" t="s">
        <v>2834</v>
      </c>
      <c r="C999">
        <v>4757664</v>
      </c>
      <c r="D999" t="s">
        <v>2835</v>
      </c>
      <c r="E999" t="s">
        <v>2836</v>
      </c>
      <c r="F999" t="s">
        <v>2837</v>
      </c>
      <c r="G999" t="s">
        <v>2838</v>
      </c>
      <c r="H999" t="s">
        <v>2839</v>
      </c>
    </row>
    <row r="1000" spans="1:8" x14ac:dyDescent="0.3">
      <c r="A1000">
        <v>-4499818</v>
      </c>
      <c r="B1000" t="s">
        <v>5593</v>
      </c>
      <c r="C1000">
        <v>4499818</v>
      </c>
      <c r="D1000" t="s">
        <v>5590</v>
      </c>
      <c r="E1000" t="s">
        <v>2942</v>
      </c>
      <c r="F1000" t="s">
        <v>5591</v>
      </c>
      <c r="G1000" t="s">
        <v>5592</v>
      </c>
      <c r="H1000" t="s">
        <v>2945</v>
      </c>
    </row>
    <row r="1001" spans="1:8" x14ac:dyDescent="0.3">
      <c r="A1001">
        <v>-4757655</v>
      </c>
      <c r="B1001" t="s">
        <v>2868</v>
      </c>
      <c r="C1001">
        <v>4757655</v>
      </c>
      <c r="D1001" t="s">
        <v>2869</v>
      </c>
      <c r="E1001" t="s">
        <v>2870</v>
      </c>
      <c r="F1001" t="s">
        <v>2871</v>
      </c>
      <c r="G1001" t="s">
        <v>2872</v>
      </c>
      <c r="H1001" t="s">
        <v>2873</v>
      </c>
    </row>
    <row r="1002" spans="1:8" x14ac:dyDescent="0.3">
      <c r="A1002">
        <v>-4499639</v>
      </c>
      <c r="B1002" t="s">
        <v>5758</v>
      </c>
      <c r="C1002">
        <v>4499639</v>
      </c>
      <c r="D1002" t="s">
        <v>5759</v>
      </c>
      <c r="E1002" t="s">
        <v>4514</v>
      </c>
      <c r="F1002" t="s">
        <v>5760</v>
      </c>
      <c r="G1002" t="s">
        <v>5761</v>
      </c>
      <c r="H1002" t="s">
        <v>5762</v>
      </c>
    </row>
    <row r="1003" spans="1:8" x14ac:dyDescent="0.3">
      <c r="A1003" t="s">
        <v>6345</v>
      </c>
      <c r="B1003" t="s">
        <v>6347</v>
      </c>
      <c r="C1003">
        <v>1</v>
      </c>
      <c r="D1003" t="e">
        <v>#N/A</v>
      </c>
      <c r="E1003" t="e">
        <v>#N/A</v>
      </c>
      <c r="F1003" t="s">
        <v>6348</v>
      </c>
      <c r="G1003" t="s">
        <v>6349</v>
      </c>
      <c r="H1003" t="s">
        <v>6350</v>
      </c>
    </row>
    <row r="1004" spans="1:8" x14ac:dyDescent="0.3">
      <c r="A1004">
        <v>-4501294</v>
      </c>
      <c r="B1004" t="s">
        <v>4042</v>
      </c>
      <c r="C1004">
        <v>4501294</v>
      </c>
      <c r="D1004" t="s">
        <v>4043</v>
      </c>
      <c r="E1004" t="s">
        <v>4044</v>
      </c>
      <c r="F1004" t="s">
        <v>4045</v>
      </c>
      <c r="G1004" t="s">
        <v>4046</v>
      </c>
      <c r="H1004" t="s">
        <v>4047</v>
      </c>
    </row>
    <row r="1005" spans="1:8" x14ac:dyDescent="0.3">
      <c r="A1005" t="s">
        <v>6260</v>
      </c>
      <c r="B1005" t="s">
        <v>6270</v>
      </c>
      <c r="C1005">
        <v>4501502</v>
      </c>
      <c r="D1005" t="s">
        <v>3806</v>
      </c>
      <c r="E1005" t="s">
        <v>3793</v>
      </c>
      <c r="F1005" t="s">
        <v>6271</v>
      </c>
      <c r="G1005" t="s">
        <v>6272</v>
      </c>
      <c r="H1005" t="s">
        <v>6273</v>
      </c>
    </row>
    <row r="1006" spans="1:8" x14ac:dyDescent="0.3">
      <c r="A1006">
        <v>-4500950</v>
      </c>
      <c r="B1006" t="s">
        <v>4533</v>
      </c>
      <c r="C1006">
        <v>4500950</v>
      </c>
      <c r="D1006" t="s">
        <v>3252</v>
      </c>
      <c r="E1006" t="s">
        <v>4529</v>
      </c>
      <c r="F1006" t="s">
        <v>4534</v>
      </c>
      <c r="G1006" t="s">
        <v>97</v>
      </c>
      <c r="H1006" t="e">
        <v>#N/A</v>
      </c>
    </row>
    <row r="1007" spans="1:8" x14ac:dyDescent="0.3">
      <c r="A1007">
        <v>-4501099</v>
      </c>
      <c r="B1007" t="s">
        <v>4318</v>
      </c>
      <c r="C1007">
        <v>4501099</v>
      </c>
      <c r="D1007" t="s">
        <v>4319</v>
      </c>
      <c r="E1007" t="s">
        <v>4267</v>
      </c>
      <c r="F1007">
        <v>1</v>
      </c>
      <c r="G1007" t="s">
        <v>97</v>
      </c>
      <c r="H1007" t="e">
        <v>#N/A</v>
      </c>
    </row>
    <row r="1008" spans="1:8" x14ac:dyDescent="0.3">
      <c r="A1008">
        <v>-4500294</v>
      </c>
      <c r="B1008" t="s">
        <v>4318</v>
      </c>
      <c r="C1008">
        <v>4500294</v>
      </c>
      <c r="D1008" t="s">
        <v>3252</v>
      </c>
      <c r="E1008" t="s">
        <v>5046</v>
      </c>
      <c r="F1008" t="s">
        <v>4320</v>
      </c>
      <c r="G1008" t="s">
        <v>3067</v>
      </c>
      <c r="H1008" t="s">
        <v>4321</v>
      </c>
    </row>
    <row r="1009" spans="1:8" x14ac:dyDescent="0.3">
      <c r="A1009">
        <v>-4501559</v>
      </c>
      <c r="B1009" t="s">
        <v>3683</v>
      </c>
      <c r="C1009">
        <v>4501559</v>
      </c>
      <c r="D1009" t="s">
        <v>3357</v>
      </c>
      <c r="E1009" t="s">
        <v>3673</v>
      </c>
      <c r="F1009" t="s">
        <v>3684</v>
      </c>
      <c r="G1009" t="s">
        <v>3685</v>
      </c>
      <c r="H1009" t="s">
        <v>3686</v>
      </c>
    </row>
    <row r="1010" spans="1:8" x14ac:dyDescent="0.3">
      <c r="A1010">
        <v>-4500440</v>
      </c>
      <c r="B1010" t="s">
        <v>5025</v>
      </c>
      <c r="C1010">
        <v>4500440</v>
      </c>
      <c r="D1010" t="s">
        <v>5026</v>
      </c>
      <c r="E1010" t="s">
        <v>2636</v>
      </c>
      <c r="F1010" t="s">
        <v>3684</v>
      </c>
      <c r="G1010" t="s">
        <v>3685</v>
      </c>
      <c r="H1010" t="s">
        <v>3686</v>
      </c>
    </row>
    <row r="1011" spans="1:8" x14ac:dyDescent="0.3">
      <c r="A1011">
        <v>-4500274</v>
      </c>
      <c r="B1011" t="s">
        <v>5163</v>
      </c>
      <c r="C1011">
        <v>4500274</v>
      </c>
      <c r="D1011" t="s">
        <v>5164</v>
      </c>
      <c r="E1011" t="s">
        <v>4262</v>
      </c>
      <c r="F1011" t="s">
        <v>5165</v>
      </c>
      <c r="G1011" t="s">
        <v>5166</v>
      </c>
      <c r="H1011" t="s">
        <v>2723</v>
      </c>
    </row>
    <row r="1012" spans="1:8" x14ac:dyDescent="0.3">
      <c r="A1012" t="s">
        <v>6405</v>
      </c>
      <c r="B1012">
        <v>3702337715</v>
      </c>
      <c r="C1012">
        <v>1</v>
      </c>
      <c r="D1012" t="e">
        <v>#N/A</v>
      </c>
      <c r="E1012" t="e">
        <v>#N/A</v>
      </c>
      <c r="F1012" t="s">
        <v>6917</v>
      </c>
      <c r="G1012" t="s">
        <v>97</v>
      </c>
      <c r="H1012" t="e">
        <v>#N/A</v>
      </c>
    </row>
    <row r="1013" spans="1:8" x14ac:dyDescent="0.3">
      <c r="A1013">
        <v>-4500696</v>
      </c>
      <c r="B1013" t="s">
        <v>4822</v>
      </c>
      <c r="C1013">
        <v>4500696</v>
      </c>
      <c r="D1013" t="s">
        <v>4823</v>
      </c>
      <c r="E1013" t="s">
        <v>4821</v>
      </c>
      <c r="F1013" t="s">
        <v>6630</v>
      </c>
      <c r="G1013" t="s">
        <v>6631</v>
      </c>
      <c r="H1013" t="s">
        <v>6629</v>
      </c>
    </row>
    <row r="1014" spans="1:8" x14ac:dyDescent="0.3">
      <c r="A1014">
        <v>-4499972</v>
      </c>
      <c r="B1014" t="s">
        <v>5443</v>
      </c>
      <c r="C1014">
        <v>4499972</v>
      </c>
      <c r="D1014" t="s">
        <v>4984</v>
      </c>
      <c r="E1014" t="s">
        <v>2995</v>
      </c>
      <c r="F1014" t="s">
        <v>5444</v>
      </c>
      <c r="G1014" t="s">
        <v>5445</v>
      </c>
      <c r="H1014" t="s">
        <v>5446</v>
      </c>
    </row>
    <row r="1015" spans="1:8" x14ac:dyDescent="0.3">
      <c r="A1015" t="s">
        <v>6351</v>
      </c>
      <c r="B1015" t="s">
        <v>6361</v>
      </c>
      <c r="C1015">
        <v>1</v>
      </c>
      <c r="D1015" t="e">
        <v>#N/A</v>
      </c>
      <c r="E1015" t="e">
        <v>#N/A</v>
      </c>
      <c r="F1015" t="s">
        <v>6362</v>
      </c>
      <c r="G1015" t="s">
        <v>6363</v>
      </c>
      <c r="H1015" t="s">
        <v>4016</v>
      </c>
    </row>
    <row r="1016" spans="1:8" x14ac:dyDescent="0.3">
      <c r="A1016">
        <v>-4499706</v>
      </c>
      <c r="B1016" t="s">
        <v>5675</v>
      </c>
      <c r="C1016">
        <v>4499706</v>
      </c>
      <c r="D1016" t="s">
        <v>5676</v>
      </c>
      <c r="E1016" t="s">
        <v>2942</v>
      </c>
      <c r="F1016" t="s">
        <v>6769</v>
      </c>
      <c r="G1016" t="s">
        <v>6770</v>
      </c>
      <c r="H1016" t="s">
        <v>6771</v>
      </c>
    </row>
    <row r="1017" spans="1:8" x14ac:dyDescent="0.3">
      <c r="A1017">
        <v>-4501740</v>
      </c>
      <c r="B1017" t="s">
        <v>3370</v>
      </c>
      <c r="C1017">
        <v>4501740</v>
      </c>
      <c r="D1017" t="s">
        <v>3371</v>
      </c>
      <c r="E1017" t="s">
        <v>3372</v>
      </c>
      <c r="F1017" t="s">
        <v>3373</v>
      </c>
      <c r="G1017" t="s">
        <v>3374</v>
      </c>
      <c r="H1017" t="s">
        <v>3375</v>
      </c>
    </row>
    <row r="1018" spans="1:8" x14ac:dyDescent="0.3">
      <c r="A1018">
        <v>-4500279</v>
      </c>
      <c r="B1018" t="s">
        <v>5161</v>
      </c>
      <c r="C1018">
        <v>4500279</v>
      </c>
      <c r="D1018" t="s">
        <v>5162</v>
      </c>
      <c r="E1018" t="s">
        <v>3900</v>
      </c>
      <c r="F1018" t="s">
        <v>6704</v>
      </c>
      <c r="G1018" t="s">
        <v>6705</v>
      </c>
      <c r="H1018" t="s">
        <v>2757</v>
      </c>
    </row>
    <row r="1019" spans="1:8" x14ac:dyDescent="0.3">
      <c r="A1019">
        <v>-4500755</v>
      </c>
      <c r="B1019" t="s">
        <v>4758</v>
      </c>
      <c r="C1019">
        <v>4500755</v>
      </c>
      <c r="D1019" t="s">
        <v>4759</v>
      </c>
      <c r="E1019" t="s">
        <v>3197</v>
      </c>
      <c r="F1019" t="s">
        <v>4760</v>
      </c>
      <c r="G1019" t="s">
        <v>97</v>
      </c>
      <c r="H1019" t="e">
        <v>#N/A</v>
      </c>
    </row>
    <row r="1020" spans="1:8" x14ac:dyDescent="0.3">
      <c r="A1020">
        <v>-4629975</v>
      </c>
      <c r="B1020" t="s">
        <v>2930</v>
      </c>
      <c r="C1020">
        <v>4629975</v>
      </c>
      <c r="D1020" t="s">
        <v>2931</v>
      </c>
      <c r="E1020" t="s">
        <v>2932</v>
      </c>
      <c r="F1020" t="s">
        <v>2933</v>
      </c>
      <c r="G1020" t="s">
        <v>97</v>
      </c>
      <c r="H1020" t="e">
        <v>#N/A</v>
      </c>
    </row>
    <row r="1021" spans="1:8" x14ac:dyDescent="0.3">
      <c r="A1021" t="s">
        <v>6303</v>
      </c>
      <c r="B1021" t="s">
        <v>4574</v>
      </c>
      <c r="C1021">
        <v>1</v>
      </c>
      <c r="D1021" t="e">
        <v>#N/A</v>
      </c>
      <c r="E1021" t="e">
        <v>#N/A</v>
      </c>
      <c r="F1021" t="s">
        <v>4576</v>
      </c>
      <c r="G1021" t="s">
        <v>97</v>
      </c>
      <c r="H1021" t="e">
        <v>#N/A</v>
      </c>
    </row>
    <row r="1022" spans="1:8" x14ac:dyDescent="0.3">
      <c r="A1022" t="s">
        <v>6388</v>
      </c>
      <c r="B1022" t="s">
        <v>6389</v>
      </c>
      <c r="C1022" t="e">
        <v>#VALUE!</v>
      </c>
      <c r="D1022" t="e">
        <v>#VALUE!</v>
      </c>
      <c r="E1022" t="e">
        <v>#VALUE!</v>
      </c>
      <c r="F1022" t="s">
        <v>6390</v>
      </c>
      <c r="G1022" t="s">
        <v>97</v>
      </c>
      <c r="H1022" t="e">
        <v>#N/A</v>
      </c>
    </row>
    <row r="1023" spans="1:8" x14ac:dyDescent="0.3">
      <c r="A1023">
        <v>-4501952</v>
      </c>
      <c r="B1023" t="s">
        <v>2958</v>
      </c>
      <c r="C1023">
        <v>4501952</v>
      </c>
      <c r="D1023" t="s">
        <v>2959</v>
      </c>
      <c r="E1023" t="s">
        <v>2942</v>
      </c>
      <c r="F1023" t="s">
        <v>2960</v>
      </c>
      <c r="G1023" t="s">
        <v>97</v>
      </c>
      <c r="H1023" t="e">
        <v>#N/A</v>
      </c>
    </row>
    <row r="1024" spans="1:8" x14ac:dyDescent="0.3">
      <c r="A1024">
        <v>-4499495</v>
      </c>
      <c r="B1024" t="s">
        <v>5927</v>
      </c>
      <c r="C1024">
        <v>1</v>
      </c>
      <c r="D1024" t="e">
        <v>#N/A</v>
      </c>
      <c r="E1024" t="e">
        <v>#N/A</v>
      </c>
      <c r="F1024" t="s">
        <v>5929</v>
      </c>
      <c r="G1024" t="s">
        <v>5930</v>
      </c>
      <c r="H1024" t="s">
        <v>5931</v>
      </c>
    </row>
    <row r="1025" spans="1:8" x14ac:dyDescent="0.3">
      <c r="A1025" t="s">
        <v>6434</v>
      </c>
      <c r="B1025" t="s">
        <v>6435</v>
      </c>
      <c r="C1025" t="e">
        <v>#VALUE!</v>
      </c>
      <c r="D1025" t="e">
        <v>#VALUE!</v>
      </c>
      <c r="E1025" t="e">
        <v>#VALUE!</v>
      </c>
      <c r="F1025" t="s">
        <v>5929</v>
      </c>
      <c r="G1025" t="s">
        <v>5930</v>
      </c>
      <c r="H1025" t="s">
        <v>5931</v>
      </c>
    </row>
    <row r="1026" spans="1:8" x14ac:dyDescent="0.3">
      <c r="A1026">
        <v>-4501926</v>
      </c>
      <c r="B1026" t="s">
        <v>3001</v>
      </c>
      <c r="C1026">
        <v>4501926</v>
      </c>
      <c r="D1026" t="s">
        <v>3002</v>
      </c>
      <c r="E1026" t="s">
        <v>2939</v>
      </c>
      <c r="F1026" t="s">
        <v>3003</v>
      </c>
      <c r="G1026" t="s">
        <v>97</v>
      </c>
      <c r="H1026" t="e">
        <v>#N/A</v>
      </c>
    </row>
    <row r="1027" spans="1:8" x14ac:dyDescent="0.3">
      <c r="A1027">
        <v>-4501377</v>
      </c>
      <c r="B1027" t="s">
        <v>3934</v>
      </c>
      <c r="C1027">
        <v>4501377</v>
      </c>
      <c r="D1027" t="s">
        <v>3935</v>
      </c>
      <c r="E1027" t="s">
        <v>2942</v>
      </c>
      <c r="F1027" t="s">
        <v>3936</v>
      </c>
      <c r="G1027" t="s">
        <v>97</v>
      </c>
      <c r="H1027" t="e">
        <v>#N/A</v>
      </c>
    </row>
    <row r="1028" spans="1:8" x14ac:dyDescent="0.3">
      <c r="A1028">
        <v>-4499510</v>
      </c>
      <c r="B1028" t="s">
        <v>5896</v>
      </c>
      <c r="C1028">
        <v>4499510</v>
      </c>
      <c r="D1028" t="s">
        <v>2931</v>
      </c>
      <c r="E1028" t="s">
        <v>5897</v>
      </c>
      <c r="F1028" t="s">
        <v>5898</v>
      </c>
      <c r="G1028" t="s">
        <v>5899</v>
      </c>
      <c r="H1028" t="s">
        <v>4585</v>
      </c>
    </row>
    <row r="1029" spans="1:8" x14ac:dyDescent="0.3">
      <c r="A1029">
        <v>-4501426</v>
      </c>
      <c r="B1029" t="s">
        <v>3893</v>
      </c>
      <c r="C1029">
        <v>4501426</v>
      </c>
      <c r="D1029" t="s">
        <v>3894</v>
      </c>
      <c r="E1029" t="s">
        <v>2939</v>
      </c>
      <c r="F1029" t="s">
        <v>3895</v>
      </c>
      <c r="G1029" t="s">
        <v>3896</v>
      </c>
      <c r="H1029" t="s">
        <v>3897</v>
      </c>
    </row>
    <row r="1030" spans="1:8" x14ac:dyDescent="0.3">
      <c r="A1030" t="s">
        <v>6379</v>
      </c>
      <c r="B1030" t="s">
        <v>6384</v>
      </c>
      <c r="C1030" t="e">
        <v>#VALUE!</v>
      </c>
      <c r="D1030" t="e">
        <v>#VALUE!</v>
      </c>
      <c r="E1030" t="e">
        <v>#VALUE!</v>
      </c>
      <c r="F1030" t="s">
        <v>6385</v>
      </c>
      <c r="G1030" t="s">
        <v>6386</v>
      </c>
      <c r="H1030" t="s">
        <v>6387</v>
      </c>
    </row>
    <row r="1031" spans="1:8" x14ac:dyDescent="0.3">
      <c r="A1031">
        <v>-4500689</v>
      </c>
      <c r="B1031" t="s">
        <v>4826</v>
      </c>
      <c r="C1031">
        <v>4500689</v>
      </c>
      <c r="D1031" t="s">
        <v>4827</v>
      </c>
      <c r="E1031" t="s">
        <v>3664</v>
      </c>
      <c r="F1031" t="s">
        <v>4828</v>
      </c>
      <c r="G1031" t="s">
        <v>4829</v>
      </c>
      <c r="H1031" t="s">
        <v>4830</v>
      </c>
    </row>
    <row r="1032" spans="1:8" x14ac:dyDescent="0.3">
      <c r="A1032" t="s">
        <v>6303</v>
      </c>
      <c r="B1032" t="s">
        <v>4159</v>
      </c>
      <c r="C1032">
        <v>1</v>
      </c>
      <c r="D1032" t="e">
        <v>#N/A</v>
      </c>
      <c r="E1032" t="e">
        <v>#N/A</v>
      </c>
      <c r="F1032" t="s">
        <v>4157</v>
      </c>
      <c r="G1032" t="s">
        <v>97</v>
      </c>
      <c r="H1032" t="e">
        <v>#N/A</v>
      </c>
    </row>
    <row r="1033" spans="1:8" x14ac:dyDescent="0.3">
      <c r="A1033">
        <v>-4501399</v>
      </c>
      <c r="B1033" t="s">
        <v>3918</v>
      </c>
      <c r="C1033">
        <v>4501399</v>
      </c>
      <c r="D1033" t="s">
        <v>3919</v>
      </c>
      <c r="E1033" t="s">
        <v>2948</v>
      </c>
      <c r="F1033" t="s">
        <v>3920</v>
      </c>
      <c r="G1033" t="s">
        <v>97</v>
      </c>
      <c r="H1033" t="e">
        <v>#N/A</v>
      </c>
    </row>
    <row r="1034" spans="1:8" x14ac:dyDescent="0.3">
      <c r="A1034">
        <v>-4501279</v>
      </c>
      <c r="B1034" t="s">
        <v>4075</v>
      </c>
      <c r="C1034">
        <v>4501279</v>
      </c>
      <c r="D1034" t="s">
        <v>4071</v>
      </c>
      <c r="E1034" t="s">
        <v>2806</v>
      </c>
      <c r="F1034" t="s">
        <v>4076</v>
      </c>
      <c r="G1034" t="s">
        <v>97</v>
      </c>
      <c r="H1034" t="e">
        <v>#N/A</v>
      </c>
    </row>
    <row r="1035" spans="1:8" x14ac:dyDescent="0.3">
      <c r="A1035">
        <v>-4499678</v>
      </c>
      <c r="B1035" t="s">
        <v>5709</v>
      </c>
      <c r="C1035">
        <v>4499678</v>
      </c>
      <c r="D1035" t="s">
        <v>5710</v>
      </c>
      <c r="E1035" t="s">
        <v>4044</v>
      </c>
      <c r="F1035" t="s">
        <v>5711</v>
      </c>
      <c r="G1035" t="s">
        <v>97</v>
      </c>
      <c r="H1035" t="e">
        <v>#N/A</v>
      </c>
    </row>
    <row r="1036" spans="1:8" x14ac:dyDescent="0.3">
      <c r="A1036">
        <v>-4501503</v>
      </c>
      <c r="B1036" t="s">
        <v>3803</v>
      </c>
      <c r="C1036">
        <v>4501503</v>
      </c>
      <c r="D1036" t="s">
        <v>3802</v>
      </c>
      <c r="E1036" t="s">
        <v>3793</v>
      </c>
      <c r="F1036" t="s">
        <v>3804</v>
      </c>
      <c r="G1036" t="s">
        <v>97</v>
      </c>
      <c r="H1036" t="e">
        <v>#N/A</v>
      </c>
    </row>
    <row r="1037" spans="1:8" x14ac:dyDescent="0.3">
      <c r="A1037">
        <v>-4501502</v>
      </c>
      <c r="B1037" t="s">
        <v>3805</v>
      </c>
      <c r="C1037">
        <v>4501502</v>
      </c>
      <c r="D1037" t="s">
        <v>3806</v>
      </c>
      <c r="E1037" t="s">
        <v>3793</v>
      </c>
      <c r="F1037" t="s">
        <v>3807</v>
      </c>
      <c r="G1037" t="s">
        <v>97</v>
      </c>
      <c r="H1037" t="e">
        <v>#N/A</v>
      </c>
    </row>
    <row r="1038" spans="1:8" x14ac:dyDescent="0.3">
      <c r="A1038">
        <v>-4501919</v>
      </c>
      <c r="B1038" t="s">
        <v>3010</v>
      </c>
      <c r="C1038">
        <v>4501919</v>
      </c>
      <c r="D1038" t="s">
        <v>3011</v>
      </c>
      <c r="E1038" t="s">
        <v>2939</v>
      </c>
      <c r="F1038" t="s">
        <v>3012</v>
      </c>
      <c r="G1038" t="s">
        <v>3013</v>
      </c>
      <c r="H1038" t="s">
        <v>3014</v>
      </c>
    </row>
    <row r="1039" spans="1:8" x14ac:dyDescent="0.3">
      <c r="A1039">
        <v>-4501856</v>
      </c>
      <c r="B1039" t="s">
        <v>3113</v>
      </c>
      <c r="C1039">
        <v>4501856</v>
      </c>
      <c r="D1039" t="s">
        <v>3114</v>
      </c>
      <c r="E1039" t="s">
        <v>3115</v>
      </c>
      <c r="F1039">
        <v>1</v>
      </c>
      <c r="G1039" t="s">
        <v>97</v>
      </c>
      <c r="H1039" t="e">
        <v>#N/A</v>
      </c>
    </row>
    <row r="1040" spans="1:8" x14ac:dyDescent="0.3">
      <c r="A1040">
        <v>-4499895</v>
      </c>
      <c r="B1040" t="s">
        <v>5522</v>
      </c>
      <c r="C1040">
        <v>1</v>
      </c>
      <c r="D1040" t="e">
        <v>#N/A</v>
      </c>
      <c r="E1040" t="e">
        <v>#N/A</v>
      </c>
      <c r="F1040" t="s">
        <v>5523</v>
      </c>
      <c r="G1040" t="s">
        <v>5524</v>
      </c>
      <c r="H1040" t="s">
        <v>5525</v>
      </c>
    </row>
    <row r="1041" spans="1:9" x14ac:dyDescent="0.3">
      <c r="A1041">
        <v>-4501344</v>
      </c>
      <c r="B1041" t="s">
        <v>3977</v>
      </c>
      <c r="C1041">
        <v>4501344</v>
      </c>
      <c r="D1041" t="s">
        <v>3978</v>
      </c>
      <c r="E1041" t="s">
        <v>2948</v>
      </c>
      <c r="F1041" t="s">
        <v>3979</v>
      </c>
      <c r="G1041" t="s">
        <v>3980</v>
      </c>
      <c r="H1041" t="s">
        <v>3981</v>
      </c>
    </row>
    <row r="1042" spans="1:9" x14ac:dyDescent="0.3">
      <c r="A1042" t="s">
        <v>6379</v>
      </c>
      <c r="B1042" t="s">
        <v>6380</v>
      </c>
      <c r="C1042" t="e">
        <v>#VALUE!</v>
      </c>
      <c r="D1042" t="e">
        <v>#VALUE!</v>
      </c>
      <c r="E1042" t="e">
        <v>#VALUE!</v>
      </c>
      <c r="F1042" t="s">
        <v>6381</v>
      </c>
      <c r="G1042" t="s">
        <v>6382</v>
      </c>
      <c r="H1042" t="s">
        <v>6383</v>
      </c>
    </row>
    <row r="1043" spans="1:9" x14ac:dyDescent="0.3">
      <c r="A1043">
        <v>-4501793</v>
      </c>
      <c r="B1043" t="s">
        <v>3228</v>
      </c>
      <c r="C1043">
        <v>4501793</v>
      </c>
      <c r="D1043" t="s">
        <v>3229</v>
      </c>
      <c r="E1043" t="s">
        <v>3162</v>
      </c>
      <c r="F1043" t="s">
        <v>3230</v>
      </c>
      <c r="G1043" t="s">
        <v>3231</v>
      </c>
      <c r="H1043" t="s">
        <v>3232</v>
      </c>
    </row>
    <row r="1044" spans="1:9" x14ac:dyDescent="0.3">
      <c r="A1044" t="s">
        <v>6400</v>
      </c>
      <c r="B1044" t="s">
        <v>6401</v>
      </c>
      <c r="C1044" t="e">
        <v>#VALUE!</v>
      </c>
      <c r="D1044" t="e">
        <v>#VALUE!</v>
      </c>
      <c r="E1044" t="e">
        <v>#VALUE!</v>
      </c>
      <c r="F1044" t="s">
        <v>6402</v>
      </c>
      <c r="G1044" t="s">
        <v>6403</v>
      </c>
      <c r="H1044" t="s">
        <v>6404</v>
      </c>
    </row>
    <row r="1045" spans="1:9" x14ac:dyDescent="0.3">
      <c r="A1045">
        <v>-4501539</v>
      </c>
      <c r="B1045" t="s">
        <v>3723</v>
      </c>
      <c r="C1045">
        <v>4501539</v>
      </c>
      <c r="D1045" t="s">
        <v>3724</v>
      </c>
      <c r="E1045" t="s">
        <v>3722</v>
      </c>
      <c r="F1045" t="s">
        <v>3725</v>
      </c>
      <c r="G1045" t="s">
        <v>3726</v>
      </c>
      <c r="H1045" t="s">
        <v>3727</v>
      </c>
      <c r="I1045" t="s">
        <v>3728</v>
      </c>
    </row>
    <row r="1046" spans="1:9" x14ac:dyDescent="0.3">
      <c r="A1046" t="s">
        <v>6240</v>
      </c>
      <c r="B1046">
        <v>1181003094</v>
      </c>
      <c r="C1046" t="s">
        <v>6241</v>
      </c>
      <c r="D1046" t="e">
        <v>#N/A</v>
      </c>
      <c r="E1046" t="e">
        <v>#N/A</v>
      </c>
      <c r="F1046" t="s">
        <v>6242</v>
      </c>
      <c r="G1046" t="s">
        <v>97</v>
      </c>
      <c r="H1046" t="e">
        <v>#N/A</v>
      </c>
    </row>
    <row r="1047" spans="1:9" x14ac:dyDescent="0.3">
      <c r="A1047">
        <v>-4500686</v>
      </c>
      <c r="B1047">
        <v>14181000100</v>
      </c>
      <c r="C1047">
        <v>4500686</v>
      </c>
      <c r="D1047" t="s">
        <v>4831</v>
      </c>
      <c r="E1047" t="s">
        <v>3156</v>
      </c>
      <c r="F1047" t="s">
        <v>4832</v>
      </c>
      <c r="G1047" t="s">
        <v>97</v>
      </c>
      <c r="H1047" t="e">
        <v>#N/A</v>
      </c>
    </row>
    <row r="1048" spans="1:9" x14ac:dyDescent="0.3">
      <c r="A1048" t="s">
        <v>6376</v>
      </c>
      <c r="B1048">
        <v>-14181000100</v>
      </c>
      <c r="C1048" t="e">
        <v>#VALUE!</v>
      </c>
      <c r="D1048" t="e">
        <v>#VALUE!</v>
      </c>
      <c r="E1048" t="e">
        <v>#VALUE!</v>
      </c>
      <c r="F1048" t="s">
        <v>4832</v>
      </c>
      <c r="G1048" t="s">
        <v>97</v>
      </c>
      <c r="H1048" t="e">
        <v>#N/A</v>
      </c>
    </row>
    <row r="1049" spans="1:9" x14ac:dyDescent="0.3">
      <c r="A1049" t="s">
        <v>6422</v>
      </c>
      <c r="B1049">
        <v>195001255</v>
      </c>
      <c r="C1049" t="e">
        <v>#VALUE!</v>
      </c>
      <c r="D1049" t="e">
        <v>#VALUE!</v>
      </c>
      <c r="E1049" t="e">
        <v>#VALUE!</v>
      </c>
      <c r="F1049" t="s">
        <v>6423</v>
      </c>
      <c r="G1049" t="s">
        <v>97</v>
      </c>
      <c r="H1049" t="e">
        <v>#N/A</v>
      </c>
    </row>
    <row r="1050" spans="1:9" x14ac:dyDescent="0.3">
      <c r="A1050">
        <v>-4501792</v>
      </c>
      <c r="B1050" t="s">
        <v>3233</v>
      </c>
      <c r="C1050">
        <v>4501792</v>
      </c>
      <c r="D1050" t="s">
        <v>3234</v>
      </c>
      <c r="E1050" t="s">
        <v>2970</v>
      </c>
      <c r="F1050" t="s">
        <v>3235</v>
      </c>
      <c r="G1050" t="s">
        <v>97</v>
      </c>
      <c r="H1050" t="e">
        <v>#N/A</v>
      </c>
    </row>
    <row r="1051" spans="1:9" x14ac:dyDescent="0.3">
      <c r="A1051" t="s">
        <v>6012</v>
      </c>
      <c r="B1051">
        <v>-34160019515</v>
      </c>
      <c r="C1051" t="s">
        <v>6013</v>
      </c>
      <c r="D1051" t="e">
        <v>#N/A</v>
      </c>
      <c r="E1051" t="e">
        <v>#N/A</v>
      </c>
      <c r="F1051" t="s">
        <v>6014</v>
      </c>
      <c r="G1051" t="s">
        <v>97</v>
      </c>
      <c r="H1051" t="e">
        <v>#N/A</v>
      </c>
    </row>
    <row r="1052" spans="1:9" x14ac:dyDescent="0.3">
      <c r="A1052" t="s">
        <v>6391</v>
      </c>
      <c r="B1052">
        <v>4194017115</v>
      </c>
      <c r="C1052" t="e">
        <v>#VALUE!</v>
      </c>
      <c r="D1052" t="e">
        <v>#VALUE!</v>
      </c>
      <c r="E1052" t="e">
        <v>#VALUE!</v>
      </c>
      <c r="F1052" t="s">
        <v>6392</v>
      </c>
      <c r="G1052" t="s">
        <v>97</v>
      </c>
      <c r="H1052" t="e">
        <v>#N/A</v>
      </c>
    </row>
    <row r="1053" spans="1:9" x14ac:dyDescent="0.3">
      <c r="A1053">
        <v>-4501349</v>
      </c>
      <c r="B1053" t="s">
        <v>3971</v>
      </c>
      <c r="C1053">
        <v>4501349</v>
      </c>
      <c r="D1053" t="s">
        <v>3365</v>
      </c>
      <c r="E1053" t="s">
        <v>2948</v>
      </c>
      <c r="F1053" t="s">
        <v>3972</v>
      </c>
      <c r="G1053" t="s">
        <v>97</v>
      </c>
      <c r="H1053" t="e">
        <v>#N/A</v>
      </c>
    </row>
    <row r="1054" spans="1:9" x14ac:dyDescent="0.3">
      <c r="A1054">
        <v>-4500051</v>
      </c>
      <c r="B1054" t="s">
        <v>5360</v>
      </c>
      <c r="C1054">
        <v>4500051</v>
      </c>
      <c r="D1054" t="s">
        <v>5361</v>
      </c>
      <c r="E1054" t="s">
        <v>2911</v>
      </c>
      <c r="F1054" t="s">
        <v>5362</v>
      </c>
      <c r="G1054" t="s">
        <v>97</v>
      </c>
      <c r="H1054" t="e">
        <v>#N/A</v>
      </c>
    </row>
    <row r="1055" spans="1:9" x14ac:dyDescent="0.3">
      <c r="A1055">
        <v>-4500435</v>
      </c>
      <c r="B1055" t="s">
        <v>5033</v>
      </c>
      <c r="C1055">
        <v>4500435</v>
      </c>
      <c r="D1055" t="s">
        <v>5034</v>
      </c>
      <c r="E1055" t="s">
        <v>3655</v>
      </c>
      <c r="F1055" t="s">
        <v>5035</v>
      </c>
      <c r="G1055" t="s">
        <v>97</v>
      </c>
      <c r="H1055" t="e">
        <v>#N/A</v>
      </c>
    </row>
    <row r="1056" spans="1:9" x14ac:dyDescent="0.3">
      <c r="A1056">
        <v>-4501179</v>
      </c>
      <c r="B1056" t="s">
        <v>4221</v>
      </c>
      <c r="C1056">
        <v>4501179</v>
      </c>
      <c r="D1056" t="s">
        <v>4222</v>
      </c>
      <c r="E1056" t="s">
        <v>4223</v>
      </c>
      <c r="F1056" t="s">
        <v>4224</v>
      </c>
      <c r="G1056" t="s">
        <v>97</v>
      </c>
      <c r="H1056" t="e">
        <v>#N/A</v>
      </c>
    </row>
    <row r="1057" spans="1:8" x14ac:dyDescent="0.3">
      <c r="A1057" t="s">
        <v>6303</v>
      </c>
      <c r="B1057" t="s">
        <v>6314</v>
      </c>
      <c r="C1057">
        <v>1</v>
      </c>
      <c r="D1057" t="e">
        <v>#N/A</v>
      </c>
      <c r="E1057" t="e">
        <v>#N/A</v>
      </c>
      <c r="F1057" t="s">
        <v>6315</v>
      </c>
      <c r="G1057" t="s">
        <v>97</v>
      </c>
      <c r="H1057" t="e">
        <v>#N/A</v>
      </c>
    </row>
    <row r="1058" spans="1:8" x14ac:dyDescent="0.3">
      <c r="A1058">
        <v>-4501678</v>
      </c>
      <c r="B1058" t="s">
        <v>3482</v>
      </c>
      <c r="C1058">
        <v>4501678</v>
      </c>
      <c r="D1058" t="s">
        <v>3054</v>
      </c>
      <c r="E1058" t="s">
        <v>3483</v>
      </c>
      <c r="F1058" t="s">
        <v>3484</v>
      </c>
      <c r="G1058" t="s">
        <v>97</v>
      </c>
      <c r="H1058" t="e">
        <v>#N/A</v>
      </c>
    </row>
    <row r="1059" spans="1:8" x14ac:dyDescent="0.3">
      <c r="A1059">
        <v>-4501081</v>
      </c>
      <c r="B1059" t="s">
        <v>4346</v>
      </c>
      <c r="C1059">
        <v>4501081</v>
      </c>
      <c r="D1059" t="s">
        <v>3192</v>
      </c>
      <c r="E1059" t="s">
        <v>4262</v>
      </c>
      <c r="F1059" t="s">
        <v>4347</v>
      </c>
      <c r="G1059" t="s">
        <v>97</v>
      </c>
      <c r="H1059" t="e">
        <v>#N/A</v>
      </c>
    </row>
    <row r="1060" spans="1:8" x14ac:dyDescent="0.3">
      <c r="A1060">
        <v>-4500890</v>
      </c>
      <c r="B1060" t="s">
        <v>4613</v>
      </c>
      <c r="C1060">
        <v>4500890</v>
      </c>
      <c r="D1060" t="s">
        <v>4614</v>
      </c>
      <c r="E1060" t="s">
        <v>2806</v>
      </c>
      <c r="F1060" t="s">
        <v>4615</v>
      </c>
      <c r="G1060" t="s">
        <v>97</v>
      </c>
      <c r="H1060" t="e">
        <v>#N/A</v>
      </c>
    </row>
    <row r="1061" spans="1:8" x14ac:dyDescent="0.3">
      <c r="A1061">
        <v>-4501848</v>
      </c>
      <c r="B1061" t="s">
        <v>3119</v>
      </c>
      <c r="C1061">
        <v>4501848</v>
      </c>
      <c r="D1061" t="s">
        <v>3120</v>
      </c>
      <c r="E1061" t="s">
        <v>3121</v>
      </c>
      <c r="F1061" t="s">
        <v>3122</v>
      </c>
      <c r="G1061" t="s">
        <v>97</v>
      </c>
      <c r="H1061" t="e">
        <v>#N/A</v>
      </c>
    </row>
    <row r="1062" spans="1:8" x14ac:dyDescent="0.3">
      <c r="A1062">
        <v>-4501659</v>
      </c>
      <c r="B1062" t="s">
        <v>3523</v>
      </c>
      <c r="C1062">
        <v>4501659</v>
      </c>
      <c r="D1062" t="s">
        <v>3524</v>
      </c>
      <c r="E1062" t="s">
        <v>2911</v>
      </c>
      <c r="F1062" t="s">
        <v>3525</v>
      </c>
      <c r="G1062" t="s">
        <v>97</v>
      </c>
      <c r="H1062" t="e">
        <v>#N/A</v>
      </c>
    </row>
    <row r="1063" spans="1:8" x14ac:dyDescent="0.3">
      <c r="A1063">
        <v>-4501091</v>
      </c>
      <c r="B1063" t="s">
        <v>4326</v>
      </c>
      <c r="C1063">
        <v>4501091</v>
      </c>
      <c r="D1063" t="s">
        <v>2793</v>
      </c>
      <c r="E1063" t="s">
        <v>4327</v>
      </c>
      <c r="F1063" t="s">
        <v>4328</v>
      </c>
      <c r="G1063" t="s">
        <v>97</v>
      </c>
      <c r="H1063" t="e">
        <v>#N/A</v>
      </c>
    </row>
    <row r="1064" spans="1:8" x14ac:dyDescent="0.3">
      <c r="A1064">
        <v>-4500372</v>
      </c>
      <c r="B1064" t="s">
        <v>5084</v>
      </c>
      <c r="C1064">
        <v>4500372</v>
      </c>
      <c r="D1064" t="s">
        <v>5085</v>
      </c>
      <c r="E1064" t="s">
        <v>5086</v>
      </c>
      <c r="F1064" t="s">
        <v>5087</v>
      </c>
      <c r="G1064" t="s">
        <v>97</v>
      </c>
      <c r="H1064" t="e">
        <v>#N/A</v>
      </c>
    </row>
    <row r="1065" spans="1:8" x14ac:dyDescent="0.3">
      <c r="A1065">
        <v>-4501271</v>
      </c>
      <c r="B1065" t="s">
        <v>4089</v>
      </c>
      <c r="C1065">
        <v>4501271</v>
      </c>
      <c r="D1065" t="s">
        <v>4090</v>
      </c>
      <c r="E1065" t="s">
        <v>4091</v>
      </c>
      <c r="F1065" t="s">
        <v>4092</v>
      </c>
      <c r="G1065" t="s">
        <v>97</v>
      </c>
      <c r="H1065" t="e">
        <v>#N/A</v>
      </c>
    </row>
    <row r="1066" spans="1:8" x14ac:dyDescent="0.3">
      <c r="A1066">
        <v>-4501278</v>
      </c>
      <c r="B1066" t="s">
        <v>4077</v>
      </c>
      <c r="C1066">
        <v>4501278</v>
      </c>
      <c r="D1066" t="s">
        <v>4078</v>
      </c>
      <c r="E1066" t="s">
        <v>2806</v>
      </c>
      <c r="F1066" t="s">
        <v>4079</v>
      </c>
      <c r="G1066" t="s">
        <v>97</v>
      </c>
      <c r="H1066" t="e">
        <v>#N/A</v>
      </c>
    </row>
    <row r="1067" spans="1:8" x14ac:dyDescent="0.3">
      <c r="A1067">
        <v>-4501469</v>
      </c>
      <c r="B1067" t="s">
        <v>3849</v>
      </c>
      <c r="C1067">
        <v>4501469</v>
      </c>
      <c r="D1067" t="s">
        <v>2635</v>
      </c>
      <c r="E1067" t="s">
        <v>3818</v>
      </c>
      <c r="F1067" t="s">
        <v>3850</v>
      </c>
      <c r="G1067" t="s">
        <v>97</v>
      </c>
      <c r="H1067" t="e">
        <v>#N/A</v>
      </c>
    </row>
    <row r="1068" spans="1:8" x14ac:dyDescent="0.3">
      <c r="A1068" t="s">
        <v>6377</v>
      </c>
      <c r="B1068" t="s">
        <v>6378</v>
      </c>
      <c r="C1068" t="e">
        <v>#VALUE!</v>
      </c>
      <c r="D1068" t="e">
        <v>#VALUE!</v>
      </c>
      <c r="E1068" t="e">
        <v>#VALUE!</v>
      </c>
      <c r="F1068" t="s">
        <v>3826</v>
      </c>
      <c r="G1068" t="s">
        <v>97</v>
      </c>
      <c r="H1068" t="e">
        <v>#N/A</v>
      </c>
    </row>
    <row r="1069" spans="1:8" x14ac:dyDescent="0.3">
      <c r="A1069">
        <v>-4500133</v>
      </c>
      <c r="B1069" t="s">
        <v>5282</v>
      </c>
      <c r="C1069">
        <v>4500133</v>
      </c>
      <c r="D1069" t="s">
        <v>5283</v>
      </c>
      <c r="E1069" t="s">
        <v>4373</v>
      </c>
      <c r="F1069" t="s">
        <v>4564</v>
      </c>
      <c r="G1069" t="s">
        <v>97</v>
      </c>
      <c r="H1069" t="e">
        <v>#N/A</v>
      </c>
    </row>
    <row r="1070" spans="1:8" x14ac:dyDescent="0.3">
      <c r="A1070" t="s">
        <v>6008</v>
      </c>
      <c r="B1070" t="s">
        <v>6009</v>
      </c>
      <c r="C1070" t="s">
        <v>6010</v>
      </c>
      <c r="D1070" t="e">
        <v>#N/A</v>
      </c>
      <c r="E1070" t="e">
        <v>#N/A</v>
      </c>
      <c r="F1070" t="s">
        <v>6011</v>
      </c>
      <c r="G1070" t="s">
        <v>97</v>
      </c>
      <c r="H1070" t="e">
        <v>#N/A</v>
      </c>
    </row>
    <row r="1071" spans="1:8" x14ac:dyDescent="0.3">
      <c r="A1071">
        <v>-4501224</v>
      </c>
      <c r="B1071" t="s">
        <v>4154</v>
      </c>
      <c r="C1071">
        <v>4501224</v>
      </c>
      <c r="D1071" t="s">
        <v>4155</v>
      </c>
      <c r="E1071" t="s">
        <v>2842</v>
      </c>
      <c r="F1071" t="s">
        <v>4156</v>
      </c>
      <c r="G1071" t="s">
        <v>97</v>
      </c>
      <c r="H1071" t="e">
        <v>#N/A</v>
      </c>
    </row>
    <row r="1072" spans="1:8" x14ac:dyDescent="0.3">
      <c r="A1072">
        <v>-4501029</v>
      </c>
      <c r="B1072" t="s">
        <v>4421</v>
      </c>
      <c r="C1072">
        <v>4501029</v>
      </c>
      <c r="D1072" t="s">
        <v>3220</v>
      </c>
      <c r="E1072" t="s">
        <v>2989</v>
      </c>
      <c r="F1072" t="s">
        <v>4148</v>
      </c>
      <c r="G1072" t="s">
        <v>97</v>
      </c>
      <c r="H1072" t="e">
        <v>#N/A</v>
      </c>
    </row>
    <row r="1073" spans="3:8" x14ac:dyDescent="0.3">
      <c r="C1073" t="s">
        <v>2570</v>
      </c>
      <c r="F1073" s="30" t="s">
        <v>6918</v>
      </c>
      <c r="G1073" t="s">
        <v>6919</v>
      </c>
      <c r="H1073" t="s">
        <v>6920</v>
      </c>
    </row>
    <row r="1074" spans="3:8" x14ac:dyDescent="0.3">
      <c r="C1074" t="s">
        <v>6923</v>
      </c>
      <c r="F1074" s="30" t="s">
        <v>6925</v>
      </c>
      <c r="G1074" t="s">
        <v>6924</v>
      </c>
      <c r="H1074" t="s">
        <v>6926</v>
      </c>
    </row>
    <row r="1075" spans="3:8" x14ac:dyDescent="0.3">
      <c r="C1075" t="s">
        <v>6927</v>
      </c>
      <c r="F1075" s="30" t="s">
        <v>6930</v>
      </c>
      <c r="G1075" t="s">
        <v>6928</v>
      </c>
      <c r="H1075" t="s">
        <v>6929</v>
      </c>
    </row>
    <row r="1076" spans="3:8" x14ac:dyDescent="0.3">
      <c r="C1076" t="s">
        <v>6931</v>
      </c>
      <c r="F1076">
        <v>1001307564</v>
      </c>
      <c r="G1076" t="s">
        <v>6932</v>
      </c>
      <c r="H1076" s="31" t="s">
        <v>3134</v>
      </c>
    </row>
    <row r="1077" spans="3:8" x14ac:dyDescent="0.3">
      <c r="C1077" t="s">
        <v>6935</v>
      </c>
      <c r="F1077">
        <v>2700980830</v>
      </c>
      <c r="G1077" t="s">
        <v>6933</v>
      </c>
      <c r="H1077" t="s">
        <v>6934</v>
      </c>
    </row>
    <row r="1078" spans="3:8" x14ac:dyDescent="0.3">
      <c r="C1078" t="s">
        <v>6936</v>
      </c>
      <c r="F1078">
        <v>2901632304</v>
      </c>
      <c r="G1078" t="s">
        <v>6937</v>
      </c>
      <c r="H1078" t="s">
        <v>6938</v>
      </c>
    </row>
    <row r="1079" spans="3:8" x14ac:dyDescent="0.3">
      <c r="C1079" t="s">
        <v>6939</v>
      </c>
      <c r="F1079">
        <v>1001320491</v>
      </c>
      <c r="G1079" t="s">
        <v>6940</v>
      </c>
      <c r="H1079" t="s">
        <v>6941</v>
      </c>
    </row>
    <row r="1080" spans="3:8" x14ac:dyDescent="0.3">
      <c r="C1080" t="s">
        <v>6942</v>
      </c>
      <c r="F1080" s="30" t="s">
        <v>6943</v>
      </c>
      <c r="G1080" t="s">
        <v>6944</v>
      </c>
      <c r="H1080" t="s">
        <v>6945</v>
      </c>
    </row>
    <row r="1081" spans="3:8" x14ac:dyDescent="0.3">
      <c r="C1081" t="s">
        <v>6946</v>
      </c>
      <c r="F1081" s="30" t="s">
        <v>6947</v>
      </c>
      <c r="G1081" t="s">
        <v>6948</v>
      </c>
      <c r="H1081" t="s">
        <v>6949</v>
      </c>
    </row>
    <row r="1082" spans="3:8" x14ac:dyDescent="0.3">
      <c r="C1082" t="s">
        <v>6950</v>
      </c>
      <c r="F1082">
        <v>1001302132</v>
      </c>
      <c r="G1082" t="s">
        <v>6951</v>
      </c>
      <c r="H1082" t="s">
        <v>6952</v>
      </c>
    </row>
    <row r="1083" spans="3:8" x14ac:dyDescent="0.3">
      <c r="C1083" t="s">
        <v>6953</v>
      </c>
      <c r="F1083" s="30" t="s">
        <v>6955</v>
      </c>
      <c r="G1083" t="s">
        <v>6954</v>
      </c>
      <c r="H1083" t="s">
        <v>6956</v>
      </c>
    </row>
    <row r="1084" spans="3:8" x14ac:dyDescent="0.3">
      <c r="C1084" t="s">
        <v>6959</v>
      </c>
      <c r="F1084">
        <v>123456789</v>
      </c>
      <c r="G1084" t="s">
        <v>6960</v>
      </c>
      <c r="H1084" t="s">
        <v>6961</v>
      </c>
    </row>
    <row r="1085" spans="3:8" x14ac:dyDescent="0.3">
      <c r="C1085" t="s">
        <v>6965</v>
      </c>
      <c r="F1085" s="30" t="s">
        <v>6969</v>
      </c>
      <c r="G1085" t="s">
        <v>6967</v>
      </c>
      <c r="H1085" t="s">
        <v>6968</v>
      </c>
    </row>
    <row r="1086" spans="3:8" x14ac:dyDescent="0.3">
      <c r="C1086" t="s">
        <v>6984</v>
      </c>
      <c r="F1086">
        <v>1000740528</v>
      </c>
      <c r="G1086" t="s">
        <v>6982</v>
      </c>
      <c r="H1086" t="s">
        <v>6983</v>
      </c>
    </row>
    <row r="1087" spans="3:8" x14ac:dyDescent="0.3">
      <c r="C1087" t="s">
        <v>6987</v>
      </c>
      <c r="F1087">
        <v>5300741495</v>
      </c>
      <c r="G1087" t="s">
        <v>6985</v>
      </c>
      <c r="H1087" t="s">
        <v>6986</v>
      </c>
    </row>
    <row r="1088" spans="3:8" x14ac:dyDescent="0.3">
      <c r="C1088" t="s">
        <v>6992</v>
      </c>
      <c r="F1088" s="30" t="s">
        <v>6991</v>
      </c>
      <c r="G1088" t="s">
        <v>6990</v>
      </c>
      <c r="H1088" t="s">
        <v>6989</v>
      </c>
    </row>
    <row r="1089" spans="3:8" x14ac:dyDescent="0.3">
      <c r="C1089" t="s">
        <v>6995</v>
      </c>
      <c r="F1089">
        <v>5300842574</v>
      </c>
      <c r="G1089" t="s">
        <v>6993</v>
      </c>
      <c r="H1089" t="s">
        <v>6994</v>
      </c>
    </row>
    <row r="1090" spans="3:8" x14ac:dyDescent="0.3">
      <c r="C1090">
        <v>4499499</v>
      </c>
      <c r="F1090" s="30" t="s">
        <v>3552</v>
      </c>
    </row>
  </sheetData>
  <autoFilter ref="A2:I1860" xr:uid="{B908E260-3339-4A06-AF3F-A1D26804DAD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A6566-AD53-4A72-985E-DC346EF56034}">
  <dimension ref="A1:C2499"/>
  <sheetViews>
    <sheetView topLeftCell="A2481" workbookViewId="0">
      <selection activeCell="C2500" sqref="C2500"/>
    </sheetView>
  </sheetViews>
  <sheetFormatPr defaultRowHeight="14.4" x14ac:dyDescent="0.3"/>
  <cols>
    <col min="2" max="2" width="61" customWidth="1"/>
  </cols>
  <sheetData>
    <row r="1" spans="1:3" x14ac:dyDescent="0.3">
      <c r="A1" t="s">
        <v>97</v>
      </c>
    </row>
    <row r="2" spans="1:3" x14ac:dyDescent="0.3">
      <c r="A2" t="s">
        <v>97</v>
      </c>
    </row>
    <row r="3" spans="1:3" x14ac:dyDescent="0.3">
      <c r="A3" t="s">
        <v>98</v>
      </c>
    </row>
    <row r="4" spans="1:3" x14ac:dyDescent="0.3">
      <c r="A4" t="s">
        <v>97</v>
      </c>
    </row>
    <row r="5" spans="1:3" x14ac:dyDescent="0.3">
      <c r="A5" t="s">
        <v>99</v>
      </c>
      <c r="B5" t="s">
        <v>100</v>
      </c>
      <c r="C5" t="s">
        <v>101</v>
      </c>
    </row>
    <row r="6" spans="1:3" x14ac:dyDescent="0.3">
      <c r="A6">
        <v>21006988</v>
      </c>
      <c r="B6" t="s">
        <v>102</v>
      </c>
      <c r="C6" t="s">
        <v>55</v>
      </c>
    </row>
    <row r="7" spans="1:3" x14ac:dyDescent="0.3">
      <c r="A7">
        <v>21112984</v>
      </c>
      <c r="B7" t="s">
        <v>103</v>
      </c>
      <c r="C7" t="s">
        <v>104</v>
      </c>
    </row>
    <row r="8" spans="1:3" x14ac:dyDescent="0.3">
      <c r="A8">
        <v>21112986</v>
      </c>
      <c r="B8" t="s">
        <v>105</v>
      </c>
      <c r="C8" t="s">
        <v>106</v>
      </c>
    </row>
    <row r="9" spans="1:3" x14ac:dyDescent="0.3">
      <c r="A9">
        <v>21126131</v>
      </c>
      <c r="B9" t="s">
        <v>107</v>
      </c>
      <c r="C9" t="s">
        <v>108</v>
      </c>
    </row>
    <row r="10" spans="1:3" x14ac:dyDescent="0.3">
      <c r="A10">
        <v>21182542</v>
      </c>
      <c r="B10" t="s">
        <v>109</v>
      </c>
      <c r="C10" t="s">
        <v>110</v>
      </c>
    </row>
    <row r="11" spans="1:3" x14ac:dyDescent="0.3">
      <c r="A11">
        <v>32008713</v>
      </c>
      <c r="B11" t="s">
        <v>111</v>
      </c>
      <c r="C11" t="s">
        <v>106</v>
      </c>
    </row>
    <row r="12" spans="1:3" x14ac:dyDescent="0.3">
      <c r="A12">
        <v>32008812</v>
      </c>
      <c r="B12" t="s">
        <v>112</v>
      </c>
      <c r="C12" t="s">
        <v>106</v>
      </c>
    </row>
    <row r="13" spans="1:3" x14ac:dyDescent="0.3">
      <c r="A13">
        <v>32008873</v>
      </c>
      <c r="B13" t="s">
        <v>113</v>
      </c>
      <c r="C13" t="s">
        <v>106</v>
      </c>
    </row>
    <row r="14" spans="1:3" x14ac:dyDescent="0.3">
      <c r="A14">
        <v>62674330</v>
      </c>
      <c r="B14" t="s">
        <v>114</v>
      </c>
      <c r="C14" t="s">
        <v>54</v>
      </c>
    </row>
    <row r="15" spans="1:3" x14ac:dyDescent="0.3">
      <c r="A15">
        <v>62674331</v>
      </c>
      <c r="B15" t="s">
        <v>115</v>
      </c>
      <c r="C15" t="s">
        <v>54</v>
      </c>
    </row>
    <row r="16" spans="1:3" x14ac:dyDescent="0.3">
      <c r="A16">
        <v>62674332</v>
      </c>
      <c r="B16" t="s">
        <v>116</v>
      </c>
      <c r="C16" t="s">
        <v>54</v>
      </c>
    </row>
    <row r="17" spans="1:3" x14ac:dyDescent="0.3">
      <c r="A17">
        <v>62674377</v>
      </c>
      <c r="B17" t="s">
        <v>117</v>
      </c>
      <c r="C17" t="s">
        <v>54</v>
      </c>
    </row>
    <row r="18" spans="1:3" x14ac:dyDescent="0.3">
      <c r="A18">
        <v>62674379</v>
      </c>
      <c r="B18" t="s">
        <v>118</v>
      </c>
      <c r="C18" t="s">
        <v>54</v>
      </c>
    </row>
    <row r="19" spans="1:3" x14ac:dyDescent="0.3">
      <c r="A19">
        <v>62674381</v>
      </c>
      <c r="B19" t="s">
        <v>119</v>
      </c>
      <c r="C19" t="s">
        <v>120</v>
      </c>
    </row>
    <row r="20" spans="1:3" x14ac:dyDescent="0.3">
      <c r="A20">
        <v>62676043</v>
      </c>
      <c r="B20" t="s">
        <v>121</v>
      </c>
      <c r="C20" t="s">
        <v>122</v>
      </c>
    </row>
    <row r="21" spans="1:3" x14ac:dyDescent="0.3">
      <c r="A21">
        <v>62676044</v>
      </c>
      <c r="B21" t="s">
        <v>123</v>
      </c>
      <c r="C21" t="s">
        <v>122</v>
      </c>
    </row>
    <row r="22" spans="1:3" x14ac:dyDescent="0.3">
      <c r="A22">
        <v>62676045</v>
      </c>
      <c r="B22" t="s">
        <v>124</v>
      </c>
      <c r="C22" t="s">
        <v>122</v>
      </c>
    </row>
    <row r="23" spans="1:3" x14ac:dyDescent="0.3">
      <c r="A23">
        <v>62676984</v>
      </c>
      <c r="B23" t="s">
        <v>125</v>
      </c>
      <c r="C23" t="s">
        <v>53</v>
      </c>
    </row>
    <row r="24" spans="1:3" x14ac:dyDescent="0.3">
      <c r="A24">
        <v>62676985</v>
      </c>
      <c r="B24" t="s">
        <v>126</v>
      </c>
      <c r="C24" t="s">
        <v>53</v>
      </c>
    </row>
    <row r="25" spans="1:3" x14ac:dyDescent="0.3">
      <c r="A25">
        <v>62676986</v>
      </c>
      <c r="B25" t="s">
        <v>127</v>
      </c>
      <c r="C25" t="s">
        <v>53</v>
      </c>
    </row>
    <row r="26" spans="1:3" x14ac:dyDescent="0.3">
      <c r="A26">
        <v>62678620</v>
      </c>
      <c r="B26" t="s">
        <v>128</v>
      </c>
      <c r="C26" t="s">
        <v>129</v>
      </c>
    </row>
    <row r="27" spans="1:3" x14ac:dyDescent="0.3">
      <c r="A27">
        <v>62686828</v>
      </c>
      <c r="B27" t="s">
        <v>130</v>
      </c>
      <c r="C27" t="s">
        <v>131</v>
      </c>
    </row>
    <row r="28" spans="1:3" x14ac:dyDescent="0.3">
      <c r="A28">
        <v>62689624</v>
      </c>
      <c r="B28" t="s">
        <v>132</v>
      </c>
      <c r="C28" t="s">
        <v>54</v>
      </c>
    </row>
    <row r="29" spans="1:3" x14ac:dyDescent="0.3">
      <c r="A29">
        <v>62689626</v>
      </c>
      <c r="B29" t="s">
        <v>133</v>
      </c>
      <c r="C29" t="s">
        <v>54</v>
      </c>
    </row>
    <row r="30" spans="1:3" x14ac:dyDescent="0.3">
      <c r="A30">
        <v>62689628</v>
      </c>
      <c r="B30" t="s">
        <v>134</v>
      </c>
      <c r="C30" t="s">
        <v>122</v>
      </c>
    </row>
    <row r="31" spans="1:3" x14ac:dyDescent="0.3">
      <c r="A31">
        <v>62689629</v>
      </c>
      <c r="B31" t="s">
        <v>135</v>
      </c>
      <c r="C31" t="s">
        <v>122</v>
      </c>
    </row>
    <row r="32" spans="1:3" x14ac:dyDescent="0.3">
      <c r="A32">
        <v>62689631</v>
      </c>
      <c r="B32" t="s">
        <v>136</v>
      </c>
      <c r="C32" t="s">
        <v>122</v>
      </c>
    </row>
    <row r="33" spans="1:3" x14ac:dyDescent="0.3">
      <c r="A33">
        <v>62690530</v>
      </c>
      <c r="B33" t="s">
        <v>137</v>
      </c>
      <c r="C33" t="s">
        <v>108</v>
      </c>
    </row>
    <row r="34" spans="1:3" x14ac:dyDescent="0.3">
      <c r="A34">
        <v>62690532</v>
      </c>
      <c r="B34" t="s">
        <v>138</v>
      </c>
      <c r="C34" t="s">
        <v>108</v>
      </c>
    </row>
    <row r="35" spans="1:3" x14ac:dyDescent="0.3">
      <c r="A35">
        <v>62692144</v>
      </c>
      <c r="B35" t="s">
        <v>139</v>
      </c>
      <c r="C35" t="s">
        <v>54</v>
      </c>
    </row>
    <row r="36" spans="1:3" x14ac:dyDescent="0.3">
      <c r="A36">
        <v>62692146</v>
      </c>
      <c r="B36" t="s">
        <v>140</v>
      </c>
      <c r="C36" t="s">
        <v>54</v>
      </c>
    </row>
    <row r="37" spans="1:3" x14ac:dyDescent="0.3">
      <c r="A37">
        <v>62694356</v>
      </c>
      <c r="B37" t="s">
        <v>141</v>
      </c>
      <c r="C37" t="s">
        <v>56</v>
      </c>
    </row>
    <row r="38" spans="1:3" x14ac:dyDescent="0.3">
      <c r="A38">
        <v>62694358</v>
      </c>
      <c r="B38" t="s">
        <v>142</v>
      </c>
      <c r="C38" t="s">
        <v>56</v>
      </c>
    </row>
    <row r="39" spans="1:3" x14ac:dyDescent="0.3">
      <c r="A39">
        <v>62698563</v>
      </c>
      <c r="B39" t="s">
        <v>143</v>
      </c>
      <c r="C39" t="s">
        <v>108</v>
      </c>
    </row>
    <row r="40" spans="1:3" x14ac:dyDescent="0.3">
      <c r="A40">
        <v>62712873</v>
      </c>
      <c r="B40" t="s">
        <v>144</v>
      </c>
      <c r="C40" t="s">
        <v>122</v>
      </c>
    </row>
    <row r="41" spans="1:3" x14ac:dyDescent="0.3">
      <c r="A41">
        <v>62712876</v>
      </c>
      <c r="B41" t="s">
        <v>145</v>
      </c>
      <c r="C41" t="s">
        <v>122</v>
      </c>
    </row>
    <row r="42" spans="1:3" x14ac:dyDescent="0.3">
      <c r="A42">
        <v>62712878</v>
      </c>
      <c r="B42" t="s">
        <v>146</v>
      </c>
      <c r="C42" t="s">
        <v>122</v>
      </c>
    </row>
    <row r="43" spans="1:3" x14ac:dyDescent="0.3">
      <c r="A43">
        <v>62712880</v>
      </c>
      <c r="B43" t="s">
        <v>147</v>
      </c>
      <c r="C43" t="s">
        <v>122</v>
      </c>
    </row>
    <row r="44" spans="1:3" x14ac:dyDescent="0.3">
      <c r="A44">
        <v>62714020</v>
      </c>
      <c r="B44" t="s">
        <v>148</v>
      </c>
      <c r="C44" t="s">
        <v>122</v>
      </c>
    </row>
    <row r="45" spans="1:3" x14ac:dyDescent="0.3">
      <c r="A45">
        <v>62714022</v>
      </c>
      <c r="B45" t="s">
        <v>149</v>
      </c>
      <c r="C45" t="s">
        <v>122</v>
      </c>
    </row>
    <row r="46" spans="1:3" x14ac:dyDescent="0.3">
      <c r="A46">
        <v>62714040</v>
      </c>
      <c r="B46" t="s">
        <v>150</v>
      </c>
      <c r="C46" t="s">
        <v>122</v>
      </c>
    </row>
    <row r="47" spans="1:3" x14ac:dyDescent="0.3">
      <c r="A47">
        <v>62714042</v>
      </c>
      <c r="B47" t="s">
        <v>151</v>
      </c>
      <c r="C47" t="s">
        <v>122</v>
      </c>
    </row>
    <row r="48" spans="1:3" x14ac:dyDescent="0.3">
      <c r="A48">
        <v>62714044</v>
      </c>
      <c r="B48" t="s">
        <v>152</v>
      </c>
      <c r="C48" t="s">
        <v>122</v>
      </c>
    </row>
    <row r="49" spans="1:3" x14ac:dyDescent="0.3">
      <c r="A49">
        <v>62714047</v>
      </c>
      <c r="B49" t="s">
        <v>153</v>
      </c>
      <c r="C49" t="s">
        <v>122</v>
      </c>
    </row>
    <row r="50" spans="1:3" x14ac:dyDescent="0.3">
      <c r="A50">
        <v>62714049</v>
      </c>
      <c r="B50" t="s">
        <v>154</v>
      </c>
      <c r="C50" t="s">
        <v>122</v>
      </c>
    </row>
    <row r="51" spans="1:3" x14ac:dyDescent="0.3">
      <c r="A51">
        <v>62714051</v>
      </c>
      <c r="B51" t="s">
        <v>155</v>
      </c>
      <c r="C51" t="s">
        <v>122</v>
      </c>
    </row>
    <row r="52" spans="1:3" x14ac:dyDescent="0.3">
      <c r="A52">
        <v>62714053</v>
      </c>
      <c r="B52" t="s">
        <v>156</v>
      </c>
      <c r="C52" t="s">
        <v>122</v>
      </c>
    </row>
    <row r="53" spans="1:3" x14ac:dyDescent="0.3">
      <c r="A53">
        <v>62714055</v>
      </c>
      <c r="B53" t="s">
        <v>157</v>
      </c>
      <c r="C53" t="s">
        <v>158</v>
      </c>
    </row>
    <row r="54" spans="1:3" x14ac:dyDescent="0.3">
      <c r="A54">
        <v>62718212</v>
      </c>
      <c r="B54" t="s">
        <v>159</v>
      </c>
      <c r="C54" t="s">
        <v>122</v>
      </c>
    </row>
    <row r="55" spans="1:3" x14ac:dyDescent="0.3">
      <c r="A55">
        <v>62718214</v>
      </c>
      <c r="B55" t="s">
        <v>160</v>
      </c>
      <c r="C55" t="s">
        <v>122</v>
      </c>
    </row>
    <row r="56" spans="1:3" x14ac:dyDescent="0.3">
      <c r="A56">
        <v>62718216</v>
      </c>
      <c r="B56" t="s">
        <v>161</v>
      </c>
      <c r="C56" t="s">
        <v>122</v>
      </c>
    </row>
    <row r="57" spans="1:3" x14ac:dyDescent="0.3">
      <c r="A57">
        <v>62718218</v>
      </c>
      <c r="B57" t="s">
        <v>162</v>
      </c>
      <c r="C57" t="s">
        <v>122</v>
      </c>
    </row>
    <row r="58" spans="1:3" x14ac:dyDescent="0.3">
      <c r="A58">
        <v>62718222</v>
      </c>
      <c r="B58" t="s">
        <v>163</v>
      </c>
      <c r="C58" t="s">
        <v>122</v>
      </c>
    </row>
    <row r="59" spans="1:3" x14ac:dyDescent="0.3">
      <c r="A59">
        <v>62718224</v>
      </c>
      <c r="B59" t="s">
        <v>164</v>
      </c>
      <c r="C59" t="s">
        <v>122</v>
      </c>
    </row>
    <row r="60" spans="1:3" x14ac:dyDescent="0.3">
      <c r="A60">
        <v>62718226</v>
      </c>
      <c r="B60" t="s">
        <v>165</v>
      </c>
      <c r="C60" t="s">
        <v>122</v>
      </c>
    </row>
    <row r="61" spans="1:3" x14ac:dyDescent="0.3">
      <c r="A61">
        <v>62718228</v>
      </c>
      <c r="B61" t="s">
        <v>166</v>
      </c>
      <c r="C61" t="s">
        <v>122</v>
      </c>
    </row>
    <row r="62" spans="1:3" x14ac:dyDescent="0.3">
      <c r="A62">
        <v>62720551</v>
      </c>
      <c r="B62" t="s">
        <v>167</v>
      </c>
      <c r="C62" t="s">
        <v>56</v>
      </c>
    </row>
    <row r="63" spans="1:3" x14ac:dyDescent="0.3">
      <c r="A63">
        <v>62720553</v>
      </c>
      <c r="B63" t="s">
        <v>168</v>
      </c>
      <c r="C63" t="s">
        <v>56</v>
      </c>
    </row>
    <row r="64" spans="1:3" x14ac:dyDescent="0.3">
      <c r="A64">
        <v>62720555</v>
      </c>
      <c r="B64" t="s">
        <v>169</v>
      </c>
      <c r="C64" t="s">
        <v>56</v>
      </c>
    </row>
    <row r="65" spans="1:3" x14ac:dyDescent="0.3">
      <c r="A65">
        <v>62720557</v>
      </c>
      <c r="B65" t="s">
        <v>170</v>
      </c>
      <c r="C65" t="s">
        <v>56</v>
      </c>
    </row>
    <row r="66" spans="1:3" x14ac:dyDescent="0.3">
      <c r="A66">
        <v>62720559</v>
      </c>
      <c r="B66" t="s">
        <v>171</v>
      </c>
      <c r="C66" t="s">
        <v>56</v>
      </c>
    </row>
    <row r="67" spans="1:3" x14ac:dyDescent="0.3">
      <c r="A67">
        <v>62720561</v>
      </c>
      <c r="B67" t="s">
        <v>172</v>
      </c>
      <c r="C67" t="s">
        <v>56</v>
      </c>
    </row>
    <row r="68" spans="1:3" x14ac:dyDescent="0.3">
      <c r="A68">
        <v>62721511</v>
      </c>
      <c r="B68" t="s">
        <v>173</v>
      </c>
      <c r="C68" t="s">
        <v>129</v>
      </c>
    </row>
    <row r="69" spans="1:3" x14ac:dyDescent="0.3">
      <c r="A69">
        <v>62723244</v>
      </c>
      <c r="B69" t="s">
        <v>174</v>
      </c>
      <c r="C69" t="s">
        <v>131</v>
      </c>
    </row>
    <row r="70" spans="1:3" x14ac:dyDescent="0.3">
      <c r="A70">
        <v>62723246</v>
      </c>
      <c r="B70" t="s">
        <v>175</v>
      </c>
      <c r="C70" t="s">
        <v>131</v>
      </c>
    </row>
    <row r="71" spans="1:3" x14ac:dyDescent="0.3">
      <c r="A71">
        <v>62724608</v>
      </c>
      <c r="B71" t="s">
        <v>176</v>
      </c>
      <c r="C71" t="s">
        <v>177</v>
      </c>
    </row>
    <row r="72" spans="1:3" x14ac:dyDescent="0.3">
      <c r="A72">
        <v>62724609</v>
      </c>
      <c r="B72" t="s">
        <v>178</v>
      </c>
      <c r="C72" t="s">
        <v>177</v>
      </c>
    </row>
    <row r="73" spans="1:3" x14ac:dyDescent="0.3">
      <c r="A73">
        <v>62726100</v>
      </c>
      <c r="B73" t="s">
        <v>179</v>
      </c>
      <c r="C73" t="s">
        <v>54</v>
      </c>
    </row>
    <row r="74" spans="1:3" x14ac:dyDescent="0.3">
      <c r="A74">
        <v>62726103</v>
      </c>
      <c r="B74" t="s">
        <v>180</v>
      </c>
      <c r="C74" t="s">
        <v>181</v>
      </c>
    </row>
    <row r="75" spans="1:3" x14ac:dyDescent="0.3">
      <c r="A75">
        <v>62726105</v>
      </c>
      <c r="B75" t="s">
        <v>182</v>
      </c>
      <c r="C75" t="s">
        <v>54</v>
      </c>
    </row>
    <row r="76" spans="1:3" x14ac:dyDescent="0.3">
      <c r="A76">
        <v>62726109</v>
      </c>
      <c r="B76" t="s">
        <v>183</v>
      </c>
      <c r="C76" t="s">
        <v>122</v>
      </c>
    </row>
    <row r="77" spans="1:3" x14ac:dyDescent="0.3">
      <c r="A77">
        <v>62726111</v>
      </c>
      <c r="B77" t="s">
        <v>184</v>
      </c>
      <c r="C77" t="s">
        <v>108</v>
      </c>
    </row>
    <row r="78" spans="1:3" x14ac:dyDescent="0.3">
      <c r="A78">
        <v>62726113</v>
      </c>
      <c r="B78" t="s">
        <v>185</v>
      </c>
      <c r="C78" t="s">
        <v>122</v>
      </c>
    </row>
    <row r="79" spans="1:3" x14ac:dyDescent="0.3">
      <c r="A79">
        <v>62726115</v>
      </c>
      <c r="B79" t="s">
        <v>186</v>
      </c>
      <c r="C79" t="s">
        <v>122</v>
      </c>
    </row>
    <row r="80" spans="1:3" x14ac:dyDescent="0.3">
      <c r="A80">
        <v>62728360</v>
      </c>
      <c r="B80" t="s">
        <v>187</v>
      </c>
      <c r="C80" t="s">
        <v>188</v>
      </c>
    </row>
    <row r="81" spans="1:3" x14ac:dyDescent="0.3">
      <c r="A81">
        <v>62728463</v>
      </c>
      <c r="B81" t="s">
        <v>189</v>
      </c>
      <c r="C81" t="s">
        <v>122</v>
      </c>
    </row>
    <row r="82" spans="1:3" x14ac:dyDescent="0.3">
      <c r="A82">
        <v>62728537</v>
      </c>
      <c r="B82" t="s">
        <v>190</v>
      </c>
      <c r="C82" t="s">
        <v>122</v>
      </c>
    </row>
    <row r="83" spans="1:3" x14ac:dyDescent="0.3">
      <c r="A83">
        <v>62728539</v>
      </c>
      <c r="B83" t="s">
        <v>191</v>
      </c>
      <c r="C83" t="s">
        <v>122</v>
      </c>
    </row>
    <row r="84" spans="1:3" x14ac:dyDescent="0.3">
      <c r="A84">
        <v>62731122</v>
      </c>
      <c r="B84" t="s">
        <v>192</v>
      </c>
      <c r="C84" t="s">
        <v>56</v>
      </c>
    </row>
    <row r="85" spans="1:3" x14ac:dyDescent="0.3">
      <c r="A85">
        <v>62731124</v>
      </c>
      <c r="B85" t="s">
        <v>193</v>
      </c>
      <c r="C85" t="s">
        <v>56</v>
      </c>
    </row>
    <row r="86" spans="1:3" x14ac:dyDescent="0.3">
      <c r="A86">
        <v>62733033</v>
      </c>
      <c r="B86" t="s">
        <v>194</v>
      </c>
      <c r="C86" t="s">
        <v>131</v>
      </c>
    </row>
    <row r="87" spans="1:3" x14ac:dyDescent="0.3">
      <c r="A87">
        <v>62734505</v>
      </c>
      <c r="B87" t="s">
        <v>195</v>
      </c>
      <c r="C87" t="s">
        <v>56</v>
      </c>
    </row>
    <row r="88" spans="1:3" x14ac:dyDescent="0.3">
      <c r="A88">
        <v>62734509</v>
      </c>
      <c r="B88" t="s">
        <v>196</v>
      </c>
      <c r="C88" t="s">
        <v>56</v>
      </c>
    </row>
    <row r="89" spans="1:3" x14ac:dyDescent="0.3">
      <c r="A89">
        <v>62735360</v>
      </c>
      <c r="B89" t="s">
        <v>197</v>
      </c>
      <c r="C89" t="s">
        <v>53</v>
      </c>
    </row>
    <row r="90" spans="1:3" x14ac:dyDescent="0.3">
      <c r="A90">
        <v>62735362</v>
      </c>
      <c r="B90" t="s">
        <v>198</v>
      </c>
      <c r="C90" t="s">
        <v>53</v>
      </c>
    </row>
    <row r="91" spans="1:3" x14ac:dyDescent="0.3">
      <c r="A91">
        <v>62735364</v>
      </c>
      <c r="B91" t="s">
        <v>199</v>
      </c>
      <c r="C91" t="s">
        <v>53</v>
      </c>
    </row>
    <row r="92" spans="1:3" x14ac:dyDescent="0.3">
      <c r="A92">
        <v>62735549</v>
      </c>
      <c r="B92" t="s">
        <v>200</v>
      </c>
      <c r="C92" t="s">
        <v>131</v>
      </c>
    </row>
    <row r="93" spans="1:3" x14ac:dyDescent="0.3">
      <c r="A93">
        <v>62735551</v>
      </c>
      <c r="B93" t="s">
        <v>201</v>
      </c>
      <c r="C93" t="s">
        <v>131</v>
      </c>
    </row>
    <row r="94" spans="1:3" x14ac:dyDescent="0.3">
      <c r="A94">
        <v>62739132</v>
      </c>
      <c r="B94" t="s">
        <v>202</v>
      </c>
      <c r="C94" t="s">
        <v>181</v>
      </c>
    </row>
    <row r="95" spans="1:3" x14ac:dyDescent="0.3">
      <c r="A95">
        <v>62739136</v>
      </c>
      <c r="B95" t="s">
        <v>203</v>
      </c>
      <c r="C95" t="s">
        <v>122</v>
      </c>
    </row>
    <row r="96" spans="1:3" x14ac:dyDescent="0.3">
      <c r="A96">
        <v>62739140</v>
      </c>
      <c r="B96" t="s">
        <v>204</v>
      </c>
      <c r="C96" t="s">
        <v>122</v>
      </c>
    </row>
    <row r="97" spans="1:3" x14ac:dyDescent="0.3">
      <c r="A97">
        <v>62739894</v>
      </c>
      <c r="B97" t="s">
        <v>205</v>
      </c>
      <c r="C97" t="s">
        <v>131</v>
      </c>
    </row>
    <row r="98" spans="1:3" x14ac:dyDescent="0.3">
      <c r="A98">
        <v>62743392</v>
      </c>
      <c r="B98" t="s">
        <v>206</v>
      </c>
      <c r="C98" t="s">
        <v>54</v>
      </c>
    </row>
    <row r="99" spans="1:3" x14ac:dyDescent="0.3">
      <c r="A99">
        <v>62743396</v>
      </c>
      <c r="B99" t="s">
        <v>207</v>
      </c>
      <c r="C99" t="s">
        <v>108</v>
      </c>
    </row>
    <row r="100" spans="1:3" x14ac:dyDescent="0.3">
      <c r="A100">
        <v>62743398</v>
      </c>
      <c r="B100" t="s">
        <v>208</v>
      </c>
      <c r="C100" t="s">
        <v>54</v>
      </c>
    </row>
    <row r="101" spans="1:3" x14ac:dyDescent="0.3">
      <c r="A101">
        <v>62743669</v>
      </c>
      <c r="B101" t="s">
        <v>209</v>
      </c>
      <c r="C101" t="s">
        <v>54</v>
      </c>
    </row>
    <row r="102" spans="1:3" x14ac:dyDescent="0.3">
      <c r="A102">
        <v>62743671</v>
      </c>
      <c r="B102" t="s">
        <v>210</v>
      </c>
      <c r="C102" t="s">
        <v>54</v>
      </c>
    </row>
    <row r="103" spans="1:3" x14ac:dyDescent="0.3">
      <c r="A103">
        <v>62743673</v>
      </c>
      <c r="B103" t="s">
        <v>211</v>
      </c>
      <c r="C103" t="s">
        <v>54</v>
      </c>
    </row>
    <row r="104" spans="1:3" x14ac:dyDescent="0.3">
      <c r="A104">
        <v>62744548</v>
      </c>
      <c r="B104" t="s">
        <v>212</v>
      </c>
      <c r="C104" t="s">
        <v>131</v>
      </c>
    </row>
    <row r="105" spans="1:3" x14ac:dyDescent="0.3">
      <c r="A105">
        <v>62745156</v>
      </c>
      <c r="B105" t="s">
        <v>213</v>
      </c>
      <c r="C105" t="s">
        <v>131</v>
      </c>
    </row>
    <row r="106" spans="1:3" x14ac:dyDescent="0.3">
      <c r="A106">
        <v>62749560</v>
      </c>
      <c r="B106" t="s">
        <v>214</v>
      </c>
      <c r="C106" t="s">
        <v>129</v>
      </c>
    </row>
    <row r="107" spans="1:3" x14ac:dyDescent="0.3">
      <c r="A107">
        <v>62749562</v>
      </c>
      <c r="B107" t="s">
        <v>215</v>
      </c>
      <c r="C107" t="s">
        <v>129</v>
      </c>
    </row>
    <row r="108" spans="1:3" x14ac:dyDescent="0.3">
      <c r="A108">
        <v>62755215</v>
      </c>
      <c r="B108" t="s">
        <v>216</v>
      </c>
      <c r="C108" t="s">
        <v>122</v>
      </c>
    </row>
    <row r="109" spans="1:3" x14ac:dyDescent="0.3">
      <c r="A109">
        <v>62755219</v>
      </c>
      <c r="B109" t="s">
        <v>217</v>
      </c>
      <c r="C109" t="s">
        <v>122</v>
      </c>
    </row>
    <row r="110" spans="1:3" x14ac:dyDescent="0.3">
      <c r="A110">
        <v>62755223</v>
      </c>
      <c r="B110" t="s">
        <v>218</v>
      </c>
      <c r="C110" t="s">
        <v>181</v>
      </c>
    </row>
    <row r="111" spans="1:3" x14ac:dyDescent="0.3">
      <c r="A111">
        <v>62755228</v>
      </c>
      <c r="B111" t="s">
        <v>219</v>
      </c>
      <c r="C111" t="s">
        <v>181</v>
      </c>
    </row>
    <row r="112" spans="1:3" x14ac:dyDescent="0.3">
      <c r="A112">
        <v>62756068</v>
      </c>
      <c r="B112" t="s">
        <v>220</v>
      </c>
      <c r="C112" t="s">
        <v>54</v>
      </c>
    </row>
    <row r="113" spans="1:3" x14ac:dyDescent="0.3">
      <c r="A113">
        <v>62757064</v>
      </c>
      <c r="B113" t="s">
        <v>221</v>
      </c>
      <c r="C113" t="s">
        <v>131</v>
      </c>
    </row>
    <row r="114" spans="1:3" x14ac:dyDescent="0.3">
      <c r="A114">
        <v>62757066</v>
      </c>
      <c r="B114" t="s">
        <v>222</v>
      </c>
      <c r="C114" t="s">
        <v>131</v>
      </c>
    </row>
    <row r="115" spans="1:3" x14ac:dyDescent="0.3">
      <c r="A115">
        <v>62757068</v>
      </c>
      <c r="B115" t="s">
        <v>223</v>
      </c>
      <c r="C115" t="s">
        <v>131</v>
      </c>
    </row>
    <row r="116" spans="1:3" x14ac:dyDescent="0.3">
      <c r="A116">
        <v>62757070</v>
      </c>
      <c r="B116" t="s">
        <v>224</v>
      </c>
      <c r="C116" t="s">
        <v>131</v>
      </c>
    </row>
    <row r="117" spans="1:3" x14ac:dyDescent="0.3">
      <c r="A117">
        <v>62757072</v>
      </c>
      <c r="B117" t="s">
        <v>225</v>
      </c>
      <c r="C117" t="s">
        <v>131</v>
      </c>
    </row>
    <row r="118" spans="1:3" x14ac:dyDescent="0.3">
      <c r="A118">
        <v>62757074</v>
      </c>
      <c r="B118" t="s">
        <v>226</v>
      </c>
      <c r="C118" t="s">
        <v>131</v>
      </c>
    </row>
    <row r="119" spans="1:3" x14ac:dyDescent="0.3">
      <c r="A119">
        <v>62757076</v>
      </c>
      <c r="B119" t="s">
        <v>227</v>
      </c>
      <c r="C119" t="s">
        <v>131</v>
      </c>
    </row>
    <row r="120" spans="1:3" x14ac:dyDescent="0.3">
      <c r="A120">
        <v>62757078</v>
      </c>
      <c r="B120" t="s">
        <v>228</v>
      </c>
      <c r="C120" t="s">
        <v>131</v>
      </c>
    </row>
    <row r="121" spans="1:3" x14ac:dyDescent="0.3">
      <c r="A121">
        <v>62757080</v>
      </c>
      <c r="B121" t="s">
        <v>229</v>
      </c>
      <c r="C121" t="s">
        <v>131</v>
      </c>
    </row>
    <row r="122" spans="1:3" x14ac:dyDescent="0.3">
      <c r="A122">
        <v>62757920</v>
      </c>
      <c r="B122" t="s">
        <v>230</v>
      </c>
      <c r="C122" t="s">
        <v>108</v>
      </c>
    </row>
    <row r="123" spans="1:3" x14ac:dyDescent="0.3">
      <c r="A123">
        <v>62758281</v>
      </c>
      <c r="B123" t="s">
        <v>231</v>
      </c>
      <c r="C123" t="s">
        <v>55</v>
      </c>
    </row>
    <row r="124" spans="1:3" x14ac:dyDescent="0.3">
      <c r="A124">
        <v>62758282</v>
      </c>
      <c r="B124" t="s">
        <v>58</v>
      </c>
      <c r="C124" t="s">
        <v>55</v>
      </c>
    </row>
    <row r="125" spans="1:3" x14ac:dyDescent="0.3">
      <c r="A125">
        <v>62758283</v>
      </c>
      <c r="B125" t="s">
        <v>232</v>
      </c>
      <c r="C125" t="s">
        <v>55</v>
      </c>
    </row>
    <row r="126" spans="1:3" x14ac:dyDescent="0.3">
      <c r="A126">
        <v>62759001</v>
      </c>
      <c r="B126" t="s">
        <v>233</v>
      </c>
      <c r="C126" t="s">
        <v>181</v>
      </c>
    </row>
    <row r="127" spans="1:3" x14ac:dyDescent="0.3">
      <c r="A127">
        <v>62759003</v>
      </c>
      <c r="B127" t="s">
        <v>234</v>
      </c>
      <c r="C127" t="s">
        <v>181</v>
      </c>
    </row>
    <row r="128" spans="1:3" x14ac:dyDescent="0.3">
      <c r="A128">
        <v>62762376</v>
      </c>
      <c r="B128" t="s">
        <v>235</v>
      </c>
      <c r="C128" t="s">
        <v>131</v>
      </c>
    </row>
    <row r="129" spans="1:3" x14ac:dyDescent="0.3">
      <c r="A129">
        <v>62762378</v>
      </c>
      <c r="B129" t="s">
        <v>236</v>
      </c>
      <c r="C129" t="s">
        <v>131</v>
      </c>
    </row>
    <row r="130" spans="1:3" x14ac:dyDescent="0.3">
      <c r="A130">
        <v>62762380</v>
      </c>
      <c r="B130" t="s">
        <v>237</v>
      </c>
      <c r="C130" t="s">
        <v>131</v>
      </c>
    </row>
    <row r="131" spans="1:3" x14ac:dyDescent="0.3">
      <c r="A131">
        <v>62763938</v>
      </c>
      <c r="B131" t="s">
        <v>238</v>
      </c>
      <c r="C131" t="s">
        <v>131</v>
      </c>
    </row>
    <row r="132" spans="1:3" x14ac:dyDescent="0.3">
      <c r="A132">
        <v>62763940</v>
      </c>
      <c r="B132" t="s">
        <v>239</v>
      </c>
      <c r="C132" t="s">
        <v>131</v>
      </c>
    </row>
    <row r="133" spans="1:3" x14ac:dyDescent="0.3">
      <c r="A133">
        <v>62763943</v>
      </c>
      <c r="B133" t="s">
        <v>240</v>
      </c>
      <c r="C133" t="s">
        <v>131</v>
      </c>
    </row>
    <row r="134" spans="1:3" x14ac:dyDescent="0.3">
      <c r="A134">
        <v>62763945</v>
      </c>
      <c r="B134" t="s">
        <v>241</v>
      </c>
      <c r="C134" t="s">
        <v>131</v>
      </c>
    </row>
    <row r="135" spans="1:3" x14ac:dyDescent="0.3">
      <c r="A135">
        <v>62763947</v>
      </c>
      <c r="B135" t="s">
        <v>242</v>
      </c>
      <c r="C135" t="s">
        <v>131</v>
      </c>
    </row>
    <row r="136" spans="1:3" x14ac:dyDescent="0.3">
      <c r="A136">
        <v>62763949</v>
      </c>
      <c r="B136" t="s">
        <v>243</v>
      </c>
      <c r="C136" t="s">
        <v>131</v>
      </c>
    </row>
    <row r="137" spans="1:3" x14ac:dyDescent="0.3">
      <c r="A137">
        <v>62763951</v>
      </c>
      <c r="B137" t="s">
        <v>244</v>
      </c>
      <c r="C137" t="s">
        <v>131</v>
      </c>
    </row>
    <row r="138" spans="1:3" x14ac:dyDescent="0.3">
      <c r="A138">
        <v>62764152</v>
      </c>
      <c r="B138" t="s">
        <v>245</v>
      </c>
      <c r="C138" t="s">
        <v>246</v>
      </c>
    </row>
    <row r="139" spans="1:3" x14ac:dyDescent="0.3">
      <c r="A139">
        <v>62764153</v>
      </c>
      <c r="B139" t="s">
        <v>247</v>
      </c>
      <c r="C139" t="s">
        <v>122</v>
      </c>
    </row>
    <row r="140" spans="1:3" x14ac:dyDescent="0.3">
      <c r="A140">
        <v>62764154</v>
      </c>
      <c r="B140" t="s">
        <v>248</v>
      </c>
      <c r="C140" t="s">
        <v>122</v>
      </c>
    </row>
    <row r="141" spans="1:3" x14ac:dyDescent="0.3">
      <c r="A141">
        <v>62764157</v>
      </c>
      <c r="B141" t="s">
        <v>249</v>
      </c>
      <c r="C141" t="s">
        <v>246</v>
      </c>
    </row>
    <row r="142" spans="1:3" x14ac:dyDescent="0.3">
      <c r="A142">
        <v>62769848</v>
      </c>
      <c r="B142" t="s">
        <v>250</v>
      </c>
      <c r="C142" t="s">
        <v>251</v>
      </c>
    </row>
    <row r="143" spans="1:3" x14ac:dyDescent="0.3">
      <c r="A143">
        <v>62769850</v>
      </c>
      <c r="B143" t="s">
        <v>252</v>
      </c>
      <c r="C143" t="s">
        <v>251</v>
      </c>
    </row>
    <row r="144" spans="1:3" x14ac:dyDescent="0.3">
      <c r="A144">
        <v>64298759</v>
      </c>
      <c r="B144" t="s">
        <v>253</v>
      </c>
      <c r="C144" t="s">
        <v>131</v>
      </c>
    </row>
    <row r="145" spans="1:3" x14ac:dyDescent="0.3">
      <c r="A145">
        <v>64298763</v>
      </c>
      <c r="B145" t="s">
        <v>254</v>
      </c>
      <c r="C145" t="s">
        <v>131</v>
      </c>
    </row>
    <row r="146" spans="1:3" x14ac:dyDescent="0.3">
      <c r="A146">
        <v>64301059</v>
      </c>
      <c r="B146" t="s">
        <v>255</v>
      </c>
      <c r="C146" t="s">
        <v>256</v>
      </c>
    </row>
    <row r="147" spans="1:3" x14ac:dyDescent="0.3">
      <c r="A147">
        <v>64301061</v>
      </c>
      <c r="B147" t="s">
        <v>257</v>
      </c>
      <c r="C147" t="s">
        <v>256</v>
      </c>
    </row>
    <row r="148" spans="1:3" x14ac:dyDescent="0.3">
      <c r="A148">
        <v>64301458</v>
      </c>
      <c r="B148" t="s">
        <v>258</v>
      </c>
      <c r="C148" t="s">
        <v>131</v>
      </c>
    </row>
    <row r="149" spans="1:3" x14ac:dyDescent="0.3">
      <c r="A149">
        <v>64301460</v>
      </c>
      <c r="B149" t="s">
        <v>259</v>
      </c>
      <c r="C149" t="s">
        <v>131</v>
      </c>
    </row>
    <row r="150" spans="1:3" x14ac:dyDescent="0.3">
      <c r="A150">
        <v>64301464</v>
      </c>
      <c r="B150" t="s">
        <v>260</v>
      </c>
      <c r="C150" t="s">
        <v>131</v>
      </c>
    </row>
    <row r="151" spans="1:3" x14ac:dyDescent="0.3">
      <c r="A151">
        <v>64301466</v>
      </c>
      <c r="B151" t="s">
        <v>261</v>
      </c>
      <c r="C151" t="s">
        <v>131</v>
      </c>
    </row>
    <row r="152" spans="1:3" x14ac:dyDescent="0.3">
      <c r="A152">
        <v>64301468</v>
      </c>
      <c r="B152" t="s">
        <v>262</v>
      </c>
      <c r="C152" t="s">
        <v>131</v>
      </c>
    </row>
    <row r="153" spans="1:3" x14ac:dyDescent="0.3">
      <c r="A153">
        <v>64301470</v>
      </c>
      <c r="B153" t="s">
        <v>263</v>
      </c>
      <c r="C153" t="s">
        <v>131</v>
      </c>
    </row>
    <row r="154" spans="1:3" x14ac:dyDescent="0.3">
      <c r="A154">
        <v>64301499</v>
      </c>
      <c r="B154" t="s">
        <v>264</v>
      </c>
      <c r="C154" t="s">
        <v>54</v>
      </c>
    </row>
    <row r="155" spans="1:3" x14ac:dyDescent="0.3">
      <c r="A155">
        <v>64301972</v>
      </c>
      <c r="B155" t="s">
        <v>265</v>
      </c>
      <c r="C155" t="s">
        <v>131</v>
      </c>
    </row>
    <row r="156" spans="1:3" x14ac:dyDescent="0.3">
      <c r="A156">
        <v>64301975</v>
      </c>
      <c r="B156" t="s">
        <v>266</v>
      </c>
      <c r="C156" t="s">
        <v>131</v>
      </c>
    </row>
    <row r="157" spans="1:3" x14ac:dyDescent="0.3">
      <c r="A157">
        <v>64302442</v>
      </c>
      <c r="B157" t="s">
        <v>267</v>
      </c>
      <c r="C157" t="s">
        <v>131</v>
      </c>
    </row>
    <row r="158" spans="1:3" x14ac:dyDescent="0.3">
      <c r="A158">
        <v>64302444</v>
      </c>
      <c r="B158" t="s">
        <v>268</v>
      </c>
      <c r="C158" t="s">
        <v>131</v>
      </c>
    </row>
    <row r="159" spans="1:3" x14ac:dyDescent="0.3">
      <c r="A159">
        <v>64302446</v>
      </c>
      <c r="B159" t="s">
        <v>269</v>
      </c>
      <c r="C159" t="s">
        <v>131</v>
      </c>
    </row>
    <row r="160" spans="1:3" x14ac:dyDescent="0.3">
      <c r="A160">
        <v>64302487</v>
      </c>
      <c r="B160" t="s">
        <v>270</v>
      </c>
      <c r="C160" t="s">
        <v>131</v>
      </c>
    </row>
    <row r="161" spans="1:3" x14ac:dyDescent="0.3">
      <c r="A161">
        <v>64302493</v>
      </c>
      <c r="B161" t="s">
        <v>271</v>
      </c>
      <c r="C161" t="s">
        <v>131</v>
      </c>
    </row>
    <row r="162" spans="1:3" x14ac:dyDescent="0.3">
      <c r="A162">
        <v>64302893</v>
      </c>
      <c r="B162" t="s">
        <v>272</v>
      </c>
      <c r="C162" t="s">
        <v>131</v>
      </c>
    </row>
    <row r="163" spans="1:3" x14ac:dyDescent="0.3">
      <c r="A163">
        <v>64304532</v>
      </c>
      <c r="B163" t="s">
        <v>273</v>
      </c>
      <c r="C163" t="s">
        <v>131</v>
      </c>
    </row>
    <row r="164" spans="1:3" x14ac:dyDescent="0.3">
      <c r="A164">
        <v>64304544</v>
      </c>
      <c r="B164" t="s">
        <v>274</v>
      </c>
      <c r="C164" t="s">
        <v>131</v>
      </c>
    </row>
    <row r="165" spans="1:3" x14ac:dyDescent="0.3">
      <c r="A165">
        <v>64304548</v>
      </c>
      <c r="B165" t="s">
        <v>275</v>
      </c>
      <c r="C165" t="s">
        <v>131</v>
      </c>
    </row>
    <row r="166" spans="1:3" x14ac:dyDescent="0.3">
      <c r="A166">
        <v>64304553</v>
      </c>
      <c r="B166" t="s">
        <v>276</v>
      </c>
      <c r="C166" t="s">
        <v>131</v>
      </c>
    </row>
    <row r="167" spans="1:3" x14ac:dyDescent="0.3">
      <c r="A167">
        <v>64304565</v>
      </c>
      <c r="B167" t="s">
        <v>277</v>
      </c>
      <c r="C167" t="s">
        <v>131</v>
      </c>
    </row>
    <row r="168" spans="1:3" x14ac:dyDescent="0.3">
      <c r="A168">
        <v>64304573</v>
      </c>
      <c r="B168" t="s">
        <v>278</v>
      </c>
      <c r="C168" t="s">
        <v>131</v>
      </c>
    </row>
    <row r="169" spans="1:3" x14ac:dyDescent="0.3">
      <c r="A169">
        <v>64304579</v>
      </c>
      <c r="B169" t="s">
        <v>279</v>
      </c>
      <c r="C169" t="s">
        <v>131</v>
      </c>
    </row>
    <row r="170" spans="1:3" x14ac:dyDescent="0.3">
      <c r="A170">
        <v>64304581</v>
      </c>
      <c r="B170" t="s">
        <v>280</v>
      </c>
      <c r="C170" t="s">
        <v>131</v>
      </c>
    </row>
    <row r="171" spans="1:3" x14ac:dyDescent="0.3">
      <c r="A171">
        <v>64304585</v>
      </c>
      <c r="B171" t="s">
        <v>281</v>
      </c>
      <c r="C171" t="s">
        <v>131</v>
      </c>
    </row>
    <row r="172" spans="1:3" x14ac:dyDescent="0.3">
      <c r="A172">
        <v>64304589</v>
      </c>
      <c r="B172" t="s">
        <v>282</v>
      </c>
      <c r="C172" t="s">
        <v>131</v>
      </c>
    </row>
    <row r="173" spans="1:3" x14ac:dyDescent="0.3">
      <c r="A173">
        <v>64308047</v>
      </c>
      <c r="B173" t="s">
        <v>283</v>
      </c>
      <c r="C173" t="s">
        <v>131</v>
      </c>
    </row>
    <row r="174" spans="1:3" x14ac:dyDescent="0.3">
      <c r="A174">
        <v>64308738</v>
      </c>
      <c r="B174" t="s">
        <v>85</v>
      </c>
      <c r="C174" t="s">
        <v>284</v>
      </c>
    </row>
    <row r="175" spans="1:3" x14ac:dyDescent="0.3">
      <c r="A175">
        <v>64311412</v>
      </c>
      <c r="B175" t="s">
        <v>285</v>
      </c>
      <c r="C175" t="s">
        <v>54</v>
      </c>
    </row>
    <row r="176" spans="1:3" x14ac:dyDescent="0.3">
      <c r="A176">
        <v>64311414</v>
      </c>
      <c r="B176" t="s">
        <v>286</v>
      </c>
      <c r="C176" t="s">
        <v>54</v>
      </c>
    </row>
    <row r="177" spans="1:3" x14ac:dyDescent="0.3">
      <c r="A177">
        <v>64312163</v>
      </c>
      <c r="B177" t="s">
        <v>287</v>
      </c>
      <c r="C177" t="s">
        <v>131</v>
      </c>
    </row>
    <row r="178" spans="1:3" x14ac:dyDescent="0.3">
      <c r="A178">
        <v>64312167</v>
      </c>
      <c r="B178" t="s">
        <v>288</v>
      </c>
      <c r="C178" t="s">
        <v>131</v>
      </c>
    </row>
    <row r="179" spans="1:3" x14ac:dyDescent="0.3">
      <c r="A179">
        <v>64313176</v>
      </c>
      <c r="B179" t="s">
        <v>289</v>
      </c>
      <c r="C179" t="s">
        <v>251</v>
      </c>
    </row>
    <row r="180" spans="1:3" x14ac:dyDescent="0.3">
      <c r="A180">
        <v>64313177</v>
      </c>
      <c r="B180" t="s">
        <v>290</v>
      </c>
      <c r="C180" t="s">
        <v>251</v>
      </c>
    </row>
    <row r="181" spans="1:3" x14ac:dyDescent="0.3">
      <c r="A181">
        <v>64313178</v>
      </c>
      <c r="B181" t="s">
        <v>291</v>
      </c>
      <c r="C181" t="s">
        <v>251</v>
      </c>
    </row>
    <row r="182" spans="1:3" x14ac:dyDescent="0.3">
      <c r="A182">
        <v>64313180</v>
      </c>
      <c r="B182" t="s">
        <v>292</v>
      </c>
      <c r="C182" t="s">
        <v>251</v>
      </c>
    </row>
    <row r="183" spans="1:3" x14ac:dyDescent="0.3">
      <c r="A183">
        <v>64313448</v>
      </c>
      <c r="B183" t="s">
        <v>293</v>
      </c>
      <c r="C183" t="s">
        <v>56</v>
      </c>
    </row>
    <row r="184" spans="1:3" x14ac:dyDescent="0.3">
      <c r="A184">
        <v>64318465</v>
      </c>
      <c r="B184" t="s">
        <v>294</v>
      </c>
      <c r="C184" t="s">
        <v>54</v>
      </c>
    </row>
    <row r="185" spans="1:3" x14ac:dyDescent="0.3">
      <c r="A185">
        <v>64318467</v>
      </c>
      <c r="B185" t="s">
        <v>295</v>
      </c>
      <c r="C185" t="s">
        <v>54</v>
      </c>
    </row>
    <row r="186" spans="1:3" x14ac:dyDescent="0.3">
      <c r="A186">
        <v>64322397</v>
      </c>
      <c r="B186" t="s">
        <v>296</v>
      </c>
      <c r="C186" t="s">
        <v>246</v>
      </c>
    </row>
    <row r="187" spans="1:3" x14ac:dyDescent="0.3">
      <c r="A187">
        <v>64322399</v>
      </c>
      <c r="B187" t="s">
        <v>297</v>
      </c>
      <c r="C187" t="s">
        <v>246</v>
      </c>
    </row>
    <row r="188" spans="1:3" x14ac:dyDescent="0.3">
      <c r="A188">
        <v>64322401</v>
      </c>
      <c r="B188" t="s">
        <v>298</v>
      </c>
      <c r="C188" t="s">
        <v>246</v>
      </c>
    </row>
    <row r="189" spans="1:3" x14ac:dyDescent="0.3">
      <c r="A189">
        <v>64323977</v>
      </c>
      <c r="B189" t="s">
        <v>299</v>
      </c>
      <c r="C189" t="s">
        <v>54</v>
      </c>
    </row>
    <row r="190" spans="1:3" x14ac:dyDescent="0.3">
      <c r="A190">
        <v>64323979</v>
      </c>
      <c r="B190" t="s">
        <v>300</v>
      </c>
      <c r="C190" t="s">
        <v>54</v>
      </c>
    </row>
    <row r="191" spans="1:3" x14ac:dyDescent="0.3">
      <c r="A191">
        <v>64323981</v>
      </c>
      <c r="B191" t="s">
        <v>301</v>
      </c>
      <c r="C191" t="s">
        <v>54</v>
      </c>
    </row>
    <row r="192" spans="1:3" x14ac:dyDescent="0.3">
      <c r="A192" t="s">
        <v>302</v>
      </c>
      <c r="B192" t="s">
        <v>303</v>
      </c>
      <c r="C192" t="s">
        <v>54</v>
      </c>
    </row>
    <row r="193" spans="1:3" x14ac:dyDescent="0.3">
      <c r="A193">
        <v>64323983</v>
      </c>
      <c r="B193" t="s">
        <v>304</v>
      </c>
      <c r="C193" t="s">
        <v>122</v>
      </c>
    </row>
    <row r="194" spans="1:3" x14ac:dyDescent="0.3">
      <c r="A194">
        <v>64323985</v>
      </c>
      <c r="B194" t="s">
        <v>305</v>
      </c>
      <c r="C194" t="s">
        <v>54</v>
      </c>
    </row>
    <row r="195" spans="1:3" x14ac:dyDescent="0.3">
      <c r="A195">
        <v>64323987</v>
      </c>
      <c r="B195" t="s">
        <v>306</v>
      </c>
      <c r="C195" t="s">
        <v>54</v>
      </c>
    </row>
    <row r="196" spans="1:3" x14ac:dyDescent="0.3">
      <c r="A196">
        <v>64323994</v>
      </c>
      <c r="B196" t="s">
        <v>307</v>
      </c>
      <c r="C196" t="s">
        <v>54</v>
      </c>
    </row>
    <row r="197" spans="1:3" x14ac:dyDescent="0.3">
      <c r="A197">
        <v>64323996</v>
      </c>
      <c r="B197" t="s">
        <v>308</v>
      </c>
      <c r="C197" t="s">
        <v>54</v>
      </c>
    </row>
    <row r="198" spans="1:3" x14ac:dyDescent="0.3">
      <c r="A198" t="s">
        <v>309</v>
      </c>
      <c r="B198" t="s">
        <v>308</v>
      </c>
      <c r="C198" t="s">
        <v>54</v>
      </c>
    </row>
    <row r="199" spans="1:3" x14ac:dyDescent="0.3">
      <c r="A199">
        <v>64323998</v>
      </c>
      <c r="B199" t="s">
        <v>310</v>
      </c>
      <c r="C199" t="s">
        <v>54</v>
      </c>
    </row>
    <row r="200" spans="1:3" x14ac:dyDescent="0.3">
      <c r="A200">
        <v>64324002</v>
      </c>
      <c r="B200" t="s">
        <v>311</v>
      </c>
      <c r="C200" t="s">
        <v>54</v>
      </c>
    </row>
    <row r="201" spans="1:3" x14ac:dyDescent="0.3">
      <c r="A201">
        <v>64324004</v>
      </c>
      <c r="B201" t="s">
        <v>312</v>
      </c>
      <c r="C201" t="s">
        <v>54</v>
      </c>
    </row>
    <row r="202" spans="1:3" x14ac:dyDescent="0.3">
      <c r="A202">
        <v>64324006</v>
      </c>
      <c r="B202" t="s">
        <v>313</v>
      </c>
      <c r="C202" t="s">
        <v>54</v>
      </c>
    </row>
    <row r="203" spans="1:3" x14ac:dyDescent="0.3">
      <c r="A203">
        <v>64324008</v>
      </c>
      <c r="B203" t="s">
        <v>314</v>
      </c>
      <c r="C203" t="s">
        <v>108</v>
      </c>
    </row>
    <row r="204" spans="1:3" x14ac:dyDescent="0.3">
      <c r="A204">
        <v>64324010</v>
      </c>
      <c r="B204" t="s">
        <v>315</v>
      </c>
      <c r="C204" t="s">
        <v>108</v>
      </c>
    </row>
    <row r="205" spans="1:3" x14ac:dyDescent="0.3">
      <c r="A205">
        <v>64324012</v>
      </c>
      <c r="B205" t="s">
        <v>316</v>
      </c>
      <c r="C205" t="s">
        <v>54</v>
      </c>
    </row>
    <row r="206" spans="1:3" x14ac:dyDescent="0.3">
      <c r="A206">
        <v>64324016</v>
      </c>
      <c r="B206" t="s">
        <v>317</v>
      </c>
      <c r="C206" t="s">
        <v>318</v>
      </c>
    </row>
    <row r="207" spans="1:3" x14ac:dyDescent="0.3">
      <c r="A207">
        <v>64324018</v>
      </c>
      <c r="B207" t="s">
        <v>319</v>
      </c>
      <c r="C207" t="s">
        <v>318</v>
      </c>
    </row>
    <row r="208" spans="1:3" x14ac:dyDescent="0.3">
      <c r="A208">
        <v>64324020</v>
      </c>
      <c r="B208" t="s">
        <v>320</v>
      </c>
      <c r="C208" t="s">
        <v>318</v>
      </c>
    </row>
    <row r="209" spans="1:3" x14ac:dyDescent="0.3">
      <c r="A209">
        <v>64324050</v>
      </c>
      <c r="B209" t="s">
        <v>321</v>
      </c>
      <c r="C209" t="s">
        <v>54</v>
      </c>
    </row>
    <row r="210" spans="1:3" x14ac:dyDescent="0.3">
      <c r="A210">
        <v>64324307</v>
      </c>
      <c r="B210" t="s">
        <v>322</v>
      </c>
      <c r="C210" t="s">
        <v>251</v>
      </c>
    </row>
    <row r="211" spans="1:3" x14ac:dyDescent="0.3">
      <c r="A211">
        <v>64324309</v>
      </c>
      <c r="B211" t="s">
        <v>323</v>
      </c>
      <c r="C211" t="s">
        <v>251</v>
      </c>
    </row>
    <row r="212" spans="1:3" x14ac:dyDescent="0.3">
      <c r="A212">
        <v>64329524</v>
      </c>
      <c r="B212" t="s">
        <v>324</v>
      </c>
      <c r="C212" t="s">
        <v>54</v>
      </c>
    </row>
    <row r="213" spans="1:3" x14ac:dyDescent="0.3">
      <c r="A213">
        <v>64329526</v>
      </c>
      <c r="B213" t="s">
        <v>325</v>
      </c>
      <c r="C213" t="s">
        <v>54</v>
      </c>
    </row>
    <row r="214" spans="1:3" x14ac:dyDescent="0.3">
      <c r="A214">
        <v>64330126</v>
      </c>
      <c r="B214" t="s">
        <v>326</v>
      </c>
      <c r="C214" t="s">
        <v>54</v>
      </c>
    </row>
    <row r="215" spans="1:3" x14ac:dyDescent="0.3">
      <c r="A215">
        <v>64330128</v>
      </c>
      <c r="B215" t="s">
        <v>327</v>
      </c>
      <c r="C215" t="s">
        <v>246</v>
      </c>
    </row>
    <row r="216" spans="1:3" x14ac:dyDescent="0.3">
      <c r="A216">
        <v>64330130</v>
      </c>
      <c r="B216" t="s">
        <v>328</v>
      </c>
      <c r="C216" t="s">
        <v>122</v>
      </c>
    </row>
    <row r="217" spans="1:3" x14ac:dyDescent="0.3">
      <c r="A217">
        <v>64330132</v>
      </c>
      <c r="B217" t="s">
        <v>329</v>
      </c>
      <c r="C217" t="s">
        <v>54</v>
      </c>
    </row>
    <row r="218" spans="1:3" x14ac:dyDescent="0.3">
      <c r="A218">
        <v>64330134</v>
      </c>
      <c r="B218" t="s">
        <v>96</v>
      </c>
      <c r="C218" t="s">
        <v>54</v>
      </c>
    </row>
    <row r="219" spans="1:3" x14ac:dyDescent="0.3">
      <c r="A219">
        <v>64330136</v>
      </c>
      <c r="B219" t="s">
        <v>330</v>
      </c>
      <c r="C219" t="s">
        <v>246</v>
      </c>
    </row>
    <row r="220" spans="1:3" x14ac:dyDescent="0.3">
      <c r="A220">
        <v>64330138</v>
      </c>
      <c r="B220" t="s">
        <v>331</v>
      </c>
      <c r="C220" t="s">
        <v>122</v>
      </c>
    </row>
    <row r="221" spans="1:3" x14ac:dyDescent="0.3">
      <c r="A221">
        <v>64330140</v>
      </c>
      <c r="B221" t="s">
        <v>332</v>
      </c>
      <c r="C221" t="s">
        <v>122</v>
      </c>
    </row>
    <row r="222" spans="1:3" x14ac:dyDescent="0.3">
      <c r="A222">
        <v>64330142</v>
      </c>
      <c r="B222" t="s">
        <v>333</v>
      </c>
      <c r="C222" t="s">
        <v>122</v>
      </c>
    </row>
    <row r="223" spans="1:3" x14ac:dyDescent="0.3">
      <c r="A223" t="s">
        <v>334</v>
      </c>
      <c r="B223" t="s">
        <v>335</v>
      </c>
      <c r="C223" t="s">
        <v>336</v>
      </c>
    </row>
    <row r="224" spans="1:3" x14ac:dyDescent="0.3">
      <c r="A224">
        <v>64330144</v>
      </c>
      <c r="B224" t="s">
        <v>337</v>
      </c>
      <c r="C224" t="s">
        <v>54</v>
      </c>
    </row>
    <row r="225" spans="1:3" x14ac:dyDescent="0.3">
      <c r="A225">
        <v>64330146</v>
      </c>
      <c r="B225" t="s">
        <v>338</v>
      </c>
      <c r="C225" t="s">
        <v>54</v>
      </c>
    </row>
    <row r="226" spans="1:3" x14ac:dyDescent="0.3">
      <c r="A226">
        <v>64330148</v>
      </c>
      <c r="B226" t="s">
        <v>339</v>
      </c>
      <c r="C226" t="s">
        <v>246</v>
      </c>
    </row>
    <row r="227" spans="1:3" x14ac:dyDescent="0.3">
      <c r="A227">
        <v>64330150</v>
      </c>
      <c r="B227" t="s">
        <v>340</v>
      </c>
      <c r="C227" t="s">
        <v>122</v>
      </c>
    </row>
    <row r="228" spans="1:3" x14ac:dyDescent="0.3">
      <c r="A228">
        <v>64330152</v>
      </c>
      <c r="B228" t="s">
        <v>341</v>
      </c>
      <c r="C228" t="s">
        <v>122</v>
      </c>
    </row>
    <row r="229" spans="1:3" x14ac:dyDescent="0.3">
      <c r="A229">
        <v>64330154</v>
      </c>
      <c r="B229" t="s">
        <v>342</v>
      </c>
      <c r="C229" t="s">
        <v>122</v>
      </c>
    </row>
    <row r="230" spans="1:3" x14ac:dyDescent="0.3">
      <c r="A230">
        <v>64330158</v>
      </c>
      <c r="B230" t="s">
        <v>343</v>
      </c>
      <c r="C230" t="s">
        <v>246</v>
      </c>
    </row>
    <row r="231" spans="1:3" x14ac:dyDescent="0.3">
      <c r="A231">
        <v>64330160</v>
      </c>
      <c r="B231" t="s">
        <v>344</v>
      </c>
      <c r="C231" t="s">
        <v>54</v>
      </c>
    </row>
    <row r="232" spans="1:3" x14ac:dyDescent="0.3">
      <c r="A232">
        <v>64330170</v>
      </c>
      <c r="B232" t="s">
        <v>345</v>
      </c>
      <c r="C232" t="s">
        <v>246</v>
      </c>
    </row>
    <row r="233" spans="1:3" x14ac:dyDescent="0.3">
      <c r="A233">
        <v>64333609</v>
      </c>
      <c r="B233" t="s">
        <v>346</v>
      </c>
      <c r="C233" t="s">
        <v>131</v>
      </c>
    </row>
    <row r="234" spans="1:3" x14ac:dyDescent="0.3">
      <c r="A234">
        <v>64333611</v>
      </c>
      <c r="B234" t="s">
        <v>347</v>
      </c>
      <c r="C234" t="s">
        <v>131</v>
      </c>
    </row>
    <row r="235" spans="1:3" x14ac:dyDescent="0.3">
      <c r="A235">
        <v>64334787</v>
      </c>
      <c r="B235" t="s">
        <v>348</v>
      </c>
      <c r="C235" t="s">
        <v>318</v>
      </c>
    </row>
    <row r="236" spans="1:3" x14ac:dyDescent="0.3">
      <c r="A236">
        <v>64335146</v>
      </c>
      <c r="B236" t="s">
        <v>349</v>
      </c>
      <c r="C236" t="s">
        <v>131</v>
      </c>
    </row>
    <row r="237" spans="1:3" x14ac:dyDescent="0.3">
      <c r="A237">
        <v>64335150</v>
      </c>
      <c r="B237" t="s">
        <v>350</v>
      </c>
      <c r="C237" t="s">
        <v>131</v>
      </c>
    </row>
    <row r="238" spans="1:3" x14ac:dyDescent="0.3">
      <c r="A238">
        <v>64338388</v>
      </c>
      <c r="B238" t="s">
        <v>351</v>
      </c>
      <c r="C238" t="s">
        <v>131</v>
      </c>
    </row>
    <row r="239" spans="1:3" x14ac:dyDescent="0.3">
      <c r="A239">
        <v>64338396</v>
      </c>
      <c r="B239" t="s">
        <v>352</v>
      </c>
      <c r="C239" t="s">
        <v>131</v>
      </c>
    </row>
    <row r="240" spans="1:3" x14ac:dyDescent="0.3">
      <c r="A240">
        <v>64338592</v>
      </c>
      <c r="B240" t="s">
        <v>353</v>
      </c>
      <c r="C240" t="s">
        <v>131</v>
      </c>
    </row>
    <row r="241" spans="1:3" x14ac:dyDescent="0.3">
      <c r="A241">
        <v>64338594</v>
      </c>
      <c r="B241" t="s">
        <v>354</v>
      </c>
      <c r="C241" t="s">
        <v>131</v>
      </c>
    </row>
    <row r="242" spans="1:3" x14ac:dyDescent="0.3">
      <c r="A242">
        <v>64340182</v>
      </c>
      <c r="B242" t="s">
        <v>355</v>
      </c>
      <c r="C242" t="s">
        <v>177</v>
      </c>
    </row>
    <row r="243" spans="1:3" x14ac:dyDescent="0.3">
      <c r="A243">
        <v>64341344</v>
      </c>
      <c r="B243" t="s">
        <v>356</v>
      </c>
      <c r="C243" t="s">
        <v>122</v>
      </c>
    </row>
    <row r="244" spans="1:3" x14ac:dyDescent="0.3">
      <c r="A244">
        <v>64341346</v>
      </c>
      <c r="B244" t="s">
        <v>357</v>
      </c>
      <c r="C244" t="s">
        <v>122</v>
      </c>
    </row>
    <row r="245" spans="1:3" x14ac:dyDescent="0.3">
      <c r="A245">
        <v>64341350</v>
      </c>
      <c r="B245" t="s">
        <v>358</v>
      </c>
      <c r="C245" t="s">
        <v>122</v>
      </c>
    </row>
    <row r="246" spans="1:3" x14ac:dyDescent="0.3">
      <c r="A246">
        <v>64341352</v>
      </c>
      <c r="B246" t="s">
        <v>359</v>
      </c>
      <c r="C246" t="s">
        <v>122</v>
      </c>
    </row>
    <row r="247" spans="1:3" x14ac:dyDescent="0.3">
      <c r="A247">
        <v>64341354</v>
      </c>
      <c r="B247" t="s">
        <v>360</v>
      </c>
      <c r="C247" t="s">
        <v>122</v>
      </c>
    </row>
    <row r="248" spans="1:3" x14ac:dyDescent="0.3">
      <c r="A248">
        <v>64341356</v>
      </c>
      <c r="B248" t="s">
        <v>361</v>
      </c>
      <c r="C248" t="s">
        <v>122</v>
      </c>
    </row>
    <row r="249" spans="1:3" x14ac:dyDescent="0.3">
      <c r="A249">
        <v>64341358</v>
      </c>
      <c r="B249" t="s">
        <v>362</v>
      </c>
      <c r="C249" t="s">
        <v>122</v>
      </c>
    </row>
    <row r="250" spans="1:3" x14ac:dyDescent="0.3">
      <c r="A250">
        <v>64341360</v>
      </c>
      <c r="B250" t="s">
        <v>363</v>
      </c>
      <c r="C250" t="s">
        <v>122</v>
      </c>
    </row>
    <row r="251" spans="1:3" x14ac:dyDescent="0.3">
      <c r="A251">
        <v>64344439</v>
      </c>
      <c r="B251" t="s">
        <v>364</v>
      </c>
      <c r="C251" t="s">
        <v>131</v>
      </c>
    </row>
    <row r="252" spans="1:3" x14ac:dyDescent="0.3">
      <c r="A252">
        <v>64344444</v>
      </c>
      <c r="B252" t="s">
        <v>365</v>
      </c>
      <c r="C252" t="s">
        <v>131</v>
      </c>
    </row>
    <row r="253" spans="1:3" x14ac:dyDescent="0.3">
      <c r="A253">
        <v>64344475</v>
      </c>
      <c r="B253" t="s">
        <v>366</v>
      </c>
      <c r="C253" t="s">
        <v>131</v>
      </c>
    </row>
    <row r="254" spans="1:3" x14ac:dyDescent="0.3">
      <c r="A254">
        <v>64344477</v>
      </c>
      <c r="B254" t="s">
        <v>367</v>
      </c>
      <c r="C254" t="s">
        <v>131</v>
      </c>
    </row>
    <row r="255" spans="1:3" x14ac:dyDescent="0.3">
      <c r="A255">
        <v>64344479</v>
      </c>
      <c r="B255" t="s">
        <v>368</v>
      </c>
      <c r="C255" t="s">
        <v>131</v>
      </c>
    </row>
    <row r="256" spans="1:3" x14ac:dyDescent="0.3">
      <c r="A256">
        <v>64344484</v>
      </c>
      <c r="B256" t="s">
        <v>369</v>
      </c>
      <c r="C256" t="s">
        <v>131</v>
      </c>
    </row>
    <row r="257" spans="1:3" x14ac:dyDescent="0.3">
      <c r="A257">
        <v>64344486</v>
      </c>
      <c r="B257" t="s">
        <v>370</v>
      </c>
      <c r="C257" t="s">
        <v>131</v>
      </c>
    </row>
    <row r="258" spans="1:3" x14ac:dyDescent="0.3">
      <c r="A258">
        <v>64344488</v>
      </c>
      <c r="B258" t="s">
        <v>371</v>
      </c>
      <c r="C258" t="s">
        <v>131</v>
      </c>
    </row>
    <row r="259" spans="1:3" x14ac:dyDescent="0.3">
      <c r="A259">
        <v>64344490</v>
      </c>
      <c r="B259" t="s">
        <v>372</v>
      </c>
      <c r="C259" t="s">
        <v>131</v>
      </c>
    </row>
    <row r="260" spans="1:3" x14ac:dyDescent="0.3">
      <c r="A260">
        <v>64344494</v>
      </c>
      <c r="B260" t="s">
        <v>373</v>
      </c>
      <c r="C260" t="s">
        <v>131</v>
      </c>
    </row>
    <row r="261" spans="1:3" x14ac:dyDescent="0.3">
      <c r="A261">
        <v>64344497</v>
      </c>
      <c r="B261" t="s">
        <v>374</v>
      </c>
      <c r="C261" t="s">
        <v>131</v>
      </c>
    </row>
    <row r="262" spans="1:3" x14ac:dyDescent="0.3">
      <c r="A262">
        <v>64344499</v>
      </c>
      <c r="B262" t="s">
        <v>375</v>
      </c>
      <c r="C262" t="s">
        <v>131</v>
      </c>
    </row>
    <row r="263" spans="1:3" x14ac:dyDescent="0.3">
      <c r="A263">
        <v>64344502</v>
      </c>
      <c r="B263" t="s">
        <v>376</v>
      </c>
      <c r="C263" t="s">
        <v>131</v>
      </c>
    </row>
    <row r="264" spans="1:3" x14ac:dyDescent="0.3">
      <c r="A264">
        <v>64344504</v>
      </c>
      <c r="B264" t="s">
        <v>377</v>
      </c>
      <c r="C264" t="s">
        <v>131</v>
      </c>
    </row>
    <row r="265" spans="1:3" x14ac:dyDescent="0.3">
      <c r="A265">
        <v>64345474</v>
      </c>
      <c r="B265" t="s">
        <v>378</v>
      </c>
      <c r="C265" t="s">
        <v>108</v>
      </c>
    </row>
    <row r="266" spans="1:3" x14ac:dyDescent="0.3">
      <c r="A266">
        <v>64346041</v>
      </c>
      <c r="B266" t="s">
        <v>379</v>
      </c>
      <c r="C266" t="s">
        <v>380</v>
      </c>
    </row>
    <row r="267" spans="1:3" x14ac:dyDescent="0.3">
      <c r="A267">
        <v>64346043</v>
      </c>
      <c r="B267" t="s">
        <v>381</v>
      </c>
      <c r="C267" t="s">
        <v>380</v>
      </c>
    </row>
    <row r="268" spans="1:3" x14ac:dyDescent="0.3">
      <c r="A268">
        <v>64346045</v>
      </c>
      <c r="B268" t="s">
        <v>382</v>
      </c>
      <c r="C268" t="s">
        <v>380</v>
      </c>
    </row>
    <row r="269" spans="1:3" x14ac:dyDescent="0.3">
      <c r="A269">
        <v>64346047</v>
      </c>
      <c r="B269" t="s">
        <v>383</v>
      </c>
      <c r="C269" t="s">
        <v>380</v>
      </c>
    </row>
    <row r="270" spans="1:3" x14ac:dyDescent="0.3">
      <c r="A270">
        <v>64346071</v>
      </c>
      <c r="B270" t="s">
        <v>384</v>
      </c>
      <c r="C270" t="s">
        <v>54</v>
      </c>
    </row>
    <row r="271" spans="1:3" x14ac:dyDescent="0.3">
      <c r="A271">
        <v>64346152</v>
      </c>
      <c r="B271" t="s">
        <v>385</v>
      </c>
      <c r="C271" t="s">
        <v>56</v>
      </c>
    </row>
    <row r="272" spans="1:3" x14ac:dyDescent="0.3">
      <c r="A272">
        <v>64346154</v>
      </c>
      <c r="B272" t="s">
        <v>386</v>
      </c>
      <c r="C272" t="s">
        <v>318</v>
      </c>
    </row>
    <row r="273" spans="1:3" x14ac:dyDescent="0.3">
      <c r="A273">
        <v>64346495</v>
      </c>
      <c r="B273" t="s">
        <v>387</v>
      </c>
      <c r="C273" t="s">
        <v>131</v>
      </c>
    </row>
    <row r="274" spans="1:3" x14ac:dyDescent="0.3">
      <c r="A274">
        <v>64346497</v>
      </c>
      <c r="B274" t="s">
        <v>388</v>
      </c>
      <c r="C274" t="s">
        <v>131</v>
      </c>
    </row>
    <row r="275" spans="1:3" x14ac:dyDescent="0.3">
      <c r="A275">
        <v>64346499</v>
      </c>
      <c r="B275" t="s">
        <v>389</v>
      </c>
      <c r="C275" t="s">
        <v>131</v>
      </c>
    </row>
    <row r="276" spans="1:3" x14ac:dyDescent="0.3">
      <c r="A276">
        <v>64346845</v>
      </c>
      <c r="B276" t="s">
        <v>390</v>
      </c>
      <c r="C276" t="s">
        <v>122</v>
      </c>
    </row>
    <row r="277" spans="1:3" x14ac:dyDescent="0.3">
      <c r="A277">
        <v>64346847</v>
      </c>
      <c r="B277" t="s">
        <v>391</v>
      </c>
      <c r="C277" t="s">
        <v>122</v>
      </c>
    </row>
    <row r="278" spans="1:3" x14ac:dyDescent="0.3">
      <c r="A278">
        <v>64346851</v>
      </c>
      <c r="B278" t="s">
        <v>392</v>
      </c>
      <c r="C278" t="s">
        <v>122</v>
      </c>
    </row>
    <row r="279" spans="1:3" x14ac:dyDescent="0.3">
      <c r="A279">
        <v>64346853</v>
      </c>
      <c r="B279" t="s">
        <v>80</v>
      </c>
      <c r="C279" t="s">
        <v>122</v>
      </c>
    </row>
    <row r="280" spans="1:3" x14ac:dyDescent="0.3">
      <c r="A280">
        <v>64346855</v>
      </c>
      <c r="B280" t="s">
        <v>393</v>
      </c>
      <c r="C280" t="s">
        <v>122</v>
      </c>
    </row>
    <row r="281" spans="1:3" x14ac:dyDescent="0.3">
      <c r="A281">
        <v>64346857</v>
      </c>
      <c r="B281" t="s">
        <v>394</v>
      </c>
      <c r="C281" t="s">
        <v>122</v>
      </c>
    </row>
    <row r="282" spans="1:3" x14ac:dyDescent="0.3">
      <c r="A282">
        <v>64346859</v>
      </c>
      <c r="B282" t="s">
        <v>395</v>
      </c>
      <c r="C282" t="s">
        <v>122</v>
      </c>
    </row>
    <row r="283" spans="1:3" x14ac:dyDescent="0.3">
      <c r="A283">
        <v>64346861</v>
      </c>
      <c r="B283" t="s">
        <v>396</v>
      </c>
      <c r="C283" t="s">
        <v>122</v>
      </c>
    </row>
    <row r="284" spans="1:3" x14ac:dyDescent="0.3">
      <c r="A284">
        <v>64346863</v>
      </c>
      <c r="B284" t="s">
        <v>397</v>
      </c>
      <c r="C284" t="s">
        <v>122</v>
      </c>
    </row>
    <row r="285" spans="1:3" x14ac:dyDescent="0.3">
      <c r="A285">
        <v>64346865</v>
      </c>
      <c r="B285" t="s">
        <v>398</v>
      </c>
      <c r="C285" t="s">
        <v>122</v>
      </c>
    </row>
    <row r="286" spans="1:3" x14ac:dyDescent="0.3">
      <c r="A286">
        <v>64346867</v>
      </c>
      <c r="B286" t="s">
        <v>399</v>
      </c>
      <c r="C286" t="s">
        <v>122</v>
      </c>
    </row>
    <row r="287" spans="1:3" x14ac:dyDescent="0.3">
      <c r="A287">
        <v>64346869</v>
      </c>
      <c r="B287" t="s">
        <v>400</v>
      </c>
      <c r="C287" t="s">
        <v>122</v>
      </c>
    </row>
    <row r="288" spans="1:3" x14ac:dyDescent="0.3">
      <c r="A288">
        <v>64346871</v>
      </c>
      <c r="B288" t="s">
        <v>401</v>
      </c>
      <c r="C288" t="s">
        <v>122</v>
      </c>
    </row>
    <row r="289" spans="1:3" x14ac:dyDescent="0.3">
      <c r="A289">
        <v>64346873</v>
      </c>
      <c r="B289" t="s">
        <v>81</v>
      </c>
      <c r="C289" t="s">
        <v>122</v>
      </c>
    </row>
    <row r="290" spans="1:3" x14ac:dyDescent="0.3">
      <c r="A290">
        <v>64346875</v>
      </c>
      <c r="B290" t="s">
        <v>402</v>
      </c>
      <c r="C290" t="s">
        <v>122</v>
      </c>
    </row>
    <row r="291" spans="1:3" x14ac:dyDescent="0.3">
      <c r="A291">
        <v>64346877</v>
      </c>
      <c r="B291" t="s">
        <v>403</v>
      </c>
      <c r="C291" t="s">
        <v>122</v>
      </c>
    </row>
    <row r="292" spans="1:3" x14ac:dyDescent="0.3">
      <c r="A292">
        <v>64346879</v>
      </c>
      <c r="B292" t="s">
        <v>404</v>
      </c>
      <c r="C292" t="s">
        <v>122</v>
      </c>
    </row>
    <row r="293" spans="1:3" x14ac:dyDescent="0.3">
      <c r="A293">
        <v>64346881</v>
      </c>
      <c r="B293" t="s">
        <v>405</v>
      </c>
      <c r="C293" t="s">
        <v>122</v>
      </c>
    </row>
    <row r="294" spans="1:3" x14ac:dyDescent="0.3">
      <c r="A294">
        <v>64346883</v>
      </c>
      <c r="B294" t="s">
        <v>406</v>
      </c>
      <c r="C294" t="s">
        <v>122</v>
      </c>
    </row>
    <row r="295" spans="1:3" x14ac:dyDescent="0.3">
      <c r="A295">
        <v>64346885</v>
      </c>
      <c r="B295" t="s">
        <v>407</v>
      </c>
      <c r="C295" t="s">
        <v>54</v>
      </c>
    </row>
    <row r="296" spans="1:3" x14ac:dyDescent="0.3">
      <c r="A296">
        <v>64346887</v>
      </c>
      <c r="B296" t="s">
        <v>408</v>
      </c>
      <c r="C296" t="s">
        <v>54</v>
      </c>
    </row>
    <row r="297" spans="1:3" x14ac:dyDescent="0.3">
      <c r="A297">
        <v>64346891</v>
      </c>
      <c r="B297" t="s">
        <v>409</v>
      </c>
      <c r="C297" t="s">
        <v>54</v>
      </c>
    </row>
    <row r="298" spans="1:3" x14ac:dyDescent="0.3">
      <c r="A298">
        <v>64346900</v>
      </c>
      <c r="B298" t="s">
        <v>410</v>
      </c>
      <c r="C298" t="s">
        <v>54</v>
      </c>
    </row>
    <row r="299" spans="1:3" x14ac:dyDescent="0.3">
      <c r="A299">
        <v>64354187</v>
      </c>
      <c r="B299" t="s">
        <v>411</v>
      </c>
      <c r="C299" t="s">
        <v>53</v>
      </c>
    </row>
    <row r="300" spans="1:3" x14ac:dyDescent="0.3">
      <c r="A300">
        <v>64354188</v>
      </c>
      <c r="B300" t="s">
        <v>412</v>
      </c>
      <c r="C300" t="s">
        <v>53</v>
      </c>
    </row>
    <row r="301" spans="1:3" x14ac:dyDescent="0.3">
      <c r="A301">
        <v>64354189</v>
      </c>
      <c r="B301" t="s">
        <v>413</v>
      </c>
      <c r="C301" t="s">
        <v>414</v>
      </c>
    </row>
    <row r="302" spans="1:3" x14ac:dyDescent="0.3">
      <c r="A302">
        <v>64354192</v>
      </c>
      <c r="B302" t="s">
        <v>415</v>
      </c>
      <c r="C302" t="s">
        <v>53</v>
      </c>
    </row>
    <row r="303" spans="1:3" x14ac:dyDescent="0.3">
      <c r="A303">
        <v>64355453</v>
      </c>
      <c r="B303" t="s">
        <v>416</v>
      </c>
      <c r="C303" t="s">
        <v>177</v>
      </c>
    </row>
    <row r="304" spans="1:3" x14ac:dyDescent="0.3">
      <c r="A304">
        <v>64357088</v>
      </c>
      <c r="B304" t="s">
        <v>417</v>
      </c>
      <c r="C304" t="s">
        <v>122</v>
      </c>
    </row>
    <row r="305" spans="1:3" x14ac:dyDescent="0.3">
      <c r="A305">
        <v>64357089</v>
      </c>
      <c r="B305" t="s">
        <v>418</v>
      </c>
      <c r="C305" t="s">
        <v>122</v>
      </c>
    </row>
    <row r="306" spans="1:3" x14ac:dyDescent="0.3">
      <c r="A306">
        <v>64357090</v>
      </c>
      <c r="B306" t="s">
        <v>419</v>
      </c>
      <c r="C306" t="s">
        <v>122</v>
      </c>
    </row>
    <row r="307" spans="1:3" x14ac:dyDescent="0.3">
      <c r="A307">
        <v>64357091</v>
      </c>
      <c r="B307" t="s">
        <v>420</v>
      </c>
      <c r="C307" t="s">
        <v>122</v>
      </c>
    </row>
    <row r="308" spans="1:3" x14ac:dyDescent="0.3">
      <c r="A308">
        <v>64357092</v>
      </c>
      <c r="B308" t="s">
        <v>421</v>
      </c>
      <c r="C308" t="s">
        <v>122</v>
      </c>
    </row>
    <row r="309" spans="1:3" x14ac:dyDescent="0.3">
      <c r="A309">
        <v>64357093</v>
      </c>
      <c r="B309" t="s">
        <v>422</v>
      </c>
      <c r="C309" t="s">
        <v>122</v>
      </c>
    </row>
    <row r="310" spans="1:3" x14ac:dyDescent="0.3">
      <c r="A310">
        <v>64357094</v>
      </c>
      <c r="B310" t="s">
        <v>423</v>
      </c>
      <c r="C310" t="s">
        <v>122</v>
      </c>
    </row>
    <row r="311" spans="1:3" x14ac:dyDescent="0.3">
      <c r="A311">
        <v>64357095</v>
      </c>
      <c r="B311" t="s">
        <v>424</v>
      </c>
      <c r="C311" t="s">
        <v>122</v>
      </c>
    </row>
    <row r="312" spans="1:3" x14ac:dyDescent="0.3">
      <c r="A312">
        <v>64357101</v>
      </c>
      <c r="B312" t="s">
        <v>425</v>
      </c>
      <c r="C312" t="s">
        <v>122</v>
      </c>
    </row>
    <row r="313" spans="1:3" x14ac:dyDescent="0.3">
      <c r="A313">
        <v>64357102</v>
      </c>
      <c r="B313" t="s">
        <v>426</v>
      </c>
      <c r="C313" t="s">
        <v>122</v>
      </c>
    </row>
    <row r="314" spans="1:3" x14ac:dyDescent="0.3">
      <c r="A314">
        <v>64357103</v>
      </c>
      <c r="B314" t="s">
        <v>427</v>
      </c>
      <c r="C314" t="s">
        <v>122</v>
      </c>
    </row>
    <row r="315" spans="1:3" x14ac:dyDescent="0.3">
      <c r="A315">
        <v>64357107</v>
      </c>
      <c r="B315" t="s">
        <v>428</v>
      </c>
      <c r="C315" t="s">
        <v>122</v>
      </c>
    </row>
    <row r="316" spans="1:3" x14ac:dyDescent="0.3">
      <c r="A316">
        <v>64360248</v>
      </c>
      <c r="B316" t="s">
        <v>429</v>
      </c>
      <c r="C316" t="s">
        <v>318</v>
      </c>
    </row>
    <row r="317" spans="1:3" x14ac:dyDescent="0.3">
      <c r="A317">
        <v>64360250</v>
      </c>
      <c r="B317" t="s">
        <v>430</v>
      </c>
      <c r="C317" t="s">
        <v>54</v>
      </c>
    </row>
    <row r="318" spans="1:3" x14ac:dyDescent="0.3">
      <c r="A318">
        <v>64360254</v>
      </c>
      <c r="B318" t="s">
        <v>431</v>
      </c>
      <c r="C318" t="s">
        <v>318</v>
      </c>
    </row>
    <row r="319" spans="1:3" x14ac:dyDescent="0.3">
      <c r="A319">
        <v>64360256</v>
      </c>
      <c r="B319" t="s">
        <v>432</v>
      </c>
      <c r="C319" t="s">
        <v>54</v>
      </c>
    </row>
    <row r="320" spans="1:3" x14ac:dyDescent="0.3">
      <c r="A320">
        <v>64361324</v>
      </c>
      <c r="B320" t="s">
        <v>433</v>
      </c>
      <c r="C320" t="s">
        <v>131</v>
      </c>
    </row>
    <row r="321" spans="1:3" x14ac:dyDescent="0.3">
      <c r="A321">
        <v>64363335</v>
      </c>
      <c r="B321" t="s">
        <v>434</v>
      </c>
      <c r="C321" t="s">
        <v>380</v>
      </c>
    </row>
    <row r="322" spans="1:3" x14ac:dyDescent="0.3">
      <c r="A322">
        <v>64364308</v>
      </c>
      <c r="B322" t="s">
        <v>435</v>
      </c>
      <c r="C322" t="s">
        <v>251</v>
      </c>
    </row>
    <row r="323" spans="1:3" x14ac:dyDescent="0.3">
      <c r="A323">
        <v>64365022</v>
      </c>
      <c r="B323" t="s">
        <v>436</v>
      </c>
      <c r="C323" t="s">
        <v>131</v>
      </c>
    </row>
    <row r="324" spans="1:3" x14ac:dyDescent="0.3">
      <c r="A324">
        <v>64365031</v>
      </c>
      <c r="B324" t="s">
        <v>248</v>
      </c>
      <c r="C324" t="s">
        <v>122</v>
      </c>
    </row>
    <row r="325" spans="1:3" x14ac:dyDescent="0.3">
      <c r="A325">
        <v>64365455</v>
      </c>
      <c r="B325" t="s">
        <v>437</v>
      </c>
      <c r="C325" t="s">
        <v>53</v>
      </c>
    </row>
    <row r="326" spans="1:3" x14ac:dyDescent="0.3">
      <c r="A326">
        <v>64373321</v>
      </c>
      <c r="B326" t="s">
        <v>438</v>
      </c>
      <c r="C326" t="s">
        <v>131</v>
      </c>
    </row>
    <row r="327" spans="1:3" x14ac:dyDescent="0.3">
      <c r="A327">
        <v>64373328</v>
      </c>
      <c r="B327" t="s">
        <v>439</v>
      </c>
      <c r="C327" t="s">
        <v>131</v>
      </c>
    </row>
    <row r="328" spans="1:3" x14ac:dyDescent="0.3">
      <c r="A328">
        <v>64373332</v>
      </c>
      <c r="B328" t="s">
        <v>440</v>
      </c>
      <c r="C328" t="s">
        <v>131</v>
      </c>
    </row>
    <row r="329" spans="1:3" x14ac:dyDescent="0.3">
      <c r="A329">
        <v>64373339</v>
      </c>
      <c r="B329" t="s">
        <v>441</v>
      </c>
      <c r="C329" t="s">
        <v>131</v>
      </c>
    </row>
    <row r="330" spans="1:3" x14ac:dyDescent="0.3">
      <c r="A330">
        <v>64373341</v>
      </c>
      <c r="B330" t="s">
        <v>442</v>
      </c>
      <c r="C330" t="s">
        <v>131</v>
      </c>
    </row>
    <row r="331" spans="1:3" x14ac:dyDescent="0.3">
      <c r="A331">
        <v>64375565</v>
      </c>
      <c r="B331" t="s">
        <v>443</v>
      </c>
      <c r="C331" t="s">
        <v>131</v>
      </c>
    </row>
    <row r="332" spans="1:3" x14ac:dyDescent="0.3">
      <c r="A332">
        <v>64375567</v>
      </c>
      <c r="B332" t="s">
        <v>444</v>
      </c>
      <c r="C332" t="s">
        <v>131</v>
      </c>
    </row>
    <row r="333" spans="1:3" x14ac:dyDescent="0.3">
      <c r="A333">
        <v>64375664</v>
      </c>
      <c r="B333" t="s">
        <v>445</v>
      </c>
      <c r="C333" t="s">
        <v>131</v>
      </c>
    </row>
    <row r="334" spans="1:3" x14ac:dyDescent="0.3">
      <c r="A334">
        <v>64375666</v>
      </c>
      <c r="B334" t="s">
        <v>446</v>
      </c>
      <c r="C334" t="s">
        <v>131</v>
      </c>
    </row>
    <row r="335" spans="1:3" x14ac:dyDescent="0.3">
      <c r="A335">
        <v>64375736</v>
      </c>
      <c r="B335" t="s">
        <v>447</v>
      </c>
      <c r="C335" t="s">
        <v>108</v>
      </c>
    </row>
    <row r="336" spans="1:3" x14ac:dyDescent="0.3">
      <c r="A336">
        <v>64375738</v>
      </c>
      <c r="B336" t="s">
        <v>448</v>
      </c>
      <c r="C336" t="s">
        <v>54</v>
      </c>
    </row>
    <row r="337" spans="1:3" x14ac:dyDescent="0.3">
      <c r="A337">
        <v>64378556</v>
      </c>
      <c r="B337" t="s">
        <v>449</v>
      </c>
      <c r="C337" t="s">
        <v>131</v>
      </c>
    </row>
    <row r="338" spans="1:3" x14ac:dyDescent="0.3">
      <c r="A338">
        <v>64378558</v>
      </c>
      <c r="B338" t="s">
        <v>450</v>
      </c>
      <c r="C338" t="s">
        <v>131</v>
      </c>
    </row>
    <row r="339" spans="1:3" x14ac:dyDescent="0.3">
      <c r="A339">
        <v>64380377</v>
      </c>
      <c r="B339" t="s">
        <v>451</v>
      </c>
      <c r="C339" t="s">
        <v>131</v>
      </c>
    </row>
    <row r="340" spans="1:3" x14ac:dyDescent="0.3">
      <c r="A340">
        <v>64380378</v>
      </c>
      <c r="B340" t="s">
        <v>452</v>
      </c>
      <c r="C340" t="s">
        <v>131</v>
      </c>
    </row>
    <row r="341" spans="1:3" x14ac:dyDescent="0.3">
      <c r="A341">
        <v>64380379</v>
      </c>
      <c r="B341" t="s">
        <v>453</v>
      </c>
      <c r="C341" t="s">
        <v>131</v>
      </c>
    </row>
    <row r="342" spans="1:3" x14ac:dyDescent="0.3">
      <c r="A342">
        <v>64382309</v>
      </c>
      <c r="B342" t="s">
        <v>454</v>
      </c>
      <c r="C342" t="s">
        <v>284</v>
      </c>
    </row>
    <row r="343" spans="1:3" x14ac:dyDescent="0.3">
      <c r="A343">
        <v>64382321</v>
      </c>
      <c r="B343" t="s">
        <v>455</v>
      </c>
      <c r="C343" t="s">
        <v>456</v>
      </c>
    </row>
    <row r="344" spans="1:3" x14ac:dyDescent="0.3">
      <c r="A344">
        <v>64384679</v>
      </c>
      <c r="B344" t="s">
        <v>457</v>
      </c>
      <c r="C344" t="s">
        <v>131</v>
      </c>
    </row>
    <row r="345" spans="1:3" x14ac:dyDescent="0.3">
      <c r="A345">
        <v>64384681</v>
      </c>
      <c r="B345" t="s">
        <v>458</v>
      </c>
      <c r="C345" t="s">
        <v>131</v>
      </c>
    </row>
    <row r="346" spans="1:3" x14ac:dyDescent="0.3">
      <c r="A346">
        <v>64384683</v>
      </c>
      <c r="B346" t="s">
        <v>459</v>
      </c>
      <c r="C346" t="s">
        <v>131</v>
      </c>
    </row>
    <row r="347" spans="1:3" x14ac:dyDescent="0.3">
      <c r="A347">
        <v>64384685</v>
      </c>
      <c r="B347" t="s">
        <v>460</v>
      </c>
      <c r="C347" t="s">
        <v>131</v>
      </c>
    </row>
    <row r="348" spans="1:3" x14ac:dyDescent="0.3">
      <c r="A348">
        <v>64384690</v>
      </c>
      <c r="B348" t="s">
        <v>461</v>
      </c>
      <c r="C348" t="s">
        <v>131</v>
      </c>
    </row>
    <row r="349" spans="1:3" x14ac:dyDescent="0.3">
      <c r="A349">
        <v>64384694</v>
      </c>
      <c r="B349" t="s">
        <v>462</v>
      </c>
      <c r="C349" t="s">
        <v>131</v>
      </c>
    </row>
    <row r="350" spans="1:3" x14ac:dyDescent="0.3">
      <c r="A350">
        <v>64384696</v>
      </c>
      <c r="B350" t="s">
        <v>463</v>
      </c>
      <c r="C350" t="s">
        <v>131</v>
      </c>
    </row>
    <row r="351" spans="1:3" x14ac:dyDescent="0.3">
      <c r="A351">
        <v>64397159</v>
      </c>
      <c r="B351" t="s">
        <v>464</v>
      </c>
      <c r="C351" t="s">
        <v>122</v>
      </c>
    </row>
    <row r="352" spans="1:3" x14ac:dyDescent="0.3">
      <c r="A352">
        <v>64397162</v>
      </c>
      <c r="B352" t="s">
        <v>465</v>
      </c>
      <c r="C352" t="s">
        <v>122</v>
      </c>
    </row>
    <row r="353" spans="1:3" x14ac:dyDescent="0.3">
      <c r="A353">
        <v>64397189</v>
      </c>
      <c r="B353" t="s">
        <v>466</v>
      </c>
      <c r="C353" t="s">
        <v>54</v>
      </c>
    </row>
    <row r="354" spans="1:3" x14ac:dyDescent="0.3">
      <c r="A354">
        <v>64397235</v>
      </c>
      <c r="B354" t="s">
        <v>467</v>
      </c>
      <c r="C354" t="s">
        <v>318</v>
      </c>
    </row>
    <row r="355" spans="1:3" x14ac:dyDescent="0.3">
      <c r="A355">
        <v>64397236</v>
      </c>
      <c r="B355" t="s">
        <v>468</v>
      </c>
      <c r="C355" t="s">
        <v>318</v>
      </c>
    </row>
    <row r="356" spans="1:3" x14ac:dyDescent="0.3">
      <c r="A356">
        <v>64397237</v>
      </c>
      <c r="B356" t="s">
        <v>469</v>
      </c>
      <c r="C356" t="s">
        <v>318</v>
      </c>
    </row>
    <row r="357" spans="1:3" x14ac:dyDescent="0.3">
      <c r="A357">
        <v>64397238</v>
      </c>
      <c r="B357" t="s">
        <v>470</v>
      </c>
      <c r="C357" t="s">
        <v>318</v>
      </c>
    </row>
    <row r="358" spans="1:3" x14ac:dyDescent="0.3">
      <c r="A358">
        <v>64400134</v>
      </c>
      <c r="B358" t="s">
        <v>471</v>
      </c>
      <c r="C358" t="s">
        <v>131</v>
      </c>
    </row>
    <row r="359" spans="1:3" x14ac:dyDescent="0.3">
      <c r="A359">
        <v>64400249</v>
      </c>
      <c r="B359" t="s">
        <v>472</v>
      </c>
      <c r="C359" t="s">
        <v>473</v>
      </c>
    </row>
    <row r="360" spans="1:3" x14ac:dyDescent="0.3">
      <c r="A360">
        <v>64400251</v>
      </c>
      <c r="B360" t="s">
        <v>474</v>
      </c>
      <c r="C360" t="s">
        <v>473</v>
      </c>
    </row>
    <row r="361" spans="1:3" x14ac:dyDescent="0.3">
      <c r="A361">
        <v>64400253</v>
      </c>
      <c r="B361" t="s">
        <v>475</v>
      </c>
      <c r="C361" t="s">
        <v>473</v>
      </c>
    </row>
    <row r="362" spans="1:3" x14ac:dyDescent="0.3">
      <c r="A362">
        <v>64400255</v>
      </c>
      <c r="B362" t="s">
        <v>476</v>
      </c>
      <c r="C362" t="s">
        <v>473</v>
      </c>
    </row>
    <row r="363" spans="1:3" x14ac:dyDescent="0.3">
      <c r="A363">
        <v>64405032</v>
      </c>
      <c r="B363" t="s">
        <v>477</v>
      </c>
      <c r="C363" t="s">
        <v>108</v>
      </c>
    </row>
    <row r="364" spans="1:3" x14ac:dyDescent="0.3">
      <c r="A364">
        <v>64405187</v>
      </c>
      <c r="B364" t="s">
        <v>478</v>
      </c>
      <c r="C364" t="s">
        <v>131</v>
      </c>
    </row>
    <row r="365" spans="1:3" x14ac:dyDescent="0.3">
      <c r="A365">
        <v>64405188</v>
      </c>
      <c r="B365" t="s">
        <v>479</v>
      </c>
      <c r="C365" t="s">
        <v>131</v>
      </c>
    </row>
    <row r="366" spans="1:3" x14ac:dyDescent="0.3">
      <c r="A366">
        <v>64405189</v>
      </c>
      <c r="B366" t="s">
        <v>480</v>
      </c>
      <c r="C366" t="s">
        <v>131</v>
      </c>
    </row>
    <row r="367" spans="1:3" x14ac:dyDescent="0.3">
      <c r="A367">
        <v>64405190</v>
      </c>
      <c r="B367" t="s">
        <v>481</v>
      </c>
      <c r="C367" t="s">
        <v>131</v>
      </c>
    </row>
    <row r="368" spans="1:3" x14ac:dyDescent="0.3">
      <c r="A368">
        <v>64405191</v>
      </c>
      <c r="B368" t="s">
        <v>482</v>
      </c>
      <c r="C368" t="s">
        <v>131</v>
      </c>
    </row>
    <row r="369" spans="1:3" x14ac:dyDescent="0.3">
      <c r="A369">
        <v>64405192</v>
      </c>
      <c r="B369" t="s">
        <v>483</v>
      </c>
      <c r="C369" t="s">
        <v>131</v>
      </c>
    </row>
    <row r="370" spans="1:3" x14ac:dyDescent="0.3">
      <c r="A370">
        <v>64405193</v>
      </c>
      <c r="B370" t="s">
        <v>484</v>
      </c>
      <c r="C370" t="s">
        <v>131</v>
      </c>
    </row>
    <row r="371" spans="1:3" x14ac:dyDescent="0.3">
      <c r="A371">
        <v>64405194</v>
      </c>
      <c r="B371" t="s">
        <v>485</v>
      </c>
      <c r="C371" t="s">
        <v>131</v>
      </c>
    </row>
    <row r="372" spans="1:3" x14ac:dyDescent="0.3">
      <c r="A372">
        <v>64405195</v>
      </c>
      <c r="B372" t="s">
        <v>486</v>
      </c>
      <c r="C372" t="s">
        <v>131</v>
      </c>
    </row>
    <row r="373" spans="1:3" x14ac:dyDescent="0.3">
      <c r="A373">
        <v>64405196</v>
      </c>
      <c r="B373" t="s">
        <v>487</v>
      </c>
      <c r="C373" t="s">
        <v>131</v>
      </c>
    </row>
    <row r="374" spans="1:3" x14ac:dyDescent="0.3">
      <c r="A374">
        <v>64405197</v>
      </c>
      <c r="B374" t="s">
        <v>488</v>
      </c>
      <c r="C374" t="s">
        <v>131</v>
      </c>
    </row>
    <row r="375" spans="1:3" x14ac:dyDescent="0.3">
      <c r="A375">
        <v>64405198</v>
      </c>
      <c r="B375" t="s">
        <v>489</v>
      </c>
      <c r="C375" t="s">
        <v>131</v>
      </c>
    </row>
    <row r="376" spans="1:3" x14ac:dyDescent="0.3">
      <c r="A376">
        <v>64405199</v>
      </c>
      <c r="B376" t="s">
        <v>490</v>
      </c>
      <c r="C376" t="s">
        <v>131</v>
      </c>
    </row>
    <row r="377" spans="1:3" x14ac:dyDescent="0.3">
      <c r="A377">
        <v>64405200</v>
      </c>
      <c r="B377" t="s">
        <v>491</v>
      </c>
      <c r="C377" t="s">
        <v>131</v>
      </c>
    </row>
    <row r="378" spans="1:3" x14ac:dyDescent="0.3">
      <c r="A378">
        <v>64405203</v>
      </c>
      <c r="B378" t="s">
        <v>492</v>
      </c>
      <c r="C378" t="s">
        <v>131</v>
      </c>
    </row>
    <row r="379" spans="1:3" x14ac:dyDescent="0.3">
      <c r="A379">
        <v>64405204</v>
      </c>
      <c r="B379" t="s">
        <v>493</v>
      </c>
      <c r="C379" t="s">
        <v>131</v>
      </c>
    </row>
    <row r="380" spans="1:3" x14ac:dyDescent="0.3">
      <c r="A380">
        <v>64405205</v>
      </c>
      <c r="B380" t="s">
        <v>494</v>
      </c>
      <c r="C380" t="s">
        <v>131</v>
      </c>
    </row>
    <row r="381" spans="1:3" x14ac:dyDescent="0.3">
      <c r="A381">
        <v>64405207</v>
      </c>
      <c r="B381" t="s">
        <v>495</v>
      </c>
      <c r="C381" t="s">
        <v>131</v>
      </c>
    </row>
    <row r="382" spans="1:3" x14ac:dyDescent="0.3">
      <c r="A382">
        <v>64405208</v>
      </c>
      <c r="B382" t="s">
        <v>496</v>
      </c>
      <c r="C382" t="s">
        <v>131</v>
      </c>
    </row>
    <row r="383" spans="1:3" x14ac:dyDescent="0.3">
      <c r="A383">
        <v>64405209</v>
      </c>
      <c r="B383" t="s">
        <v>497</v>
      </c>
      <c r="C383" t="s">
        <v>131</v>
      </c>
    </row>
    <row r="384" spans="1:3" x14ac:dyDescent="0.3">
      <c r="A384">
        <v>64406222</v>
      </c>
      <c r="B384" t="s">
        <v>498</v>
      </c>
      <c r="C384" t="s">
        <v>131</v>
      </c>
    </row>
    <row r="385" spans="1:3" x14ac:dyDescent="0.3">
      <c r="A385">
        <v>64406224</v>
      </c>
      <c r="B385" t="s">
        <v>499</v>
      </c>
      <c r="C385" t="s">
        <v>131</v>
      </c>
    </row>
    <row r="386" spans="1:3" x14ac:dyDescent="0.3">
      <c r="A386">
        <v>64406226</v>
      </c>
      <c r="B386" t="s">
        <v>500</v>
      </c>
      <c r="C386" t="s">
        <v>131</v>
      </c>
    </row>
    <row r="387" spans="1:3" x14ac:dyDescent="0.3">
      <c r="A387">
        <v>64406228</v>
      </c>
      <c r="B387" t="s">
        <v>501</v>
      </c>
      <c r="C387" t="s">
        <v>131</v>
      </c>
    </row>
    <row r="388" spans="1:3" x14ac:dyDescent="0.3">
      <c r="A388">
        <v>64406230</v>
      </c>
      <c r="B388" t="s">
        <v>502</v>
      </c>
      <c r="C388" t="s">
        <v>131</v>
      </c>
    </row>
    <row r="389" spans="1:3" x14ac:dyDescent="0.3">
      <c r="A389">
        <v>64406232</v>
      </c>
      <c r="B389" t="s">
        <v>503</v>
      </c>
      <c r="C389" t="s">
        <v>131</v>
      </c>
    </row>
    <row r="390" spans="1:3" x14ac:dyDescent="0.3">
      <c r="A390">
        <v>64407399</v>
      </c>
      <c r="B390" t="s">
        <v>504</v>
      </c>
      <c r="C390" t="s">
        <v>53</v>
      </c>
    </row>
    <row r="391" spans="1:3" x14ac:dyDescent="0.3">
      <c r="A391">
        <v>64408314</v>
      </c>
      <c r="B391" t="s">
        <v>505</v>
      </c>
      <c r="C391" t="s">
        <v>122</v>
      </c>
    </row>
    <row r="392" spans="1:3" x14ac:dyDescent="0.3">
      <c r="A392">
        <v>64408318</v>
      </c>
      <c r="B392" t="s">
        <v>506</v>
      </c>
      <c r="C392" t="s">
        <v>122</v>
      </c>
    </row>
    <row r="393" spans="1:3" x14ac:dyDescent="0.3">
      <c r="A393">
        <v>64408416</v>
      </c>
      <c r="B393" t="s">
        <v>507</v>
      </c>
      <c r="C393" t="s">
        <v>131</v>
      </c>
    </row>
    <row r="394" spans="1:3" x14ac:dyDescent="0.3">
      <c r="A394">
        <v>64408418</v>
      </c>
      <c r="B394" t="s">
        <v>508</v>
      </c>
      <c r="C394" t="s">
        <v>131</v>
      </c>
    </row>
    <row r="395" spans="1:3" x14ac:dyDescent="0.3">
      <c r="A395">
        <v>64408637</v>
      </c>
      <c r="B395" t="s">
        <v>509</v>
      </c>
      <c r="C395" t="s">
        <v>510</v>
      </c>
    </row>
    <row r="396" spans="1:3" x14ac:dyDescent="0.3">
      <c r="A396">
        <v>64410704</v>
      </c>
      <c r="B396" t="s">
        <v>511</v>
      </c>
      <c r="C396" t="s">
        <v>53</v>
      </c>
    </row>
    <row r="397" spans="1:3" x14ac:dyDescent="0.3">
      <c r="A397">
        <v>64411512</v>
      </c>
      <c r="B397" t="s">
        <v>512</v>
      </c>
      <c r="C397" t="s">
        <v>131</v>
      </c>
    </row>
    <row r="398" spans="1:3" x14ac:dyDescent="0.3">
      <c r="A398">
        <v>64411514</v>
      </c>
      <c r="B398" t="s">
        <v>513</v>
      </c>
      <c r="C398" t="s">
        <v>131</v>
      </c>
    </row>
    <row r="399" spans="1:3" x14ac:dyDescent="0.3">
      <c r="A399">
        <v>64414859</v>
      </c>
      <c r="B399" t="s">
        <v>514</v>
      </c>
      <c r="C399" t="s">
        <v>336</v>
      </c>
    </row>
    <row r="400" spans="1:3" x14ac:dyDescent="0.3">
      <c r="A400">
        <v>64414869</v>
      </c>
      <c r="B400" t="s">
        <v>515</v>
      </c>
      <c r="C400" t="s">
        <v>336</v>
      </c>
    </row>
    <row r="401" spans="1:3" x14ac:dyDescent="0.3">
      <c r="A401">
        <v>64762492</v>
      </c>
      <c r="B401" t="s">
        <v>516</v>
      </c>
      <c r="C401" t="s">
        <v>53</v>
      </c>
    </row>
    <row r="402" spans="1:3" x14ac:dyDescent="0.3">
      <c r="A402">
        <v>64762493</v>
      </c>
      <c r="B402" t="s">
        <v>59</v>
      </c>
      <c r="C402" t="s">
        <v>53</v>
      </c>
    </row>
    <row r="403" spans="1:3" x14ac:dyDescent="0.3">
      <c r="A403">
        <v>64762494</v>
      </c>
      <c r="B403" t="s">
        <v>82</v>
      </c>
      <c r="C403" t="s">
        <v>53</v>
      </c>
    </row>
    <row r="404" spans="1:3" x14ac:dyDescent="0.3">
      <c r="A404">
        <v>64762495</v>
      </c>
      <c r="B404" t="s">
        <v>517</v>
      </c>
      <c r="C404" t="s">
        <v>53</v>
      </c>
    </row>
    <row r="405" spans="1:3" x14ac:dyDescent="0.3">
      <c r="A405">
        <v>64762496</v>
      </c>
      <c r="B405" t="s">
        <v>57</v>
      </c>
      <c r="C405" t="s">
        <v>53</v>
      </c>
    </row>
    <row r="406" spans="1:3" x14ac:dyDescent="0.3">
      <c r="A406">
        <v>64762497</v>
      </c>
      <c r="B406" t="s">
        <v>518</v>
      </c>
      <c r="C406" t="s">
        <v>53</v>
      </c>
    </row>
    <row r="407" spans="1:3" x14ac:dyDescent="0.3">
      <c r="A407">
        <v>64762499</v>
      </c>
      <c r="B407" t="s">
        <v>86</v>
      </c>
      <c r="C407" t="s">
        <v>53</v>
      </c>
    </row>
    <row r="408" spans="1:3" x14ac:dyDescent="0.3">
      <c r="A408">
        <v>64762500</v>
      </c>
      <c r="B408" t="s">
        <v>519</v>
      </c>
      <c r="C408" t="s">
        <v>53</v>
      </c>
    </row>
    <row r="409" spans="1:3" x14ac:dyDescent="0.3">
      <c r="A409">
        <v>64762504</v>
      </c>
      <c r="B409" t="s">
        <v>520</v>
      </c>
      <c r="C409" t="s">
        <v>53</v>
      </c>
    </row>
    <row r="410" spans="1:3" x14ac:dyDescent="0.3">
      <c r="A410">
        <v>64762505</v>
      </c>
      <c r="B410" t="s">
        <v>79</v>
      </c>
      <c r="C410" t="s">
        <v>53</v>
      </c>
    </row>
    <row r="411" spans="1:3" x14ac:dyDescent="0.3">
      <c r="A411">
        <v>64762506</v>
      </c>
      <c r="B411" t="s">
        <v>521</v>
      </c>
      <c r="C411" t="s">
        <v>53</v>
      </c>
    </row>
    <row r="412" spans="1:3" x14ac:dyDescent="0.3">
      <c r="A412">
        <v>64762509</v>
      </c>
      <c r="B412" t="s">
        <v>87</v>
      </c>
      <c r="C412" t="s">
        <v>53</v>
      </c>
    </row>
    <row r="413" spans="1:3" x14ac:dyDescent="0.3">
      <c r="A413">
        <v>64762510</v>
      </c>
      <c r="B413" t="s">
        <v>89</v>
      </c>
      <c r="C413" t="s">
        <v>53</v>
      </c>
    </row>
    <row r="414" spans="1:3" x14ac:dyDescent="0.3">
      <c r="A414">
        <v>64762511</v>
      </c>
      <c r="B414" t="s">
        <v>88</v>
      </c>
      <c r="C414" t="s">
        <v>53</v>
      </c>
    </row>
    <row r="415" spans="1:3" x14ac:dyDescent="0.3">
      <c r="A415">
        <v>64762512</v>
      </c>
      <c r="B415" t="s">
        <v>522</v>
      </c>
      <c r="C415" t="s">
        <v>53</v>
      </c>
    </row>
    <row r="416" spans="1:3" x14ac:dyDescent="0.3">
      <c r="A416">
        <v>64762514</v>
      </c>
      <c r="B416" t="s">
        <v>90</v>
      </c>
      <c r="C416" t="s">
        <v>53</v>
      </c>
    </row>
    <row r="417" spans="1:3" x14ac:dyDescent="0.3">
      <c r="A417">
        <v>64765959</v>
      </c>
      <c r="B417" t="s">
        <v>523</v>
      </c>
      <c r="C417" t="s">
        <v>131</v>
      </c>
    </row>
    <row r="418" spans="1:3" x14ac:dyDescent="0.3">
      <c r="A418">
        <v>64767046</v>
      </c>
      <c r="B418" t="s">
        <v>524</v>
      </c>
      <c r="C418" t="s">
        <v>54</v>
      </c>
    </row>
    <row r="419" spans="1:3" x14ac:dyDescent="0.3">
      <c r="A419">
        <v>64767749</v>
      </c>
      <c r="B419" t="s">
        <v>525</v>
      </c>
      <c r="C419" t="s">
        <v>122</v>
      </c>
    </row>
    <row r="420" spans="1:3" x14ac:dyDescent="0.3">
      <c r="A420">
        <v>64767751</v>
      </c>
      <c r="B420" t="s">
        <v>526</v>
      </c>
      <c r="C420" t="s">
        <v>122</v>
      </c>
    </row>
    <row r="421" spans="1:3" x14ac:dyDescent="0.3">
      <c r="A421">
        <v>64767753</v>
      </c>
      <c r="B421" t="s">
        <v>527</v>
      </c>
      <c r="C421" t="s">
        <v>54</v>
      </c>
    </row>
    <row r="422" spans="1:3" x14ac:dyDescent="0.3">
      <c r="A422">
        <v>64767755</v>
      </c>
      <c r="B422" t="s">
        <v>528</v>
      </c>
      <c r="C422" t="s">
        <v>54</v>
      </c>
    </row>
    <row r="423" spans="1:3" x14ac:dyDescent="0.3">
      <c r="A423">
        <v>64767757</v>
      </c>
      <c r="B423" t="s">
        <v>529</v>
      </c>
      <c r="C423" t="s">
        <v>122</v>
      </c>
    </row>
    <row r="424" spans="1:3" x14ac:dyDescent="0.3">
      <c r="A424">
        <v>64767759</v>
      </c>
      <c r="B424" t="s">
        <v>530</v>
      </c>
      <c r="C424" t="s">
        <v>122</v>
      </c>
    </row>
    <row r="425" spans="1:3" x14ac:dyDescent="0.3">
      <c r="A425">
        <v>64769159</v>
      </c>
      <c r="B425" t="s">
        <v>531</v>
      </c>
      <c r="C425" t="s">
        <v>131</v>
      </c>
    </row>
    <row r="426" spans="1:3" x14ac:dyDescent="0.3">
      <c r="A426">
        <v>64769161</v>
      </c>
      <c r="B426" t="s">
        <v>532</v>
      </c>
      <c r="C426" t="s">
        <v>131</v>
      </c>
    </row>
    <row r="427" spans="1:3" x14ac:dyDescent="0.3">
      <c r="A427">
        <v>64769433</v>
      </c>
      <c r="B427" t="s">
        <v>533</v>
      </c>
      <c r="C427" t="s">
        <v>108</v>
      </c>
    </row>
    <row r="428" spans="1:3" x14ac:dyDescent="0.3">
      <c r="A428">
        <v>64770904</v>
      </c>
      <c r="B428" t="s">
        <v>534</v>
      </c>
      <c r="C428" t="s">
        <v>54</v>
      </c>
    </row>
    <row r="429" spans="1:3" x14ac:dyDescent="0.3">
      <c r="A429">
        <v>64773955</v>
      </c>
      <c r="B429" t="s">
        <v>535</v>
      </c>
      <c r="C429" t="s">
        <v>181</v>
      </c>
    </row>
    <row r="430" spans="1:3" x14ac:dyDescent="0.3">
      <c r="A430">
        <v>64773957</v>
      </c>
      <c r="B430" t="s">
        <v>536</v>
      </c>
      <c r="C430" t="s">
        <v>181</v>
      </c>
    </row>
    <row r="431" spans="1:3" x14ac:dyDescent="0.3">
      <c r="A431">
        <v>64774700</v>
      </c>
      <c r="B431" t="s">
        <v>537</v>
      </c>
      <c r="C431" t="s">
        <v>106</v>
      </c>
    </row>
    <row r="432" spans="1:3" x14ac:dyDescent="0.3">
      <c r="A432">
        <v>64774702</v>
      </c>
      <c r="B432" t="s">
        <v>538</v>
      </c>
      <c r="C432" t="s">
        <v>336</v>
      </c>
    </row>
    <row r="433" spans="1:3" x14ac:dyDescent="0.3">
      <c r="A433">
        <v>64774703</v>
      </c>
      <c r="B433" t="s">
        <v>363</v>
      </c>
      <c r="C433" t="s">
        <v>539</v>
      </c>
    </row>
    <row r="434" spans="1:3" x14ac:dyDescent="0.3">
      <c r="A434">
        <v>64774704</v>
      </c>
      <c r="B434" t="s">
        <v>417</v>
      </c>
      <c r="C434" t="s">
        <v>122</v>
      </c>
    </row>
    <row r="435" spans="1:3" x14ac:dyDescent="0.3">
      <c r="A435">
        <v>64774707</v>
      </c>
      <c r="B435" t="s">
        <v>540</v>
      </c>
      <c r="C435" t="s">
        <v>108</v>
      </c>
    </row>
    <row r="436" spans="1:3" x14ac:dyDescent="0.3">
      <c r="A436">
        <v>64774708</v>
      </c>
      <c r="B436" t="s">
        <v>541</v>
      </c>
      <c r="C436" t="s">
        <v>106</v>
      </c>
    </row>
    <row r="437" spans="1:3" x14ac:dyDescent="0.3">
      <c r="A437">
        <v>64774712</v>
      </c>
      <c r="B437" t="s">
        <v>542</v>
      </c>
      <c r="C437" t="s">
        <v>336</v>
      </c>
    </row>
    <row r="438" spans="1:3" x14ac:dyDescent="0.3">
      <c r="A438">
        <v>64774721</v>
      </c>
      <c r="B438" t="s">
        <v>543</v>
      </c>
      <c r="C438" t="s">
        <v>122</v>
      </c>
    </row>
    <row r="439" spans="1:3" x14ac:dyDescent="0.3">
      <c r="A439">
        <v>64774723</v>
      </c>
      <c r="B439" t="s">
        <v>426</v>
      </c>
      <c r="C439" t="s">
        <v>122</v>
      </c>
    </row>
    <row r="440" spans="1:3" x14ac:dyDescent="0.3">
      <c r="A440">
        <v>64774988</v>
      </c>
      <c r="B440" t="s">
        <v>544</v>
      </c>
      <c r="C440" t="s">
        <v>131</v>
      </c>
    </row>
    <row r="441" spans="1:3" x14ac:dyDescent="0.3">
      <c r="A441">
        <v>64774990</v>
      </c>
      <c r="B441" t="s">
        <v>545</v>
      </c>
      <c r="C441" t="s">
        <v>131</v>
      </c>
    </row>
    <row r="442" spans="1:3" x14ac:dyDescent="0.3">
      <c r="A442">
        <v>64774996</v>
      </c>
      <c r="B442" t="s">
        <v>546</v>
      </c>
      <c r="C442" t="s">
        <v>131</v>
      </c>
    </row>
    <row r="443" spans="1:3" x14ac:dyDescent="0.3">
      <c r="A443">
        <v>64775036</v>
      </c>
      <c r="B443" t="s">
        <v>547</v>
      </c>
      <c r="C443" t="s">
        <v>106</v>
      </c>
    </row>
    <row r="444" spans="1:3" x14ac:dyDescent="0.3">
      <c r="A444">
        <v>64775038</v>
      </c>
      <c r="B444" t="s">
        <v>548</v>
      </c>
      <c r="C444" t="s">
        <v>181</v>
      </c>
    </row>
    <row r="445" spans="1:3" x14ac:dyDescent="0.3">
      <c r="A445">
        <v>64775040</v>
      </c>
      <c r="B445" t="s">
        <v>549</v>
      </c>
      <c r="C445" t="s">
        <v>181</v>
      </c>
    </row>
    <row r="446" spans="1:3" x14ac:dyDescent="0.3">
      <c r="A446">
        <v>64775042</v>
      </c>
      <c r="B446" t="s">
        <v>550</v>
      </c>
      <c r="C446" t="s">
        <v>181</v>
      </c>
    </row>
    <row r="447" spans="1:3" x14ac:dyDescent="0.3">
      <c r="A447">
        <v>64775044</v>
      </c>
      <c r="B447" t="s">
        <v>551</v>
      </c>
      <c r="C447" t="s">
        <v>181</v>
      </c>
    </row>
    <row r="448" spans="1:3" x14ac:dyDescent="0.3">
      <c r="A448">
        <v>64775047</v>
      </c>
      <c r="B448" t="s">
        <v>552</v>
      </c>
      <c r="C448" t="s">
        <v>181</v>
      </c>
    </row>
    <row r="449" spans="1:3" x14ac:dyDescent="0.3">
      <c r="A449">
        <v>64775050</v>
      </c>
      <c r="B449" t="s">
        <v>553</v>
      </c>
      <c r="C449" t="s">
        <v>181</v>
      </c>
    </row>
    <row r="450" spans="1:3" x14ac:dyDescent="0.3">
      <c r="A450">
        <v>64775052</v>
      </c>
      <c r="B450" t="s">
        <v>554</v>
      </c>
      <c r="C450" t="s">
        <v>181</v>
      </c>
    </row>
    <row r="451" spans="1:3" x14ac:dyDescent="0.3">
      <c r="A451">
        <v>64775054</v>
      </c>
      <c r="B451" t="s">
        <v>555</v>
      </c>
      <c r="C451" t="s">
        <v>181</v>
      </c>
    </row>
    <row r="452" spans="1:3" x14ac:dyDescent="0.3">
      <c r="A452">
        <v>64775056</v>
      </c>
      <c r="B452" t="s">
        <v>556</v>
      </c>
      <c r="C452" t="s">
        <v>181</v>
      </c>
    </row>
    <row r="453" spans="1:3" x14ac:dyDescent="0.3">
      <c r="A453">
        <v>64775058</v>
      </c>
      <c r="B453" t="s">
        <v>557</v>
      </c>
      <c r="C453" t="s">
        <v>181</v>
      </c>
    </row>
    <row r="454" spans="1:3" x14ac:dyDescent="0.3">
      <c r="A454">
        <v>64775060</v>
      </c>
      <c r="B454" t="s">
        <v>91</v>
      </c>
      <c r="C454" t="s">
        <v>181</v>
      </c>
    </row>
    <row r="455" spans="1:3" x14ac:dyDescent="0.3">
      <c r="A455">
        <v>64775062</v>
      </c>
      <c r="B455" t="s">
        <v>558</v>
      </c>
      <c r="C455" t="s">
        <v>106</v>
      </c>
    </row>
    <row r="456" spans="1:3" x14ac:dyDescent="0.3">
      <c r="A456">
        <v>64789584</v>
      </c>
      <c r="B456" t="s">
        <v>559</v>
      </c>
      <c r="C456" t="s">
        <v>54</v>
      </c>
    </row>
    <row r="457" spans="1:3" x14ac:dyDescent="0.3">
      <c r="A457">
        <v>64791896</v>
      </c>
      <c r="B457" t="s">
        <v>560</v>
      </c>
      <c r="C457" t="s">
        <v>131</v>
      </c>
    </row>
    <row r="458" spans="1:3" x14ac:dyDescent="0.3">
      <c r="A458">
        <v>64791898</v>
      </c>
      <c r="B458" t="s">
        <v>561</v>
      </c>
      <c r="C458" t="s">
        <v>380</v>
      </c>
    </row>
    <row r="459" spans="1:3" x14ac:dyDescent="0.3">
      <c r="A459">
        <v>64793563</v>
      </c>
      <c r="B459" t="s">
        <v>562</v>
      </c>
      <c r="C459" t="s">
        <v>131</v>
      </c>
    </row>
    <row r="460" spans="1:3" x14ac:dyDescent="0.3">
      <c r="A460">
        <v>64793567</v>
      </c>
      <c r="B460" t="s">
        <v>563</v>
      </c>
      <c r="C460" t="s">
        <v>131</v>
      </c>
    </row>
    <row r="461" spans="1:3" x14ac:dyDescent="0.3">
      <c r="A461">
        <v>64798621</v>
      </c>
      <c r="B461" t="s">
        <v>564</v>
      </c>
      <c r="C461" t="s">
        <v>510</v>
      </c>
    </row>
    <row r="462" spans="1:3" x14ac:dyDescent="0.3">
      <c r="A462">
        <v>64804806</v>
      </c>
      <c r="B462" t="s">
        <v>565</v>
      </c>
      <c r="C462" t="s">
        <v>131</v>
      </c>
    </row>
    <row r="463" spans="1:3" x14ac:dyDescent="0.3">
      <c r="A463">
        <v>64804808</v>
      </c>
      <c r="B463" t="s">
        <v>566</v>
      </c>
      <c r="C463" t="s">
        <v>131</v>
      </c>
    </row>
    <row r="464" spans="1:3" x14ac:dyDescent="0.3">
      <c r="A464">
        <v>64804812</v>
      </c>
      <c r="B464" t="s">
        <v>567</v>
      </c>
      <c r="C464" t="s">
        <v>131</v>
      </c>
    </row>
    <row r="465" spans="1:3" x14ac:dyDescent="0.3">
      <c r="A465">
        <v>64806954</v>
      </c>
      <c r="B465" t="s">
        <v>568</v>
      </c>
      <c r="C465" t="s">
        <v>108</v>
      </c>
    </row>
    <row r="466" spans="1:3" x14ac:dyDescent="0.3">
      <c r="A466">
        <v>64806956</v>
      </c>
      <c r="B466" t="s">
        <v>569</v>
      </c>
      <c r="C466" t="s">
        <v>54</v>
      </c>
    </row>
    <row r="467" spans="1:3" x14ac:dyDescent="0.3">
      <c r="A467">
        <v>64806962</v>
      </c>
      <c r="B467" t="s">
        <v>570</v>
      </c>
      <c r="C467" t="s">
        <v>181</v>
      </c>
    </row>
    <row r="468" spans="1:3" x14ac:dyDescent="0.3">
      <c r="A468">
        <v>64806964</v>
      </c>
      <c r="B468" t="s">
        <v>571</v>
      </c>
      <c r="C468" t="s">
        <v>106</v>
      </c>
    </row>
    <row r="469" spans="1:3" x14ac:dyDescent="0.3">
      <c r="A469">
        <v>64807001</v>
      </c>
      <c r="B469" t="s">
        <v>572</v>
      </c>
      <c r="C469" t="s">
        <v>54</v>
      </c>
    </row>
    <row r="470" spans="1:3" x14ac:dyDescent="0.3">
      <c r="A470">
        <v>64807003</v>
      </c>
      <c r="B470" t="s">
        <v>573</v>
      </c>
      <c r="C470" t="s">
        <v>108</v>
      </c>
    </row>
    <row r="471" spans="1:3" x14ac:dyDescent="0.3">
      <c r="A471">
        <v>64811767</v>
      </c>
      <c r="B471" t="s">
        <v>574</v>
      </c>
      <c r="C471" t="s">
        <v>108</v>
      </c>
    </row>
    <row r="472" spans="1:3" x14ac:dyDescent="0.3">
      <c r="A472">
        <v>64811768</v>
      </c>
      <c r="B472" t="s">
        <v>575</v>
      </c>
      <c r="C472" t="s">
        <v>576</v>
      </c>
    </row>
    <row r="473" spans="1:3" x14ac:dyDescent="0.3">
      <c r="A473">
        <v>64811770</v>
      </c>
      <c r="B473" t="s">
        <v>577</v>
      </c>
      <c r="C473" t="s">
        <v>122</v>
      </c>
    </row>
    <row r="474" spans="1:3" x14ac:dyDescent="0.3">
      <c r="A474">
        <v>64812956</v>
      </c>
      <c r="B474" t="s">
        <v>578</v>
      </c>
      <c r="C474" t="s">
        <v>380</v>
      </c>
    </row>
    <row r="475" spans="1:3" x14ac:dyDescent="0.3">
      <c r="A475">
        <v>64813001</v>
      </c>
      <c r="B475" t="s">
        <v>579</v>
      </c>
      <c r="C475" t="s">
        <v>131</v>
      </c>
    </row>
    <row r="476" spans="1:3" x14ac:dyDescent="0.3">
      <c r="A476">
        <v>64813003</v>
      </c>
      <c r="B476" t="s">
        <v>580</v>
      </c>
      <c r="C476" t="s">
        <v>131</v>
      </c>
    </row>
    <row r="477" spans="1:3" x14ac:dyDescent="0.3">
      <c r="A477">
        <v>64814429</v>
      </c>
      <c r="B477" t="s">
        <v>581</v>
      </c>
      <c r="C477" t="s">
        <v>256</v>
      </c>
    </row>
    <row r="478" spans="1:3" x14ac:dyDescent="0.3">
      <c r="A478">
        <v>64815875</v>
      </c>
      <c r="B478" t="s">
        <v>582</v>
      </c>
      <c r="C478" t="s">
        <v>380</v>
      </c>
    </row>
    <row r="479" spans="1:3" x14ac:dyDescent="0.3">
      <c r="A479">
        <v>64815876</v>
      </c>
      <c r="B479" t="s">
        <v>583</v>
      </c>
      <c r="C479" t="s">
        <v>380</v>
      </c>
    </row>
    <row r="480" spans="1:3" x14ac:dyDescent="0.3">
      <c r="A480">
        <v>64815877</v>
      </c>
      <c r="B480" t="s">
        <v>584</v>
      </c>
      <c r="C480" t="s">
        <v>380</v>
      </c>
    </row>
    <row r="481" spans="1:3" x14ac:dyDescent="0.3">
      <c r="A481">
        <v>64815880</v>
      </c>
      <c r="B481" t="s">
        <v>585</v>
      </c>
      <c r="C481" t="s">
        <v>380</v>
      </c>
    </row>
    <row r="482" spans="1:3" x14ac:dyDescent="0.3">
      <c r="A482">
        <v>64815881</v>
      </c>
      <c r="B482" t="s">
        <v>586</v>
      </c>
      <c r="C482" t="s">
        <v>380</v>
      </c>
    </row>
    <row r="483" spans="1:3" x14ac:dyDescent="0.3">
      <c r="A483">
        <v>64815882</v>
      </c>
      <c r="B483" t="s">
        <v>587</v>
      </c>
      <c r="C483" t="s">
        <v>380</v>
      </c>
    </row>
    <row r="484" spans="1:3" x14ac:dyDescent="0.3">
      <c r="A484">
        <v>64817001</v>
      </c>
      <c r="B484" t="s">
        <v>588</v>
      </c>
      <c r="C484" t="s">
        <v>589</v>
      </c>
    </row>
    <row r="485" spans="1:3" x14ac:dyDescent="0.3">
      <c r="A485">
        <v>64817003</v>
      </c>
      <c r="B485" t="s">
        <v>590</v>
      </c>
      <c r="C485" t="s">
        <v>284</v>
      </c>
    </row>
    <row r="486" spans="1:3" x14ac:dyDescent="0.3">
      <c r="A486">
        <v>64817005</v>
      </c>
      <c r="B486" t="s">
        <v>591</v>
      </c>
      <c r="C486" t="s">
        <v>589</v>
      </c>
    </row>
    <row r="487" spans="1:3" x14ac:dyDescent="0.3">
      <c r="A487">
        <v>64817048</v>
      </c>
      <c r="B487" t="s">
        <v>592</v>
      </c>
      <c r="C487" t="s">
        <v>131</v>
      </c>
    </row>
    <row r="488" spans="1:3" x14ac:dyDescent="0.3">
      <c r="A488">
        <v>64817050</v>
      </c>
      <c r="B488" t="s">
        <v>593</v>
      </c>
      <c r="C488" t="s">
        <v>131</v>
      </c>
    </row>
    <row r="489" spans="1:3" x14ac:dyDescent="0.3">
      <c r="A489">
        <v>64817052</v>
      </c>
      <c r="B489" t="s">
        <v>594</v>
      </c>
      <c r="C489" t="s">
        <v>131</v>
      </c>
    </row>
    <row r="490" spans="1:3" x14ac:dyDescent="0.3">
      <c r="A490">
        <v>64817054</v>
      </c>
      <c r="B490" t="s">
        <v>595</v>
      </c>
      <c r="C490" t="s">
        <v>131</v>
      </c>
    </row>
    <row r="491" spans="1:3" x14ac:dyDescent="0.3">
      <c r="A491">
        <v>64817056</v>
      </c>
      <c r="B491" t="s">
        <v>596</v>
      </c>
      <c r="C491" t="s">
        <v>131</v>
      </c>
    </row>
    <row r="492" spans="1:3" x14ac:dyDescent="0.3">
      <c r="A492">
        <v>64817160</v>
      </c>
      <c r="B492" t="s">
        <v>597</v>
      </c>
      <c r="C492" t="s">
        <v>131</v>
      </c>
    </row>
    <row r="493" spans="1:3" x14ac:dyDescent="0.3">
      <c r="A493">
        <v>64818445</v>
      </c>
      <c r="B493" t="s">
        <v>598</v>
      </c>
      <c r="C493" t="s">
        <v>131</v>
      </c>
    </row>
    <row r="494" spans="1:3" x14ac:dyDescent="0.3">
      <c r="A494">
        <v>64818447</v>
      </c>
      <c r="B494" t="s">
        <v>599</v>
      </c>
      <c r="C494" t="s">
        <v>131</v>
      </c>
    </row>
    <row r="495" spans="1:3" x14ac:dyDescent="0.3">
      <c r="A495">
        <v>64818449</v>
      </c>
      <c r="B495" t="s">
        <v>600</v>
      </c>
      <c r="C495" t="s">
        <v>131</v>
      </c>
    </row>
    <row r="496" spans="1:3" x14ac:dyDescent="0.3">
      <c r="A496">
        <v>64818451</v>
      </c>
      <c r="B496" t="s">
        <v>601</v>
      </c>
      <c r="C496" t="s">
        <v>131</v>
      </c>
    </row>
    <row r="497" spans="1:3" x14ac:dyDescent="0.3">
      <c r="A497">
        <v>64818453</v>
      </c>
      <c r="B497" t="s">
        <v>602</v>
      </c>
      <c r="C497" t="s">
        <v>131</v>
      </c>
    </row>
    <row r="498" spans="1:3" x14ac:dyDescent="0.3">
      <c r="A498">
        <v>64818624</v>
      </c>
      <c r="B498" t="s">
        <v>603</v>
      </c>
      <c r="C498" t="s">
        <v>380</v>
      </c>
    </row>
    <row r="499" spans="1:3" x14ac:dyDescent="0.3">
      <c r="A499">
        <v>64818626</v>
      </c>
      <c r="B499" t="s">
        <v>604</v>
      </c>
      <c r="C499" t="s">
        <v>380</v>
      </c>
    </row>
    <row r="500" spans="1:3" x14ac:dyDescent="0.3">
      <c r="A500">
        <v>64818755</v>
      </c>
      <c r="B500" t="s">
        <v>605</v>
      </c>
      <c r="C500" t="s">
        <v>380</v>
      </c>
    </row>
    <row r="501" spans="1:3" x14ac:dyDescent="0.3">
      <c r="A501">
        <v>64818757</v>
      </c>
      <c r="B501" t="s">
        <v>606</v>
      </c>
      <c r="C501" t="s">
        <v>380</v>
      </c>
    </row>
    <row r="502" spans="1:3" x14ac:dyDescent="0.3">
      <c r="A502">
        <v>64821245</v>
      </c>
      <c r="B502" t="s">
        <v>607</v>
      </c>
      <c r="C502" t="s">
        <v>380</v>
      </c>
    </row>
    <row r="503" spans="1:3" x14ac:dyDescent="0.3">
      <c r="A503">
        <v>64823606</v>
      </c>
      <c r="B503" t="s">
        <v>608</v>
      </c>
      <c r="C503" t="s">
        <v>380</v>
      </c>
    </row>
    <row r="504" spans="1:3" x14ac:dyDescent="0.3">
      <c r="A504">
        <v>64823608</v>
      </c>
      <c r="B504" t="s">
        <v>609</v>
      </c>
      <c r="C504" t="s">
        <v>380</v>
      </c>
    </row>
    <row r="505" spans="1:3" x14ac:dyDescent="0.3">
      <c r="A505">
        <v>64823610</v>
      </c>
      <c r="B505" t="s">
        <v>610</v>
      </c>
      <c r="C505" t="s">
        <v>380</v>
      </c>
    </row>
    <row r="506" spans="1:3" x14ac:dyDescent="0.3">
      <c r="A506">
        <v>64823612</v>
      </c>
      <c r="B506" t="s">
        <v>611</v>
      </c>
      <c r="C506" t="s">
        <v>380</v>
      </c>
    </row>
    <row r="507" spans="1:3" x14ac:dyDescent="0.3">
      <c r="A507">
        <v>64823614</v>
      </c>
      <c r="B507" t="s">
        <v>612</v>
      </c>
      <c r="C507" t="s">
        <v>380</v>
      </c>
    </row>
    <row r="508" spans="1:3" x14ac:dyDescent="0.3">
      <c r="A508">
        <v>64824763</v>
      </c>
      <c r="B508" t="s">
        <v>613</v>
      </c>
      <c r="C508" t="s">
        <v>336</v>
      </c>
    </row>
    <row r="509" spans="1:3" x14ac:dyDescent="0.3">
      <c r="A509">
        <v>64824785</v>
      </c>
      <c r="B509" t="s">
        <v>614</v>
      </c>
      <c r="C509" t="s">
        <v>106</v>
      </c>
    </row>
    <row r="510" spans="1:3" x14ac:dyDescent="0.3">
      <c r="A510">
        <v>64824846</v>
      </c>
      <c r="B510" t="s">
        <v>615</v>
      </c>
      <c r="C510" t="s">
        <v>336</v>
      </c>
    </row>
    <row r="511" spans="1:3" x14ac:dyDescent="0.3">
      <c r="A511">
        <v>64826633</v>
      </c>
      <c r="B511" t="s">
        <v>616</v>
      </c>
      <c r="C511" t="s">
        <v>380</v>
      </c>
    </row>
    <row r="512" spans="1:3" x14ac:dyDescent="0.3">
      <c r="A512">
        <v>64826635</v>
      </c>
      <c r="B512" t="s">
        <v>617</v>
      </c>
      <c r="C512" t="s">
        <v>380</v>
      </c>
    </row>
    <row r="513" spans="1:3" x14ac:dyDescent="0.3">
      <c r="A513">
        <v>64828148</v>
      </c>
      <c r="B513" t="s">
        <v>618</v>
      </c>
      <c r="C513" t="s">
        <v>539</v>
      </c>
    </row>
    <row r="514" spans="1:3" x14ac:dyDescent="0.3">
      <c r="A514">
        <v>64828191</v>
      </c>
      <c r="B514" t="s">
        <v>619</v>
      </c>
      <c r="C514" t="s">
        <v>256</v>
      </c>
    </row>
    <row r="515" spans="1:3" x14ac:dyDescent="0.3">
      <c r="A515">
        <v>64828193</v>
      </c>
      <c r="B515" t="s">
        <v>620</v>
      </c>
      <c r="C515" t="s">
        <v>256</v>
      </c>
    </row>
    <row r="516" spans="1:3" x14ac:dyDescent="0.3">
      <c r="A516">
        <v>64829023</v>
      </c>
      <c r="B516" t="s">
        <v>621</v>
      </c>
      <c r="C516" t="s">
        <v>414</v>
      </c>
    </row>
    <row r="517" spans="1:3" x14ac:dyDescent="0.3">
      <c r="A517">
        <v>64829025</v>
      </c>
      <c r="B517" t="s">
        <v>622</v>
      </c>
      <c r="C517" t="s">
        <v>414</v>
      </c>
    </row>
    <row r="518" spans="1:3" x14ac:dyDescent="0.3">
      <c r="A518">
        <v>64831752</v>
      </c>
      <c r="B518" t="s">
        <v>623</v>
      </c>
      <c r="C518" t="s">
        <v>108</v>
      </c>
    </row>
    <row r="519" spans="1:3" x14ac:dyDescent="0.3">
      <c r="A519">
        <v>64831760</v>
      </c>
      <c r="B519" t="s">
        <v>624</v>
      </c>
      <c r="C519" t="s">
        <v>108</v>
      </c>
    </row>
    <row r="520" spans="1:3" x14ac:dyDescent="0.3">
      <c r="A520">
        <v>64832361</v>
      </c>
      <c r="B520" t="s">
        <v>625</v>
      </c>
      <c r="C520" t="s">
        <v>131</v>
      </c>
    </row>
    <row r="521" spans="1:3" x14ac:dyDescent="0.3">
      <c r="A521">
        <v>64833912</v>
      </c>
      <c r="B521" t="s">
        <v>626</v>
      </c>
      <c r="C521" t="s">
        <v>131</v>
      </c>
    </row>
    <row r="522" spans="1:3" x14ac:dyDescent="0.3">
      <c r="A522">
        <v>64833959</v>
      </c>
      <c r="B522" t="s">
        <v>627</v>
      </c>
      <c r="C522" t="s">
        <v>380</v>
      </c>
    </row>
    <row r="523" spans="1:3" x14ac:dyDescent="0.3">
      <c r="A523">
        <v>64837803</v>
      </c>
      <c r="B523" t="s">
        <v>628</v>
      </c>
      <c r="C523" t="s">
        <v>131</v>
      </c>
    </row>
    <row r="524" spans="1:3" x14ac:dyDescent="0.3">
      <c r="A524">
        <v>64837805</v>
      </c>
      <c r="B524" t="s">
        <v>629</v>
      </c>
      <c r="C524" t="s">
        <v>131</v>
      </c>
    </row>
    <row r="525" spans="1:3" x14ac:dyDescent="0.3">
      <c r="A525">
        <v>64837809</v>
      </c>
      <c r="B525" t="s">
        <v>630</v>
      </c>
      <c r="C525" t="s">
        <v>131</v>
      </c>
    </row>
    <row r="526" spans="1:3" x14ac:dyDescent="0.3">
      <c r="A526">
        <v>64837813</v>
      </c>
      <c r="B526" t="s">
        <v>631</v>
      </c>
      <c r="C526" t="s">
        <v>131</v>
      </c>
    </row>
    <row r="527" spans="1:3" x14ac:dyDescent="0.3">
      <c r="A527">
        <v>64837817</v>
      </c>
      <c r="B527" t="s">
        <v>632</v>
      </c>
      <c r="C527" t="s">
        <v>131</v>
      </c>
    </row>
    <row r="528" spans="1:3" x14ac:dyDescent="0.3">
      <c r="A528">
        <v>64839856</v>
      </c>
      <c r="B528" t="s">
        <v>633</v>
      </c>
      <c r="C528" t="s">
        <v>108</v>
      </c>
    </row>
    <row r="529" spans="1:3" x14ac:dyDescent="0.3">
      <c r="A529">
        <v>64839858</v>
      </c>
      <c r="B529" t="s">
        <v>634</v>
      </c>
      <c r="C529" t="s">
        <v>108</v>
      </c>
    </row>
    <row r="530" spans="1:3" x14ac:dyDescent="0.3">
      <c r="A530">
        <v>64839888</v>
      </c>
      <c r="B530" t="s">
        <v>635</v>
      </c>
      <c r="C530" t="s">
        <v>380</v>
      </c>
    </row>
    <row r="531" spans="1:3" x14ac:dyDescent="0.3">
      <c r="A531">
        <v>64839892</v>
      </c>
      <c r="B531" t="s">
        <v>636</v>
      </c>
      <c r="C531" t="s">
        <v>380</v>
      </c>
    </row>
    <row r="532" spans="1:3" x14ac:dyDescent="0.3">
      <c r="A532">
        <v>64839930</v>
      </c>
      <c r="B532" t="s">
        <v>637</v>
      </c>
      <c r="C532" t="s">
        <v>380</v>
      </c>
    </row>
    <row r="533" spans="1:3" x14ac:dyDescent="0.3">
      <c r="A533">
        <v>64840040</v>
      </c>
      <c r="B533" t="s">
        <v>638</v>
      </c>
      <c r="C533" t="s">
        <v>108</v>
      </c>
    </row>
    <row r="534" spans="1:3" x14ac:dyDescent="0.3">
      <c r="A534">
        <v>64840042</v>
      </c>
      <c r="B534" t="s">
        <v>639</v>
      </c>
      <c r="C534" t="s">
        <v>108</v>
      </c>
    </row>
    <row r="535" spans="1:3" x14ac:dyDescent="0.3">
      <c r="A535">
        <v>64842668</v>
      </c>
      <c r="B535" t="s">
        <v>640</v>
      </c>
      <c r="C535" t="s">
        <v>246</v>
      </c>
    </row>
    <row r="536" spans="1:3" x14ac:dyDescent="0.3">
      <c r="A536">
        <v>64842863</v>
      </c>
      <c r="B536" t="s">
        <v>641</v>
      </c>
      <c r="C536" t="s">
        <v>380</v>
      </c>
    </row>
    <row r="537" spans="1:3" x14ac:dyDescent="0.3">
      <c r="A537">
        <v>64843711</v>
      </c>
      <c r="B537" t="s">
        <v>642</v>
      </c>
      <c r="C537" t="s">
        <v>380</v>
      </c>
    </row>
    <row r="538" spans="1:3" x14ac:dyDescent="0.3">
      <c r="A538">
        <v>64843713</v>
      </c>
      <c r="B538" t="s">
        <v>643</v>
      </c>
      <c r="C538" t="s">
        <v>380</v>
      </c>
    </row>
    <row r="539" spans="1:3" x14ac:dyDescent="0.3">
      <c r="A539">
        <v>64843715</v>
      </c>
      <c r="B539" t="s">
        <v>644</v>
      </c>
      <c r="C539" t="s">
        <v>380</v>
      </c>
    </row>
    <row r="540" spans="1:3" x14ac:dyDescent="0.3">
      <c r="A540">
        <v>64845665</v>
      </c>
      <c r="B540" t="s">
        <v>645</v>
      </c>
      <c r="C540" t="s">
        <v>380</v>
      </c>
    </row>
    <row r="541" spans="1:3" x14ac:dyDescent="0.3">
      <c r="A541">
        <v>64845667</v>
      </c>
      <c r="B541" t="s">
        <v>646</v>
      </c>
      <c r="C541" t="s">
        <v>380</v>
      </c>
    </row>
    <row r="542" spans="1:3" x14ac:dyDescent="0.3">
      <c r="A542">
        <v>64846058</v>
      </c>
      <c r="B542" t="s">
        <v>647</v>
      </c>
      <c r="C542" t="s">
        <v>336</v>
      </c>
    </row>
    <row r="543" spans="1:3" x14ac:dyDescent="0.3">
      <c r="A543">
        <v>64847603</v>
      </c>
      <c r="B543" t="s">
        <v>270</v>
      </c>
      <c r="C543" t="s">
        <v>380</v>
      </c>
    </row>
    <row r="544" spans="1:3" x14ac:dyDescent="0.3">
      <c r="A544">
        <v>64847606</v>
      </c>
      <c r="B544" t="s">
        <v>271</v>
      </c>
      <c r="C544" t="s">
        <v>380</v>
      </c>
    </row>
    <row r="545" spans="1:3" x14ac:dyDescent="0.3">
      <c r="A545">
        <v>64847608</v>
      </c>
      <c r="B545" t="s">
        <v>648</v>
      </c>
      <c r="C545" t="s">
        <v>380</v>
      </c>
    </row>
    <row r="546" spans="1:3" x14ac:dyDescent="0.3">
      <c r="A546">
        <v>64848974</v>
      </c>
      <c r="B546" t="s">
        <v>649</v>
      </c>
      <c r="C546" t="s">
        <v>181</v>
      </c>
    </row>
    <row r="547" spans="1:3" x14ac:dyDescent="0.3">
      <c r="A547">
        <v>64850829</v>
      </c>
      <c r="B547" t="s">
        <v>650</v>
      </c>
      <c r="C547" t="s">
        <v>108</v>
      </c>
    </row>
    <row r="548" spans="1:3" x14ac:dyDescent="0.3">
      <c r="A548">
        <v>64850831</v>
      </c>
      <c r="B548" t="s">
        <v>651</v>
      </c>
      <c r="C548" t="s">
        <v>108</v>
      </c>
    </row>
    <row r="549" spans="1:3" x14ac:dyDescent="0.3">
      <c r="A549">
        <v>64852873</v>
      </c>
      <c r="B549" t="s">
        <v>652</v>
      </c>
      <c r="C549" t="s">
        <v>53</v>
      </c>
    </row>
    <row r="550" spans="1:3" x14ac:dyDescent="0.3">
      <c r="A550">
        <v>64858875</v>
      </c>
      <c r="B550" t="s">
        <v>653</v>
      </c>
      <c r="C550" t="s">
        <v>380</v>
      </c>
    </row>
    <row r="551" spans="1:3" x14ac:dyDescent="0.3">
      <c r="A551">
        <v>64858877</v>
      </c>
      <c r="B551" t="s">
        <v>654</v>
      </c>
      <c r="C551" t="s">
        <v>380</v>
      </c>
    </row>
    <row r="552" spans="1:3" x14ac:dyDescent="0.3">
      <c r="A552">
        <v>64863840</v>
      </c>
      <c r="B552" t="s">
        <v>565</v>
      </c>
      <c r="C552" t="s">
        <v>380</v>
      </c>
    </row>
    <row r="553" spans="1:3" x14ac:dyDescent="0.3">
      <c r="A553">
        <v>64863843</v>
      </c>
      <c r="B553" t="s">
        <v>566</v>
      </c>
      <c r="C553" t="s">
        <v>380</v>
      </c>
    </row>
    <row r="554" spans="1:3" x14ac:dyDescent="0.3">
      <c r="A554">
        <v>64863845</v>
      </c>
      <c r="B554" t="s">
        <v>567</v>
      </c>
      <c r="C554" t="s">
        <v>380</v>
      </c>
    </row>
    <row r="555" spans="1:3" x14ac:dyDescent="0.3">
      <c r="A555">
        <v>64865634</v>
      </c>
      <c r="B555" t="s">
        <v>655</v>
      </c>
      <c r="C555" t="s">
        <v>380</v>
      </c>
    </row>
    <row r="556" spans="1:3" x14ac:dyDescent="0.3">
      <c r="A556">
        <v>64865635</v>
      </c>
      <c r="B556" t="s">
        <v>656</v>
      </c>
      <c r="C556" t="s">
        <v>380</v>
      </c>
    </row>
    <row r="557" spans="1:3" x14ac:dyDescent="0.3">
      <c r="A557">
        <v>64865636</v>
      </c>
      <c r="B557" t="s">
        <v>657</v>
      </c>
      <c r="C557" t="s">
        <v>131</v>
      </c>
    </row>
    <row r="558" spans="1:3" x14ac:dyDescent="0.3">
      <c r="A558">
        <v>64865637</v>
      </c>
      <c r="B558" t="s">
        <v>658</v>
      </c>
      <c r="C558" t="s">
        <v>131</v>
      </c>
    </row>
    <row r="559" spans="1:3" x14ac:dyDescent="0.3">
      <c r="A559">
        <v>64865638</v>
      </c>
      <c r="B559" t="s">
        <v>659</v>
      </c>
      <c r="C559" t="s">
        <v>380</v>
      </c>
    </row>
    <row r="560" spans="1:3" x14ac:dyDescent="0.3">
      <c r="A560">
        <v>64865640</v>
      </c>
      <c r="B560" t="s">
        <v>660</v>
      </c>
      <c r="C560" t="s">
        <v>380</v>
      </c>
    </row>
    <row r="561" spans="1:3" x14ac:dyDescent="0.3">
      <c r="A561">
        <v>64865641</v>
      </c>
      <c r="B561" t="s">
        <v>661</v>
      </c>
      <c r="C561" t="s">
        <v>380</v>
      </c>
    </row>
    <row r="562" spans="1:3" x14ac:dyDescent="0.3">
      <c r="A562">
        <v>64865642</v>
      </c>
      <c r="B562" t="s">
        <v>662</v>
      </c>
      <c r="C562" t="s">
        <v>380</v>
      </c>
    </row>
    <row r="563" spans="1:3" x14ac:dyDescent="0.3">
      <c r="A563">
        <v>64875906</v>
      </c>
      <c r="B563" t="s">
        <v>663</v>
      </c>
      <c r="C563" t="s">
        <v>122</v>
      </c>
    </row>
    <row r="564" spans="1:3" x14ac:dyDescent="0.3">
      <c r="A564">
        <v>64875914</v>
      </c>
      <c r="B564" t="s">
        <v>664</v>
      </c>
      <c r="C564" t="s">
        <v>131</v>
      </c>
    </row>
    <row r="565" spans="1:3" x14ac:dyDescent="0.3">
      <c r="A565">
        <v>64875915</v>
      </c>
      <c r="B565" t="s">
        <v>665</v>
      </c>
      <c r="C565" t="s">
        <v>131</v>
      </c>
    </row>
    <row r="566" spans="1:3" x14ac:dyDescent="0.3">
      <c r="A566">
        <v>64875916</v>
      </c>
      <c r="B566" t="s">
        <v>666</v>
      </c>
      <c r="C566" t="s">
        <v>131</v>
      </c>
    </row>
    <row r="567" spans="1:3" x14ac:dyDescent="0.3">
      <c r="A567">
        <v>64884327</v>
      </c>
      <c r="B567" t="s">
        <v>667</v>
      </c>
      <c r="C567" t="s">
        <v>106</v>
      </c>
    </row>
    <row r="568" spans="1:3" x14ac:dyDescent="0.3">
      <c r="A568">
        <v>64884328</v>
      </c>
      <c r="B568" t="s">
        <v>668</v>
      </c>
      <c r="C568" t="s">
        <v>106</v>
      </c>
    </row>
    <row r="569" spans="1:3" x14ac:dyDescent="0.3">
      <c r="A569">
        <v>64884329</v>
      </c>
      <c r="B569" t="s">
        <v>669</v>
      </c>
      <c r="C569" t="s">
        <v>106</v>
      </c>
    </row>
    <row r="570" spans="1:3" x14ac:dyDescent="0.3">
      <c r="A570">
        <v>64890177</v>
      </c>
      <c r="B570" t="s">
        <v>670</v>
      </c>
      <c r="C570" t="s">
        <v>131</v>
      </c>
    </row>
    <row r="571" spans="1:3" x14ac:dyDescent="0.3">
      <c r="A571">
        <v>64890179</v>
      </c>
      <c r="B571" t="s">
        <v>671</v>
      </c>
      <c r="C571" t="s">
        <v>131</v>
      </c>
    </row>
    <row r="572" spans="1:3" x14ac:dyDescent="0.3">
      <c r="A572">
        <v>64890181</v>
      </c>
      <c r="B572" t="s">
        <v>672</v>
      </c>
      <c r="C572" t="s">
        <v>131</v>
      </c>
    </row>
    <row r="573" spans="1:3" x14ac:dyDescent="0.3">
      <c r="A573">
        <v>64892775</v>
      </c>
      <c r="B573" t="s">
        <v>673</v>
      </c>
      <c r="C573" t="s">
        <v>539</v>
      </c>
    </row>
    <row r="574" spans="1:3" x14ac:dyDescent="0.3">
      <c r="A574">
        <v>64892778</v>
      </c>
      <c r="B574" t="s">
        <v>674</v>
      </c>
      <c r="C574" t="s">
        <v>539</v>
      </c>
    </row>
    <row r="575" spans="1:3" x14ac:dyDescent="0.3">
      <c r="A575">
        <v>64893672</v>
      </c>
      <c r="B575" t="s">
        <v>675</v>
      </c>
      <c r="C575" t="s">
        <v>380</v>
      </c>
    </row>
    <row r="576" spans="1:3" x14ac:dyDescent="0.3">
      <c r="A576">
        <v>64893676</v>
      </c>
      <c r="B576" t="s">
        <v>676</v>
      </c>
      <c r="C576" t="s">
        <v>131</v>
      </c>
    </row>
    <row r="577" spans="1:3" x14ac:dyDescent="0.3">
      <c r="A577">
        <v>64893680</v>
      </c>
      <c r="B577" t="s">
        <v>677</v>
      </c>
      <c r="C577" t="s">
        <v>380</v>
      </c>
    </row>
    <row r="578" spans="1:3" x14ac:dyDescent="0.3">
      <c r="A578">
        <v>64895592</v>
      </c>
      <c r="B578" t="s">
        <v>678</v>
      </c>
      <c r="C578" t="s">
        <v>679</v>
      </c>
    </row>
    <row r="579" spans="1:3" x14ac:dyDescent="0.3">
      <c r="A579">
        <v>64895596</v>
      </c>
      <c r="B579" t="s">
        <v>680</v>
      </c>
      <c r="C579" t="s">
        <v>131</v>
      </c>
    </row>
    <row r="580" spans="1:3" x14ac:dyDescent="0.3">
      <c r="A580">
        <v>64898471</v>
      </c>
      <c r="B580" t="s">
        <v>681</v>
      </c>
      <c r="C580" t="s">
        <v>284</v>
      </c>
    </row>
    <row r="581" spans="1:3" x14ac:dyDescent="0.3">
      <c r="A581">
        <v>64898472</v>
      </c>
      <c r="B581" t="s">
        <v>682</v>
      </c>
      <c r="C581" t="s">
        <v>284</v>
      </c>
    </row>
    <row r="582" spans="1:3" x14ac:dyDescent="0.3">
      <c r="A582">
        <v>64899701</v>
      </c>
      <c r="B582" t="s">
        <v>683</v>
      </c>
      <c r="C582" t="s">
        <v>122</v>
      </c>
    </row>
    <row r="583" spans="1:3" x14ac:dyDescent="0.3">
      <c r="A583">
        <v>64899705</v>
      </c>
      <c r="B583" t="s">
        <v>684</v>
      </c>
      <c r="C583" t="s">
        <v>122</v>
      </c>
    </row>
    <row r="584" spans="1:3" x14ac:dyDescent="0.3">
      <c r="A584">
        <v>64902598</v>
      </c>
      <c r="B584" t="s">
        <v>685</v>
      </c>
      <c r="C584" t="s">
        <v>131</v>
      </c>
    </row>
    <row r="585" spans="1:3" x14ac:dyDescent="0.3">
      <c r="A585">
        <v>64902599</v>
      </c>
      <c r="B585" t="s">
        <v>686</v>
      </c>
      <c r="C585" t="s">
        <v>131</v>
      </c>
    </row>
    <row r="586" spans="1:3" x14ac:dyDescent="0.3">
      <c r="A586">
        <v>64917174</v>
      </c>
      <c r="B586" t="s">
        <v>687</v>
      </c>
      <c r="C586" t="s">
        <v>131</v>
      </c>
    </row>
    <row r="587" spans="1:3" x14ac:dyDescent="0.3">
      <c r="A587">
        <v>64923768</v>
      </c>
      <c r="B587" t="s">
        <v>688</v>
      </c>
    </row>
    <row r="588" spans="1:3" x14ac:dyDescent="0.3">
      <c r="A588">
        <v>64923770</v>
      </c>
      <c r="B588" t="s">
        <v>689</v>
      </c>
      <c r="C588" t="s">
        <v>131</v>
      </c>
    </row>
    <row r="589" spans="1:3" x14ac:dyDescent="0.3">
      <c r="A589">
        <v>64937297</v>
      </c>
      <c r="B589" t="s">
        <v>690</v>
      </c>
      <c r="C589" t="s">
        <v>181</v>
      </c>
    </row>
    <row r="590" spans="1:3" x14ac:dyDescent="0.3">
      <c r="A590">
        <v>64937298</v>
      </c>
      <c r="B590" t="s">
        <v>691</v>
      </c>
      <c r="C590" t="s">
        <v>539</v>
      </c>
    </row>
    <row r="591" spans="1:3" x14ac:dyDescent="0.3">
      <c r="A591">
        <v>64937307</v>
      </c>
      <c r="B591" t="s">
        <v>692</v>
      </c>
      <c r="C591" t="s">
        <v>122</v>
      </c>
    </row>
    <row r="592" spans="1:3" x14ac:dyDescent="0.3">
      <c r="A592">
        <v>64937309</v>
      </c>
      <c r="B592" t="s">
        <v>693</v>
      </c>
      <c r="C592" t="s">
        <v>122</v>
      </c>
    </row>
    <row r="593" spans="1:3" x14ac:dyDescent="0.3">
      <c r="A593">
        <v>64942087</v>
      </c>
      <c r="B593" t="s">
        <v>694</v>
      </c>
      <c r="C593" t="s">
        <v>695</v>
      </c>
    </row>
    <row r="594" spans="1:3" x14ac:dyDescent="0.3">
      <c r="A594">
        <v>64942762</v>
      </c>
      <c r="B594" t="s">
        <v>696</v>
      </c>
      <c r="C594" t="s">
        <v>122</v>
      </c>
    </row>
    <row r="595" spans="1:3" x14ac:dyDescent="0.3">
      <c r="A595">
        <v>64942765</v>
      </c>
      <c r="B595" t="s">
        <v>697</v>
      </c>
      <c r="C595" t="s">
        <v>122</v>
      </c>
    </row>
    <row r="596" spans="1:3" x14ac:dyDescent="0.3">
      <c r="A596">
        <v>64942767</v>
      </c>
      <c r="B596" t="s">
        <v>698</v>
      </c>
      <c r="C596" t="s">
        <v>122</v>
      </c>
    </row>
    <row r="597" spans="1:3" x14ac:dyDescent="0.3">
      <c r="A597">
        <v>64948100</v>
      </c>
      <c r="B597" t="s">
        <v>699</v>
      </c>
      <c r="C597" t="s">
        <v>122</v>
      </c>
    </row>
    <row r="598" spans="1:3" x14ac:dyDescent="0.3">
      <c r="A598">
        <v>64948101</v>
      </c>
      <c r="B598" t="s">
        <v>700</v>
      </c>
      <c r="C598" t="s">
        <v>122</v>
      </c>
    </row>
    <row r="599" spans="1:3" x14ac:dyDescent="0.3">
      <c r="A599">
        <v>64949816</v>
      </c>
      <c r="B599" t="s">
        <v>701</v>
      </c>
      <c r="C599" t="s">
        <v>181</v>
      </c>
    </row>
    <row r="600" spans="1:3" x14ac:dyDescent="0.3">
      <c r="A600">
        <v>64949932</v>
      </c>
      <c r="B600" t="s">
        <v>702</v>
      </c>
      <c r="C600" t="s">
        <v>106</v>
      </c>
    </row>
    <row r="601" spans="1:3" x14ac:dyDescent="0.3">
      <c r="A601">
        <v>64949950</v>
      </c>
      <c r="B601" t="s">
        <v>703</v>
      </c>
      <c r="C601" t="s">
        <v>108</v>
      </c>
    </row>
    <row r="602" spans="1:3" x14ac:dyDescent="0.3">
      <c r="A602">
        <v>64949956</v>
      </c>
      <c r="B602" t="s">
        <v>704</v>
      </c>
      <c r="C602" t="s">
        <v>108</v>
      </c>
    </row>
    <row r="603" spans="1:3" x14ac:dyDescent="0.3">
      <c r="A603">
        <v>64949958</v>
      </c>
      <c r="B603" t="s">
        <v>705</v>
      </c>
      <c r="C603" t="s">
        <v>108</v>
      </c>
    </row>
    <row r="604" spans="1:3" x14ac:dyDescent="0.3">
      <c r="A604">
        <v>64949960</v>
      </c>
      <c r="B604" t="s">
        <v>706</v>
      </c>
      <c r="C604" t="s">
        <v>54</v>
      </c>
    </row>
    <row r="605" spans="1:3" x14ac:dyDescent="0.3">
      <c r="A605">
        <v>64952918</v>
      </c>
      <c r="B605" t="s">
        <v>707</v>
      </c>
      <c r="C605" t="s">
        <v>54</v>
      </c>
    </row>
    <row r="606" spans="1:3" x14ac:dyDescent="0.3">
      <c r="A606">
        <v>64973360</v>
      </c>
      <c r="B606" t="s">
        <v>708</v>
      </c>
      <c r="C606" t="s">
        <v>318</v>
      </c>
    </row>
    <row r="607" spans="1:3" x14ac:dyDescent="0.3">
      <c r="A607">
        <v>64976447</v>
      </c>
      <c r="B607" t="s">
        <v>709</v>
      </c>
      <c r="C607" t="s">
        <v>54</v>
      </c>
    </row>
    <row r="608" spans="1:3" x14ac:dyDescent="0.3">
      <c r="A608">
        <v>64976449</v>
      </c>
      <c r="B608" t="s">
        <v>710</v>
      </c>
      <c r="C608" t="s">
        <v>108</v>
      </c>
    </row>
    <row r="609" spans="1:3" x14ac:dyDescent="0.3">
      <c r="A609">
        <v>64990447</v>
      </c>
      <c r="B609" t="s">
        <v>711</v>
      </c>
      <c r="C609" t="s">
        <v>131</v>
      </c>
    </row>
    <row r="610" spans="1:3" x14ac:dyDescent="0.3">
      <c r="A610">
        <v>64993362</v>
      </c>
      <c r="B610" t="s">
        <v>712</v>
      </c>
      <c r="C610" t="s">
        <v>695</v>
      </c>
    </row>
    <row r="611" spans="1:3" x14ac:dyDescent="0.3">
      <c r="A611">
        <v>67020474</v>
      </c>
      <c r="B611" t="s">
        <v>713</v>
      </c>
      <c r="C611" t="s">
        <v>589</v>
      </c>
    </row>
    <row r="612" spans="1:3" x14ac:dyDescent="0.3">
      <c r="A612">
        <v>67020591</v>
      </c>
      <c r="B612" t="s">
        <v>714</v>
      </c>
      <c r="C612" t="s">
        <v>589</v>
      </c>
    </row>
    <row r="613" spans="1:3" x14ac:dyDescent="0.3">
      <c r="A613">
        <v>67074724</v>
      </c>
      <c r="B613" t="s">
        <v>715</v>
      </c>
      <c r="C613" t="s">
        <v>106</v>
      </c>
    </row>
    <row r="614" spans="1:3" x14ac:dyDescent="0.3">
      <c r="A614">
        <v>67074726</v>
      </c>
      <c r="B614" t="s">
        <v>716</v>
      </c>
      <c r="C614" t="s">
        <v>106</v>
      </c>
    </row>
    <row r="615" spans="1:3" x14ac:dyDescent="0.3">
      <c r="A615">
        <v>67078837</v>
      </c>
      <c r="B615" t="s">
        <v>717</v>
      </c>
      <c r="C615" t="s">
        <v>108</v>
      </c>
    </row>
    <row r="616" spans="1:3" x14ac:dyDescent="0.3">
      <c r="A616">
        <v>67113296</v>
      </c>
      <c r="B616" t="s">
        <v>718</v>
      </c>
      <c r="C616" t="s">
        <v>719</v>
      </c>
    </row>
    <row r="617" spans="1:3" x14ac:dyDescent="0.3">
      <c r="A617">
        <v>67115432</v>
      </c>
      <c r="B617" t="s">
        <v>720</v>
      </c>
      <c r="C617" t="s">
        <v>56</v>
      </c>
    </row>
    <row r="618" spans="1:3" x14ac:dyDescent="0.3">
      <c r="A618">
        <v>67123315</v>
      </c>
      <c r="B618" t="s">
        <v>721</v>
      </c>
      <c r="C618" t="s">
        <v>719</v>
      </c>
    </row>
    <row r="619" spans="1:3" x14ac:dyDescent="0.3">
      <c r="A619">
        <v>67157932</v>
      </c>
      <c r="B619" t="s">
        <v>722</v>
      </c>
      <c r="C619" t="s">
        <v>723</v>
      </c>
    </row>
    <row r="620" spans="1:3" x14ac:dyDescent="0.3">
      <c r="A620">
        <v>67157933</v>
      </c>
      <c r="B620" t="s">
        <v>724</v>
      </c>
      <c r="C620" t="s">
        <v>723</v>
      </c>
    </row>
    <row r="621" spans="1:3" x14ac:dyDescent="0.3">
      <c r="A621">
        <v>67189558</v>
      </c>
      <c r="B621" t="s">
        <v>725</v>
      </c>
      <c r="C621" t="s">
        <v>414</v>
      </c>
    </row>
    <row r="622" spans="1:3" x14ac:dyDescent="0.3">
      <c r="A622">
        <v>67189564</v>
      </c>
      <c r="B622" t="s">
        <v>726</v>
      </c>
      <c r="C622" t="s">
        <v>414</v>
      </c>
    </row>
    <row r="623" spans="1:3" x14ac:dyDescent="0.3">
      <c r="A623">
        <v>67228806</v>
      </c>
      <c r="B623" t="s">
        <v>727</v>
      </c>
      <c r="C623" t="s">
        <v>589</v>
      </c>
    </row>
    <row r="624" spans="1:3" x14ac:dyDescent="0.3">
      <c r="A624">
        <v>67228808</v>
      </c>
      <c r="B624" t="s">
        <v>728</v>
      </c>
      <c r="C624" t="s">
        <v>589</v>
      </c>
    </row>
    <row r="625" spans="1:3" x14ac:dyDescent="0.3">
      <c r="A625">
        <v>67245539</v>
      </c>
      <c r="B625" t="s">
        <v>729</v>
      </c>
      <c r="C625" t="s">
        <v>414</v>
      </c>
    </row>
    <row r="626" spans="1:3" x14ac:dyDescent="0.3">
      <c r="A626">
        <v>67245544</v>
      </c>
      <c r="B626" t="s">
        <v>730</v>
      </c>
      <c r="C626" t="s">
        <v>414</v>
      </c>
    </row>
    <row r="627" spans="1:3" x14ac:dyDescent="0.3">
      <c r="A627">
        <v>67246655</v>
      </c>
      <c r="B627" t="s">
        <v>731</v>
      </c>
      <c r="C627" t="s">
        <v>108</v>
      </c>
    </row>
    <row r="628" spans="1:3" x14ac:dyDescent="0.3">
      <c r="A628">
        <v>67251308</v>
      </c>
      <c r="B628" t="s">
        <v>732</v>
      </c>
      <c r="C628" t="s">
        <v>108</v>
      </c>
    </row>
    <row r="629" spans="1:3" x14ac:dyDescent="0.3">
      <c r="A629">
        <v>67251314</v>
      </c>
      <c r="B629" t="s">
        <v>733</v>
      </c>
      <c r="C629" t="s">
        <v>108</v>
      </c>
    </row>
    <row r="630" spans="1:3" x14ac:dyDescent="0.3">
      <c r="A630">
        <v>67350003</v>
      </c>
      <c r="B630" t="s">
        <v>734</v>
      </c>
      <c r="C630" t="s">
        <v>336</v>
      </c>
    </row>
    <row r="631" spans="1:3" x14ac:dyDescent="0.3">
      <c r="A631">
        <v>67376283</v>
      </c>
      <c r="B631" t="s">
        <v>735</v>
      </c>
      <c r="C631" t="s">
        <v>56</v>
      </c>
    </row>
    <row r="632" spans="1:3" x14ac:dyDescent="0.3">
      <c r="A632">
        <v>67400790</v>
      </c>
      <c r="B632" t="s">
        <v>736</v>
      </c>
      <c r="C632" t="s">
        <v>56</v>
      </c>
    </row>
    <row r="633" spans="1:3" x14ac:dyDescent="0.3">
      <c r="A633">
        <v>67426052</v>
      </c>
      <c r="B633" t="s">
        <v>737</v>
      </c>
      <c r="C633" t="s">
        <v>106</v>
      </c>
    </row>
    <row r="634" spans="1:3" x14ac:dyDescent="0.3">
      <c r="A634">
        <v>67426055</v>
      </c>
      <c r="B634" t="s">
        <v>738</v>
      </c>
      <c r="C634" t="s">
        <v>106</v>
      </c>
    </row>
    <row r="635" spans="1:3" x14ac:dyDescent="0.3">
      <c r="A635">
        <v>67434134</v>
      </c>
      <c r="B635" t="s">
        <v>739</v>
      </c>
      <c r="C635" t="s">
        <v>336</v>
      </c>
    </row>
    <row r="636" spans="1:3" x14ac:dyDescent="0.3">
      <c r="A636">
        <v>67434175</v>
      </c>
      <c r="B636" t="s">
        <v>740</v>
      </c>
      <c r="C636" t="s">
        <v>56</v>
      </c>
    </row>
    <row r="637" spans="1:3" x14ac:dyDescent="0.3">
      <c r="A637">
        <v>67434188</v>
      </c>
      <c r="B637" t="s">
        <v>741</v>
      </c>
      <c r="C637" t="s">
        <v>56</v>
      </c>
    </row>
    <row r="638" spans="1:3" x14ac:dyDescent="0.3">
      <c r="A638">
        <v>67437426</v>
      </c>
      <c r="B638" t="s">
        <v>742</v>
      </c>
      <c r="C638" t="s">
        <v>108</v>
      </c>
    </row>
    <row r="639" spans="1:3" x14ac:dyDescent="0.3">
      <c r="A639">
        <v>67468770</v>
      </c>
      <c r="B639" t="s">
        <v>743</v>
      </c>
      <c r="C639" t="s">
        <v>56</v>
      </c>
    </row>
    <row r="640" spans="1:3" x14ac:dyDescent="0.3">
      <c r="A640">
        <v>67468783</v>
      </c>
      <c r="B640" t="s">
        <v>744</v>
      </c>
      <c r="C640" t="s">
        <v>56</v>
      </c>
    </row>
    <row r="641" spans="1:3" x14ac:dyDescent="0.3">
      <c r="A641">
        <v>67471100</v>
      </c>
      <c r="B641" t="s">
        <v>745</v>
      </c>
      <c r="C641" t="s">
        <v>110</v>
      </c>
    </row>
    <row r="642" spans="1:3" x14ac:dyDescent="0.3">
      <c r="A642">
        <v>67474060</v>
      </c>
      <c r="B642" t="s">
        <v>746</v>
      </c>
      <c r="C642" t="s">
        <v>108</v>
      </c>
    </row>
    <row r="643" spans="1:3" x14ac:dyDescent="0.3">
      <c r="A643">
        <v>67474726</v>
      </c>
      <c r="B643" t="s">
        <v>747</v>
      </c>
      <c r="C643" t="s">
        <v>108</v>
      </c>
    </row>
    <row r="644" spans="1:3" x14ac:dyDescent="0.3">
      <c r="A644">
        <v>67483466</v>
      </c>
      <c r="B644" t="s">
        <v>748</v>
      </c>
      <c r="C644" t="s">
        <v>56</v>
      </c>
    </row>
    <row r="645" spans="1:3" x14ac:dyDescent="0.3">
      <c r="A645">
        <v>67496243</v>
      </c>
      <c r="B645" t="s">
        <v>749</v>
      </c>
      <c r="C645" t="s">
        <v>414</v>
      </c>
    </row>
    <row r="646" spans="1:3" x14ac:dyDescent="0.3">
      <c r="A646">
        <v>67534373</v>
      </c>
      <c r="B646" t="s">
        <v>750</v>
      </c>
      <c r="C646" t="s">
        <v>108</v>
      </c>
    </row>
    <row r="647" spans="1:3" x14ac:dyDescent="0.3">
      <c r="A647">
        <v>67542148</v>
      </c>
      <c r="B647" t="s">
        <v>751</v>
      </c>
      <c r="C647" t="s">
        <v>589</v>
      </c>
    </row>
    <row r="648" spans="1:3" x14ac:dyDescent="0.3">
      <c r="A648">
        <v>67542762</v>
      </c>
      <c r="B648" t="s">
        <v>752</v>
      </c>
      <c r="C648" t="s">
        <v>108</v>
      </c>
    </row>
    <row r="649" spans="1:3" x14ac:dyDescent="0.3">
      <c r="A649">
        <v>67542764</v>
      </c>
      <c r="B649" t="s">
        <v>753</v>
      </c>
      <c r="C649" t="s">
        <v>108</v>
      </c>
    </row>
    <row r="650" spans="1:3" x14ac:dyDescent="0.3">
      <c r="A650">
        <v>67543916</v>
      </c>
      <c r="B650" t="s">
        <v>754</v>
      </c>
      <c r="C650" t="s">
        <v>414</v>
      </c>
    </row>
    <row r="651" spans="1:3" x14ac:dyDescent="0.3">
      <c r="A651">
        <v>67544335</v>
      </c>
      <c r="B651" t="s">
        <v>755</v>
      </c>
      <c r="C651" t="s">
        <v>108</v>
      </c>
    </row>
    <row r="652" spans="1:3" x14ac:dyDescent="0.3">
      <c r="A652">
        <v>67544341</v>
      </c>
      <c r="B652" t="s">
        <v>756</v>
      </c>
      <c r="C652" t="s">
        <v>108</v>
      </c>
    </row>
    <row r="653" spans="1:3" x14ac:dyDescent="0.3">
      <c r="A653">
        <v>67580701</v>
      </c>
      <c r="B653" t="s">
        <v>757</v>
      </c>
      <c r="C653" t="s">
        <v>56</v>
      </c>
    </row>
    <row r="654" spans="1:3" x14ac:dyDescent="0.3">
      <c r="A654">
        <v>67580994</v>
      </c>
      <c r="B654" t="s">
        <v>758</v>
      </c>
      <c r="C654" t="s">
        <v>108</v>
      </c>
    </row>
    <row r="655" spans="1:3" x14ac:dyDescent="0.3">
      <c r="A655">
        <v>67581743</v>
      </c>
      <c r="B655" t="s">
        <v>759</v>
      </c>
      <c r="C655" t="s">
        <v>589</v>
      </c>
    </row>
    <row r="656" spans="1:3" x14ac:dyDescent="0.3">
      <c r="A656">
        <v>67597032</v>
      </c>
      <c r="B656" t="s">
        <v>760</v>
      </c>
      <c r="C656" t="s">
        <v>108</v>
      </c>
    </row>
    <row r="657" spans="1:3" x14ac:dyDescent="0.3">
      <c r="A657">
        <v>67597038</v>
      </c>
      <c r="B657" t="s">
        <v>761</v>
      </c>
      <c r="C657" t="s">
        <v>336</v>
      </c>
    </row>
    <row r="658" spans="1:3" x14ac:dyDescent="0.3">
      <c r="A658">
        <v>67614138</v>
      </c>
      <c r="B658" t="s">
        <v>762</v>
      </c>
      <c r="C658" t="s">
        <v>106</v>
      </c>
    </row>
    <row r="659" spans="1:3" x14ac:dyDescent="0.3">
      <c r="A659">
        <v>67614143</v>
      </c>
      <c r="B659" t="s">
        <v>763</v>
      </c>
      <c r="C659" t="s">
        <v>576</v>
      </c>
    </row>
    <row r="660" spans="1:3" x14ac:dyDescent="0.3">
      <c r="A660">
        <v>67614145</v>
      </c>
      <c r="B660" t="s">
        <v>764</v>
      </c>
      <c r="C660" t="s">
        <v>54</v>
      </c>
    </row>
    <row r="661" spans="1:3" x14ac:dyDescent="0.3">
      <c r="A661">
        <v>67614147</v>
      </c>
      <c r="B661" t="s">
        <v>765</v>
      </c>
      <c r="C661" t="s">
        <v>106</v>
      </c>
    </row>
    <row r="662" spans="1:3" x14ac:dyDescent="0.3">
      <c r="A662">
        <v>67614178</v>
      </c>
      <c r="B662" t="s">
        <v>766</v>
      </c>
      <c r="C662" t="s">
        <v>106</v>
      </c>
    </row>
    <row r="663" spans="1:3" x14ac:dyDescent="0.3">
      <c r="A663">
        <v>67636472</v>
      </c>
      <c r="B663" t="s">
        <v>767</v>
      </c>
      <c r="C663" t="s">
        <v>336</v>
      </c>
    </row>
    <row r="664" spans="1:3" x14ac:dyDescent="0.3">
      <c r="A664">
        <v>67639169</v>
      </c>
      <c r="B664" t="s">
        <v>768</v>
      </c>
      <c r="C664" t="s">
        <v>723</v>
      </c>
    </row>
    <row r="665" spans="1:3" x14ac:dyDescent="0.3">
      <c r="A665">
        <v>67656173</v>
      </c>
      <c r="B665" t="s">
        <v>769</v>
      </c>
      <c r="C665" t="s">
        <v>110</v>
      </c>
    </row>
    <row r="666" spans="1:3" x14ac:dyDescent="0.3">
      <c r="A666">
        <v>67656175</v>
      </c>
      <c r="B666" t="s">
        <v>770</v>
      </c>
      <c r="C666" t="s">
        <v>110</v>
      </c>
    </row>
    <row r="667" spans="1:3" x14ac:dyDescent="0.3">
      <c r="A667">
        <v>67679582</v>
      </c>
      <c r="B667" t="s">
        <v>771</v>
      </c>
      <c r="C667" t="s">
        <v>56</v>
      </c>
    </row>
    <row r="668" spans="1:3" x14ac:dyDescent="0.3">
      <c r="A668">
        <v>67683800</v>
      </c>
      <c r="B668" t="s">
        <v>772</v>
      </c>
      <c r="C668" t="s">
        <v>56</v>
      </c>
    </row>
    <row r="669" spans="1:3" x14ac:dyDescent="0.3">
      <c r="A669">
        <v>67688518</v>
      </c>
      <c r="B669" t="s">
        <v>773</v>
      </c>
      <c r="C669" t="s">
        <v>108</v>
      </c>
    </row>
    <row r="670" spans="1:3" x14ac:dyDescent="0.3">
      <c r="A670">
        <v>67688523</v>
      </c>
      <c r="B670" t="s">
        <v>774</v>
      </c>
      <c r="C670" t="s">
        <v>108</v>
      </c>
    </row>
    <row r="671" spans="1:3" x14ac:dyDescent="0.3">
      <c r="A671">
        <v>67695123</v>
      </c>
      <c r="B671" t="s">
        <v>775</v>
      </c>
      <c r="C671" t="s">
        <v>56</v>
      </c>
    </row>
    <row r="672" spans="1:3" x14ac:dyDescent="0.3">
      <c r="A672">
        <v>67706796</v>
      </c>
      <c r="B672" t="s">
        <v>776</v>
      </c>
      <c r="C672" t="s">
        <v>380</v>
      </c>
    </row>
    <row r="673" spans="1:3" x14ac:dyDescent="0.3">
      <c r="A673">
        <v>67706801</v>
      </c>
      <c r="B673" t="s">
        <v>777</v>
      </c>
      <c r="C673" t="s">
        <v>723</v>
      </c>
    </row>
    <row r="674" spans="1:3" x14ac:dyDescent="0.3">
      <c r="A674">
        <v>67706802</v>
      </c>
      <c r="B674" t="s">
        <v>778</v>
      </c>
      <c r="C674" t="s">
        <v>723</v>
      </c>
    </row>
    <row r="675" spans="1:3" x14ac:dyDescent="0.3">
      <c r="A675">
        <v>67714524</v>
      </c>
      <c r="B675" t="s">
        <v>779</v>
      </c>
      <c r="C675" t="s">
        <v>56</v>
      </c>
    </row>
    <row r="676" spans="1:3" x14ac:dyDescent="0.3">
      <c r="A676">
        <v>67714547</v>
      </c>
      <c r="B676" t="s">
        <v>780</v>
      </c>
      <c r="C676" t="s">
        <v>56</v>
      </c>
    </row>
    <row r="677" spans="1:3" x14ac:dyDescent="0.3">
      <c r="A677">
        <v>67717651</v>
      </c>
      <c r="B677" t="s">
        <v>781</v>
      </c>
      <c r="C677" t="s">
        <v>106</v>
      </c>
    </row>
    <row r="678" spans="1:3" x14ac:dyDescent="0.3">
      <c r="A678">
        <v>67722468</v>
      </c>
      <c r="B678" t="s">
        <v>782</v>
      </c>
      <c r="C678" t="s">
        <v>106</v>
      </c>
    </row>
    <row r="679" spans="1:3" x14ac:dyDescent="0.3">
      <c r="A679">
        <v>67722470</v>
      </c>
      <c r="B679" t="s">
        <v>783</v>
      </c>
      <c r="C679" t="s">
        <v>106</v>
      </c>
    </row>
    <row r="680" spans="1:3" x14ac:dyDescent="0.3">
      <c r="A680">
        <v>67756033</v>
      </c>
      <c r="B680" t="s">
        <v>784</v>
      </c>
      <c r="C680" t="s">
        <v>108</v>
      </c>
    </row>
    <row r="681" spans="1:3" x14ac:dyDescent="0.3">
      <c r="A681">
        <v>67774775</v>
      </c>
      <c r="B681" t="s">
        <v>785</v>
      </c>
      <c r="C681" t="s">
        <v>56</v>
      </c>
    </row>
    <row r="682" spans="1:3" x14ac:dyDescent="0.3">
      <c r="A682">
        <v>67782669</v>
      </c>
      <c r="B682" t="s">
        <v>786</v>
      </c>
      <c r="C682" t="s">
        <v>54</v>
      </c>
    </row>
    <row r="683" spans="1:3" x14ac:dyDescent="0.3">
      <c r="A683">
        <v>67782687</v>
      </c>
      <c r="B683" t="s">
        <v>787</v>
      </c>
      <c r="C683" t="s">
        <v>336</v>
      </c>
    </row>
    <row r="684" spans="1:3" x14ac:dyDescent="0.3">
      <c r="A684">
        <v>67782689</v>
      </c>
      <c r="B684" t="s">
        <v>788</v>
      </c>
      <c r="C684" t="s">
        <v>54</v>
      </c>
    </row>
    <row r="685" spans="1:3" x14ac:dyDescent="0.3">
      <c r="A685">
        <v>67782691</v>
      </c>
      <c r="B685" t="s">
        <v>789</v>
      </c>
      <c r="C685" t="s">
        <v>108</v>
      </c>
    </row>
    <row r="686" spans="1:3" x14ac:dyDescent="0.3">
      <c r="A686">
        <v>67782697</v>
      </c>
      <c r="B686" t="s">
        <v>790</v>
      </c>
      <c r="C686" t="s">
        <v>108</v>
      </c>
    </row>
    <row r="687" spans="1:3" x14ac:dyDescent="0.3">
      <c r="A687">
        <v>67782699</v>
      </c>
      <c r="B687" t="s">
        <v>791</v>
      </c>
      <c r="C687" t="s">
        <v>336</v>
      </c>
    </row>
    <row r="688" spans="1:3" x14ac:dyDescent="0.3">
      <c r="A688">
        <v>67784300</v>
      </c>
      <c r="B688" t="s">
        <v>792</v>
      </c>
      <c r="C688" t="s">
        <v>106</v>
      </c>
    </row>
    <row r="689" spans="1:3" x14ac:dyDescent="0.3">
      <c r="A689">
        <v>67784306</v>
      </c>
      <c r="B689" t="s">
        <v>793</v>
      </c>
      <c r="C689" t="s">
        <v>108</v>
      </c>
    </row>
    <row r="690" spans="1:3" x14ac:dyDescent="0.3">
      <c r="A690">
        <v>67784308</v>
      </c>
      <c r="B690" t="s">
        <v>794</v>
      </c>
      <c r="C690" t="s">
        <v>106</v>
      </c>
    </row>
    <row r="691" spans="1:3" x14ac:dyDescent="0.3">
      <c r="A691">
        <v>67784314</v>
      </c>
      <c r="B691" t="s">
        <v>795</v>
      </c>
      <c r="C691" t="s">
        <v>108</v>
      </c>
    </row>
    <row r="692" spans="1:3" x14ac:dyDescent="0.3">
      <c r="A692">
        <v>67784332</v>
      </c>
      <c r="B692" t="s">
        <v>796</v>
      </c>
      <c r="C692" t="s">
        <v>108</v>
      </c>
    </row>
    <row r="693" spans="1:3" x14ac:dyDescent="0.3">
      <c r="A693">
        <v>67788788</v>
      </c>
      <c r="B693" t="s">
        <v>797</v>
      </c>
      <c r="C693" t="s">
        <v>108</v>
      </c>
    </row>
    <row r="694" spans="1:3" x14ac:dyDescent="0.3">
      <c r="A694">
        <v>67788798</v>
      </c>
      <c r="B694" t="s">
        <v>798</v>
      </c>
      <c r="C694" t="s">
        <v>108</v>
      </c>
    </row>
    <row r="695" spans="1:3" x14ac:dyDescent="0.3">
      <c r="A695">
        <v>67789451</v>
      </c>
      <c r="B695" t="s">
        <v>799</v>
      </c>
      <c r="C695" t="s">
        <v>56</v>
      </c>
    </row>
    <row r="696" spans="1:3" x14ac:dyDescent="0.3">
      <c r="A696">
        <v>67802184</v>
      </c>
      <c r="B696" t="s">
        <v>800</v>
      </c>
      <c r="C696" t="s">
        <v>106</v>
      </c>
    </row>
    <row r="697" spans="1:3" x14ac:dyDescent="0.3">
      <c r="A697">
        <v>67802256</v>
      </c>
      <c r="B697" t="s">
        <v>801</v>
      </c>
      <c r="C697" t="s">
        <v>106</v>
      </c>
    </row>
    <row r="698" spans="1:3" x14ac:dyDescent="0.3">
      <c r="A698">
        <v>67802490</v>
      </c>
      <c r="B698" t="s">
        <v>802</v>
      </c>
      <c r="C698" t="s">
        <v>414</v>
      </c>
    </row>
    <row r="699" spans="1:3" x14ac:dyDescent="0.3">
      <c r="A699">
        <v>67833152</v>
      </c>
      <c r="B699" t="s">
        <v>803</v>
      </c>
      <c r="C699" t="s">
        <v>108</v>
      </c>
    </row>
    <row r="700" spans="1:3" x14ac:dyDescent="0.3">
      <c r="A700">
        <v>67833153</v>
      </c>
      <c r="B700" t="s">
        <v>804</v>
      </c>
      <c r="C700" t="s">
        <v>108</v>
      </c>
    </row>
    <row r="701" spans="1:3" x14ac:dyDescent="0.3">
      <c r="A701">
        <v>67833157</v>
      </c>
      <c r="B701" t="s">
        <v>805</v>
      </c>
      <c r="C701" t="s">
        <v>108</v>
      </c>
    </row>
    <row r="702" spans="1:3" x14ac:dyDescent="0.3">
      <c r="A702">
        <v>67833169</v>
      </c>
      <c r="B702" t="s">
        <v>806</v>
      </c>
      <c r="C702" t="s">
        <v>108</v>
      </c>
    </row>
    <row r="703" spans="1:3" x14ac:dyDescent="0.3">
      <c r="A703">
        <v>67834510</v>
      </c>
      <c r="B703" t="s">
        <v>807</v>
      </c>
      <c r="C703" t="s">
        <v>719</v>
      </c>
    </row>
    <row r="704" spans="1:3" x14ac:dyDescent="0.3">
      <c r="A704">
        <v>67837433</v>
      </c>
      <c r="B704" t="s">
        <v>808</v>
      </c>
      <c r="C704" t="s">
        <v>108</v>
      </c>
    </row>
    <row r="705" spans="1:3" x14ac:dyDescent="0.3">
      <c r="A705">
        <v>67837434</v>
      </c>
      <c r="B705" t="s">
        <v>809</v>
      </c>
      <c r="C705" t="s">
        <v>108</v>
      </c>
    </row>
    <row r="706" spans="1:3" x14ac:dyDescent="0.3">
      <c r="A706">
        <v>67837446</v>
      </c>
      <c r="B706" t="s">
        <v>810</v>
      </c>
      <c r="C706" t="s">
        <v>108</v>
      </c>
    </row>
    <row r="707" spans="1:3" x14ac:dyDescent="0.3">
      <c r="A707">
        <v>67837451</v>
      </c>
      <c r="B707" t="s">
        <v>811</v>
      </c>
      <c r="C707" t="s">
        <v>108</v>
      </c>
    </row>
    <row r="708" spans="1:3" x14ac:dyDescent="0.3">
      <c r="A708">
        <v>67837453</v>
      </c>
      <c r="B708" t="s">
        <v>812</v>
      </c>
      <c r="C708" t="s">
        <v>108</v>
      </c>
    </row>
    <row r="709" spans="1:3" x14ac:dyDescent="0.3">
      <c r="A709">
        <v>67837463</v>
      </c>
      <c r="B709" t="s">
        <v>813</v>
      </c>
      <c r="C709" t="s">
        <v>108</v>
      </c>
    </row>
    <row r="710" spans="1:3" x14ac:dyDescent="0.3">
      <c r="A710">
        <v>67841218</v>
      </c>
      <c r="B710" t="s">
        <v>814</v>
      </c>
      <c r="C710" t="s">
        <v>104</v>
      </c>
    </row>
    <row r="711" spans="1:3" x14ac:dyDescent="0.3">
      <c r="A711">
        <v>67843959</v>
      </c>
      <c r="B711" t="s">
        <v>815</v>
      </c>
      <c r="C711" t="s">
        <v>120</v>
      </c>
    </row>
    <row r="712" spans="1:3" x14ac:dyDescent="0.3">
      <c r="A712">
        <v>67843963</v>
      </c>
      <c r="B712" t="s">
        <v>816</v>
      </c>
      <c r="C712" t="s">
        <v>120</v>
      </c>
    </row>
    <row r="713" spans="1:3" x14ac:dyDescent="0.3">
      <c r="A713">
        <v>67846289</v>
      </c>
      <c r="B713" t="s">
        <v>817</v>
      </c>
      <c r="C713" t="s">
        <v>106</v>
      </c>
    </row>
    <row r="714" spans="1:3" x14ac:dyDescent="0.3">
      <c r="A714">
        <v>67847286</v>
      </c>
      <c r="B714" t="s">
        <v>818</v>
      </c>
      <c r="C714" t="s">
        <v>120</v>
      </c>
    </row>
    <row r="715" spans="1:3" x14ac:dyDescent="0.3">
      <c r="A715">
        <v>67847297</v>
      </c>
      <c r="B715" t="s">
        <v>819</v>
      </c>
      <c r="C715" t="s">
        <v>120</v>
      </c>
    </row>
    <row r="716" spans="1:3" x14ac:dyDescent="0.3">
      <c r="A716">
        <v>67853510</v>
      </c>
      <c r="B716" t="s">
        <v>820</v>
      </c>
      <c r="C716" t="s">
        <v>108</v>
      </c>
    </row>
    <row r="717" spans="1:3" x14ac:dyDescent="0.3">
      <c r="A717">
        <v>67853511</v>
      </c>
      <c r="B717" t="s">
        <v>821</v>
      </c>
      <c r="C717" t="s">
        <v>108</v>
      </c>
    </row>
    <row r="718" spans="1:3" x14ac:dyDescent="0.3">
      <c r="A718">
        <v>67853514</v>
      </c>
      <c r="B718" t="s">
        <v>822</v>
      </c>
      <c r="C718" t="s">
        <v>108</v>
      </c>
    </row>
    <row r="719" spans="1:3" x14ac:dyDescent="0.3">
      <c r="A719">
        <v>67853515</v>
      </c>
      <c r="B719" t="s">
        <v>823</v>
      </c>
      <c r="C719" t="s">
        <v>108</v>
      </c>
    </row>
    <row r="720" spans="1:3" x14ac:dyDescent="0.3">
      <c r="A720">
        <v>67853516</v>
      </c>
      <c r="B720" t="s">
        <v>824</v>
      </c>
      <c r="C720" t="s">
        <v>108</v>
      </c>
    </row>
    <row r="721" spans="1:3" x14ac:dyDescent="0.3">
      <c r="A721">
        <v>67853517</v>
      </c>
      <c r="B721" t="s">
        <v>825</v>
      </c>
      <c r="C721" t="s">
        <v>108</v>
      </c>
    </row>
    <row r="722" spans="1:3" x14ac:dyDescent="0.3">
      <c r="A722">
        <v>67857936</v>
      </c>
      <c r="B722" t="s">
        <v>826</v>
      </c>
      <c r="C722" t="s">
        <v>336</v>
      </c>
    </row>
    <row r="723" spans="1:3" x14ac:dyDescent="0.3">
      <c r="A723">
        <v>67857942</v>
      </c>
      <c r="B723" t="s">
        <v>827</v>
      </c>
      <c r="C723" t="s">
        <v>336</v>
      </c>
    </row>
    <row r="724" spans="1:3" x14ac:dyDescent="0.3">
      <c r="A724">
        <v>67857948</v>
      </c>
      <c r="B724" t="s">
        <v>828</v>
      </c>
      <c r="C724" t="s">
        <v>108</v>
      </c>
    </row>
    <row r="725" spans="1:3" x14ac:dyDescent="0.3">
      <c r="A725">
        <v>67857950</v>
      </c>
      <c r="B725" t="s">
        <v>829</v>
      </c>
      <c r="C725" t="s">
        <v>108</v>
      </c>
    </row>
    <row r="726" spans="1:3" x14ac:dyDescent="0.3">
      <c r="A726">
        <v>67857953</v>
      </c>
      <c r="B726" t="s">
        <v>830</v>
      </c>
      <c r="C726" t="s">
        <v>336</v>
      </c>
    </row>
    <row r="727" spans="1:3" x14ac:dyDescent="0.3">
      <c r="A727">
        <v>67859123</v>
      </c>
      <c r="B727" t="s">
        <v>831</v>
      </c>
      <c r="C727" t="s">
        <v>106</v>
      </c>
    </row>
    <row r="728" spans="1:3" x14ac:dyDescent="0.3">
      <c r="A728">
        <v>67860722</v>
      </c>
      <c r="B728" t="s">
        <v>832</v>
      </c>
      <c r="C728" t="s">
        <v>108</v>
      </c>
    </row>
    <row r="729" spans="1:3" x14ac:dyDescent="0.3">
      <c r="A729">
        <v>67861911</v>
      </c>
      <c r="B729" t="s">
        <v>833</v>
      </c>
      <c r="C729" t="s">
        <v>414</v>
      </c>
    </row>
    <row r="730" spans="1:3" x14ac:dyDescent="0.3">
      <c r="A730">
        <v>67863681</v>
      </c>
      <c r="B730" t="s">
        <v>834</v>
      </c>
      <c r="C730" t="s">
        <v>108</v>
      </c>
    </row>
    <row r="731" spans="1:3" x14ac:dyDescent="0.3">
      <c r="A731">
        <v>67863683</v>
      </c>
      <c r="B731" t="s">
        <v>835</v>
      </c>
      <c r="C731" t="s">
        <v>108</v>
      </c>
    </row>
    <row r="732" spans="1:3" x14ac:dyDescent="0.3">
      <c r="A732">
        <v>67882302</v>
      </c>
      <c r="B732" t="s">
        <v>836</v>
      </c>
      <c r="C732" t="s">
        <v>723</v>
      </c>
    </row>
    <row r="733" spans="1:3" x14ac:dyDescent="0.3">
      <c r="A733">
        <v>67882305</v>
      </c>
      <c r="B733" t="s">
        <v>837</v>
      </c>
      <c r="C733" t="s">
        <v>723</v>
      </c>
    </row>
    <row r="734" spans="1:3" x14ac:dyDescent="0.3">
      <c r="A734">
        <v>67883715</v>
      </c>
      <c r="B734" t="s">
        <v>838</v>
      </c>
      <c r="C734" t="s">
        <v>336</v>
      </c>
    </row>
    <row r="735" spans="1:3" x14ac:dyDescent="0.3">
      <c r="A735">
        <v>67883719</v>
      </c>
      <c r="B735" t="s">
        <v>839</v>
      </c>
      <c r="C735" t="s">
        <v>336</v>
      </c>
    </row>
    <row r="736" spans="1:3" x14ac:dyDescent="0.3">
      <c r="A736">
        <v>67883723</v>
      </c>
      <c r="B736" t="s">
        <v>840</v>
      </c>
      <c r="C736" t="s">
        <v>336</v>
      </c>
    </row>
    <row r="737" spans="1:3" x14ac:dyDescent="0.3">
      <c r="A737">
        <v>67888131</v>
      </c>
      <c r="B737" t="s">
        <v>841</v>
      </c>
      <c r="C737" t="s">
        <v>56</v>
      </c>
    </row>
    <row r="738" spans="1:3" x14ac:dyDescent="0.3">
      <c r="A738">
        <v>67889276</v>
      </c>
      <c r="B738" t="s">
        <v>842</v>
      </c>
      <c r="C738" t="s">
        <v>108</v>
      </c>
    </row>
    <row r="739" spans="1:3" x14ac:dyDescent="0.3">
      <c r="A739">
        <v>67889280</v>
      </c>
      <c r="B739" t="s">
        <v>843</v>
      </c>
      <c r="C739" t="s">
        <v>108</v>
      </c>
    </row>
    <row r="740" spans="1:3" x14ac:dyDescent="0.3">
      <c r="A740">
        <v>67889282</v>
      </c>
      <c r="B740" t="s">
        <v>844</v>
      </c>
      <c r="C740" t="s">
        <v>108</v>
      </c>
    </row>
    <row r="741" spans="1:3" x14ac:dyDescent="0.3">
      <c r="A741">
        <v>67889283</v>
      </c>
      <c r="B741" t="s">
        <v>845</v>
      </c>
      <c r="C741" t="s">
        <v>108</v>
      </c>
    </row>
    <row r="742" spans="1:3" x14ac:dyDescent="0.3">
      <c r="A742">
        <v>67889285</v>
      </c>
      <c r="B742" t="s">
        <v>846</v>
      </c>
      <c r="C742" t="s">
        <v>106</v>
      </c>
    </row>
    <row r="743" spans="1:3" x14ac:dyDescent="0.3">
      <c r="A743">
        <v>67890708</v>
      </c>
      <c r="B743" t="s">
        <v>847</v>
      </c>
      <c r="C743" t="s">
        <v>414</v>
      </c>
    </row>
    <row r="744" spans="1:3" x14ac:dyDescent="0.3">
      <c r="A744">
        <v>67891165</v>
      </c>
      <c r="B744" t="s">
        <v>848</v>
      </c>
      <c r="C744" t="s">
        <v>56</v>
      </c>
    </row>
    <row r="745" spans="1:3" x14ac:dyDescent="0.3">
      <c r="A745">
        <v>67895299</v>
      </c>
      <c r="B745" t="s">
        <v>849</v>
      </c>
      <c r="C745" t="s">
        <v>106</v>
      </c>
    </row>
    <row r="746" spans="1:3" x14ac:dyDescent="0.3">
      <c r="A746">
        <v>67895301</v>
      </c>
      <c r="B746" t="s">
        <v>850</v>
      </c>
      <c r="C746" t="s">
        <v>108</v>
      </c>
    </row>
    <row r="747" spans="1:3" x14ac:dyDescent="0.3">
      <c r="A747">
        <v>67895302</v>
      </c>
      <c r="B747" t="s">
        <v>851</v>
      </c>
      <c r="C747" t="s">
        <v>108</v>
      </c>
    </row>
    <row r="748" spans="1:3" x14ac:dyDescent="0.3">
      <c r="A748">
        <v>67895303</v>
      </c>
      <c r="B748" t="s">
        <v>852</v>
      </c>
      <c r="C748" t="s">
        <v>106</v>
      </c>
    </row>
    <row r="749" spans="1:3" x14ac:dyDescent="0.3">
      <c r="A749">
        <v>67895304</v>
      </c>
      <c r="B749" t="s">
        <v>853</v>
      </c>
      <c r="C749" t="s">
        <v>108</v>
      </c>
    </row>
    <row r="750" spans="1:3" x14ac:dyDescent="0.3">
      <c r="A750">
        <v>67896835</v>
      </c>
      <c r="B750" t="s">
        <v>854</v>
      </c>
      <c r="C750" t="s">
        <v>108</v>
      </c>
    </row>
    <row r="751" spans="1:3" x14ac:dyDescent="0.3">
      <c r="A751">
        <v>67896837</v>
      </c>
      <c r="B751" t="s">
        <v>855</v>
      </c>
      <c r="C751" t="s">
        <v>108</v>
      </c>
    </row>
    <row r="752" spans="1:3" x14ac:dyDescent="0.3">
      <c r="A752">
        <v>67897483</v>
      </c>
      <c r="B752" t="s">
        <v>856</v>
      </c>
      <c r="C752" t="s">
        <v>336</v>
      </c>
    </row>
    <row r="753" spans="1:3" x14ac:dyDescent="0.3">
      <c r="A753">
        <v>67898063</v>
      </c>
      <c r="B753" t="s">
        <v>857</v>
      </c>
      <c r="C753" t="s">
        <v>108</v>
      </c>
    </row>
    <row r="754" spans="1:3" x14ac:dyDescent="0.3">
      <c r="A754">
        <v>67898065</v>
      </c>
      <c r="B754" t="s">
        <v>858</v>
      </c>
      <c r="C754" t="s">
        <v>106</v>
      </c>
    </row>
    <row r="755" spans="1:3" x14ac:dyDescent="0.3">
      <c r="A755">
        <v>67898067</v>
      </c>
      <c r="B755" t="s">
        <v>859</v>
      </c>
      <c r="C755" t="s">
        <v>108</v>
      </c>
    </row>
    <row r="756" spans="1:3" x14ac:dyDescent="0.3">
      <c r="A756">
        <v>67898069</v>
      </c>
      <c r="B756" t="s">
        <v>860</v>
      </c>
      <c r="C756" t="s">
        <v>106</v>
      </c>
    </row>
    <row r="757" spans="1:3" x14ac:dyDescent="0.3">
      <c r="A757">
        <v>67898071</v>
      </c>
      <c r="B757" t="s">
        <v>861</v>
      </c>
      <c r="C757" t="s">
        <v>108</v>
      </c>
    </row>
    <row r="758" spans="1:3" x14ac:dyDescent="0.3">
      <c r="A758">
        <v>67898073</v>
      </c>
      <c r="B758" t="s">
        <v>862</v>
      </c>
      <c r="C758" t="s">
        <v>106</v>
      </c>
    </row>
    <row r="759" spans="1:3" x14ac:dyDescent="0.3">
      <c r="A759">
        <v>67898075</v>
      </c>
      <c r="B759" t="s">
        <v>863</v>
      </c>
      <c r="C759" t="s">
        <v>108</v>
      </c>
    </row>
    <row r="760" spans="1:3" x14ac:dyDescent="0.3">
      <c r="A760">
        <v>67898077</v>
      </c>
      <c r="B760" t="s">
        <v>864</v>
      </c>
      <c r="C760" t="s">
        <v>106</v>
      </c>
    </row>
    <row r="761" spans="1:3" x14ac:dyDescent="0.3">
      <c r="A761">
        <v>67898079</v>
      </c>
      <c r="B761" t="s">
        <v>865</v>
      </c>
      <c r="C761" t="s">
        <v>108</v>
      </c>
    </row>
    <row r="762" spans="1:3" x14ac:dyDescent="0.3">
      <c r="A762">
        <v>67898083</v>
      </c>
      <c r="B762" t="s">
        <v>866</v>
      </c>
      <c r="C762" t="s">
        <v>108</v>
      </c>
    </row>
    <row r="763" spans="1:3" x14ac:dyDescent="0.3">
      <c r="A763">
        <v>67898085</v>
      </c>
      <c r="B763" t="s">
        <v>867</v>
      </c>
      <c r="C763" t="s">
        <v>104</v>
      </c>
    </row>
    <row r="764" spans="1:3" x14ac:dyDescent="0.3">
      <c r="A764">
        <v>67898233</v>
      </c>
      <c r="B764" t="s">
        <v>868</v>
      </c>
      <c r="C764" t="s">
        <v>719</v>
      </c>
    </row>
    <row r="765" spans="1:3" x14ac:dyDescent="0.3">
      <c r="A765">
        <v>67898239</v>
      </c>
      <c r="B765" t="s">
        <v>869</v>
      </c>
      <c r="C765" t="s">
        <v>108</v>
      </c>
    </row>
    <row r="766" spans="1:3" x14ac:dyDescent="0.3">
      <c r="A766">
        <v>67898245</v>
      </c>
      <c r="B766" t="s">
        <v>870</v>
      </c>
      <c r="C766" t="s">
        <v>108</v>
      </c>
    </row>
    <row r="767" spans="1:3" x14ac:dyDescent="0.3">
      <c r="A767">
        <v>67904625</v>
      </c>
      <c r="B767" t="s">
        <v>871</v>
      </c>
      <c r="C767" t="s">
        <v>108</v>
      </c>
    </row>
    <row r="768" spans="1:3" x14ac:dyDescent="0.3">
      <c r="A768">
        <v>67904627</v>
      </c>
      <c r="B768" t="s">
        <v>872</v>
      </c>
      <c r="C768" t="s">
        <v>108</v>
      </c>
    </row>
    <row r="769" spans="1:3" x14ac:dyDescent="0.3">
      <c r="A769">
        <v>67904629</v>
      </c>
      <c r="B769" t="s">
        <v>873</v>
      </c>
      <c r="C769" t="s">
        <v>108</v>
      </c>
    </row>
    <row r="770" spans="1:3" x14ac:dyDescent="0.3">
      <c r="A770">
        <v>67905094</v>
      </c>
      <c r="B770" t="s">
        <v>874</v>
      </c>
      <c r="C770" t="s">
        <v>108</v>
      </c>
    </row>
    <row r="771" spans="1:3" x14ac:dyDescent="0.3">
      <c r="A771">
        <v>67905096</v>
      </c>
      <c r="B771" t="s">
        <v>875</v>
      </c>
      <c r="C771" t="s">
        <v>108</v>
      </c>
    </row>
    <row r="772" spans="1:3" x14ac:dyDescent="0.3">
      <c r="A772">
        <v>67905098</v>
      </c>
      <c r="B772" t="s">
        <v>876</v>
      </c>
      <c r="C772" t="s">
        <v>108</v>
      </c>
    </row>
    <row r="773" spans="1:3" x14ac:dyDescent="0.3">
      <c r="A773">
        <v>67905106</v>
      </c>
      <c r="B773" t="s">
        <v>877</v>
      </c>
      <c r="C773" t="s">
        <v>108</v>
      </c>
    </row>
    <row r="774" spans="1:3" x14ac:dyDescent="0.3">
      <c r="A774">
        <v>67905108</v>
      </c>
      <c r="B774" t="s">
        <v>878</v>
      </c>
      <c r="C774" t="s">
        <v>120</v>
      </c>
    </row>
    <row r="775" spans="1:3" x14ac:dyDescent="0.3">
      <c r="A775">
        <v>67905110</v>
      </c>
      <c r="B775" t="s">
        <v>879</v>
      </c>
      <c r="C775" t="s">
        <v>120</v>
      </c>
    </row>
    <row r="776" spans="1:3" x14ac:dyDescent="0.3">
      <c r="A776">
        <v>67907581</v>
      </c>
      <c r="B776" t="s">
        <v>880</v>
      </c>
      <c r="C776" t="s">
        <v>108</v>
      </c>
    </row>
    <row r="777" spans="1:3" x14ac:dyDescent="0.3">
      <c r="A777">
        <v>67909196</v>
      </c>
      <c r="B777" t="s">
        <v>881</v>
      </c>
      <c r="C777" t="s">
        <v>108</v>
      </c>
    </row>
    <row r="778" spans="1:3" x14ac:dyDescent="0.3">
      <c r="A778">
        <v>67911262</v>
      </c>
      <c r="B778" t="s">
        <v>882</v>
      </c>
      <c r="C778" t="s">
        <v>56</v>
      </c>
    </row>
    <row r="779" spans="1:3" x14ac:dyDescent="0.3">
      <c r="A779">
        <v>67911264</v>
      </c>
      <c r="B779" t="s">
        <v>883</v>
      </c>
      <c r="C779" t="s">
        <v>56</v>
      </c>
    </row>
    <row r="780" spans="1:3" x14ac:dyDescent="0.3">
      <c r="A780">
        <v>67911268</v>
      </c>
      <c r="B780" t="s">
        <v>884</v>
      </c>
      <c r="C780" t="s">
        <v>56</v>
      </c>
    </row>
    <row r="781" spans="1:3" x14ac:dyDescent="0.3">
      <c r="A781">
        <v>67911270</v>
      </c>
      <c r="B781" t="s">
        <v>885</v>
      </c>
      <c r="C781" t="s">
        <v>56</v>
      </c>
    </row>
    <row r="782" spans="1:3" x14ac:dyDescent="0.3">
      <c r="A782">
        <v>67911274</v>
      </c>
      <c r="B782" t="s">
        <v>886</v>
      </c>
      <c r="C782" t="s">
        <v>56</v>
      </c>
    </row>
    <row r="783" spans="1:3" x14ac:dyDescent="0.3">
      <c r="A783">
        <v>67911276</v>
      </c>
      <c r="B783" t="s">
        <v>887</v>
      </c>
      <c r="C783" t="s">
        <v>56</v>
      </c>
    </row>
    <row r="784" spans="1:3" x14ac:dyDescent="0.3">
      <c r="A784">
        <v>67911280</v>
      </c>
      <c r="B784" t="s">
        <v>888</v>
      </c>
      <c r="C784" t="s">
        <v>56</v>
      </c>
    </row>
    <row r="785" spans="1:3" x14ac:dyDescent="0.3">
      <c r="A785">
        <v>67911282</v>
      </c>
      <c r="B785" t="s">
        <v>889</v>
      </c>
      <c r="C785" t="s">
        <v>56</v>
      </c>
    </row>
    <row r="786" spans="1:3" x14ac:dyDescent="0.3">
      <c r="A786">
        <v>67917203</v>
      </c>
      <c r="B786" t="s">
        <v>890</v>
      </c>
      <c r="C786" t="s">
        <v>120</v>
      </c>
    </row>
    <row r="787" spans="1:3" x14ac:dyDescent="0.3">
      <c r="A787">
        <v>67917207</v>
      </c>
      <c r="B787" t="s">
        <v>891</v>
      </c>
      <c r="C787" t="s">
        <v>120</v>
      </c>
    </row>
    <row r="788" spans="1:3" x14ac:dyDescent="0.3">
      <c r="A788">
        <v>67917225</v>
      </c>
      <c r="B788" t="s">
        <v>892</v>
      </c>
      <c r="C788" t="s">
        <v>120</v>
      </c>
    </row>
    <row r="789" spans="1:3" x14ac:dyDescent="0.3">
      <c r="A789">
        <v>67917227</v>
      </c>
      <c r="B789" t="s">
        <v>893</v>
      </c>
      <c r="C789" t="s">
        <v>539</v>
      </c>
    </row>
    <row r="790" spans="1:3" x14ac:dyDescent="0.3">
      <c r="A790">
        <v>67917229</v>
      </c>
      <c r="B790" t="s">
        <v>894</v>
      </c>
      <c r="C790" t="s">
        <v>120</v>
      </c>
    </row>
    <row r="791" spans="1:3" x14ac:dyDescent="0.3">
      <c r="A791">
        <v>67920728</v>
      </c>
      <c r="B791" t="s">
        <v>895</v>
      </c>
      <c r="C791" t="s">
        <v>108</v>
      </c>
    </row>
    <row r="792" spans="1:3" x14ac:dyDescent="0.3">
      <c r="A792">
        <v>67920736</v>
      </c>
      <c r="B792" t="s">
        <v>896</v>
      </c>
      <c r="C792" t="s">
        <v>108</v>
      </c>
    </row>
    <row r="793" spans="1:3" x14ac:dyDescent="0.3">
      <c r="A793">
        <v>67921298</v>
      </c>
      <c r="B793" t="s">
        <v>897</v>
      </c>
      <c r="C793" t="s">
        <v>336</v>
      </c>
    </row>
    <row r="794" spans="1:3" x14ac:dyDescent="0.3">
      <c r="A794">
        <v>67921299</v>
      </c>
      <c r="B794" t="s">
        <v>898</v>
      </c>
      <c r="C794" t="s">
        <v>336</v>
      </c>
    </row>
    <row r="795" spans="1:3" x14ac:dyDescent="0.3">
      <c r="A795">
        <v>67921303</v>
      </c>
      <c r="B795" t="s">
        <v>899</v>
      </c>
      <c r="C795" t="s">
        <v>54</v>
      </c>
    </row>
    <row r="796" spans="1:3" x14ac:dyDescent="0.3">
      <c r="A796">
        <v>67921306</v>
      </c>
      <c r="B796" t="s">
        <v>900</v>
      </c>
      <c r="C796" t="s">
        <v>336</v>
      </c>
    </row>
    <row r="797" spans="1:3" x14ac:dyDescent="0.3">
      <c r="A797">
        <v>67921308</v>
      </c>
      <c r="B797" t="s">
        <v>901</v>
      </c>
      <c r="C797" t="s">
        <v>108</v>
      </c>
    </row>
    <row r="798" spans="1:3" x14ac:dyDescent="0.3">
      <c r="A798">
        <v>67921309</v>
      </c>
      <c r="B798" t="s">
        <v>902</v>
      </c>
      <c r="C798" t="s">
        <v>576</v>
      </c>
    </row>
    <row r="799" spans="1:3" x14ac:dyDescent="0.3">
      <c r="A799">
        <v>67921319</v>
      </c>
      <c r="B799" t="s">
        <v>903</v>
      </c>
      <c r="C799" t="s">
        <v>108</v>
      </c>
    </row>
    <row r="800" spans="1:3" x14ac:dyDescent="0.3">
      <c r="A800">
        <v>67921337</v>
      </c>
      <c r="B800" t="s">
        <v>904</v>
      </c>
      <c r="C800" t="s">
        <v>336</v>
      </c>
    </row>
    <row r="801" spans="1:3" x14ac:dyDescent="0.3">
      <c r="A801">
        <v>67922521</v>
      </c>
      <c r="B801" t="s">
        <v>905</v>
      </c>
      <c r="C801" t="s">
        <v>336</v>
      </c>
    </row>
    <row r="802" spans="1:3" x14ac:dyDescent="0.3">
      <c r="A802">
        <v>67933149</v>
      </c>
      <c r="B802" t="s">
        <v>906</v>
      </c>
      <c r="C802" t="s">
        <v>108</v>
      </c>
    </row>
    <row r="803" spans="1:3" x14ac:dyDescent="0.3">
      <c r="A803">
        <v>67933150</v>
      </c>
      <c r="B803" t="s">
        <v>907</v>
      </c>
      <c r="C803" t="s">
        <v>108</v>
      </c>
    </row>
    <row r="804" spans="1:3" x14ac:dyDescent="0.3">
      <c r="A804">
        <v>67933153</v>
      </c>
      <c r="B804" t="s">
        <v>908</v>
      </c>
      <c r="C804" t="s">
        <v>108</v>
      </c>
    </row>
    <row r="805" spans="1:3" x14ac:dyDescent="0.3">
      <c r="A805">
        <v>67933154</v>
      </c>
      <c r="B805" t="s">
        <v>909</v>
      </c>
      <c r="C805" t="s">
        <v>108</v>
      </c>
    </row>
    <row r="806" spans="1:3" x14ac:dyDescent="0.3">
      <c r="A806">
        <v>67933156</v>
      </c>
      <c r="B806" t="s">
        <v>910</v>
      </c>
      <c r="C806" t="s">
        <v>108</v>
      </c>
    </row>
    <row r="807" spans="1:3" x14ac:dyDescent="0.3">
      <c r="A807">
        <v>67933157</v>
      </c>
      <c r="B807" t="s">
        <v>911</v>
      </c>
      <c r="C807" t="s">
        <v>108</v>
      </c>
    </row>
    <row r="808" spans="1:3" x14ac:dyDescent="0.3">
      <c r="A808">
        <v>67942613</v>
      </c>
      <c r="B808" t="s">
        <v>912</v>
      </c>
      <c r="C808" t="s">
        <v>108</v>
      </c>
    </row>
    <row r="809" spans="1:3" x14ac:dyDescent="0.3">
      <c r="A809">
        <v>67943883</v>
      </c>
      <c r="B809" t="s">
        <v>913</v>
      </c>
      <c r="C809" t="s">
        <v>56</v>
      </c>
    </row>
    <row r="810" spans="1:3" x14ac:dyDescent="0.3">
      <c r="A810">
        <v>67945875</v>
      </c>
      <c r="B810" t="s">
        <v>914</v>
      </c>
      <c r="C810" t="s">
        <v>120</v>
      </c>
    </row>
    <row r="811" spans="1:3" x14ac:dyDescent="0.3">
      <c r="A811">
        <v>67951480</v>
      </c>
      <c r="B811" t="s">
        <v>915</v>
      </c>
      <c r="C811" t="s">
        <v>56</v>
      </c>
    </row>
    <row r="812" spans="1:3" x14ac:dyDescent="0.3">
      <c r="A812">
        <v>67958913</v>
      </c>
      <c r="B812" t="s">
        <v>916</v>
      </c>
      <c r="C812" t="s">
        <v>589</v>
      </c>
    </row>
    <row r="813" spans="1:3" x14ac:dyDescent="0.3">
      <c r="A813">
        <v>67973104</v>
      </c>
      <c r="B813" t="s">
        <v>917</v>
      </c>
      <c r="C813" t="s">
        <v>539</v>
      </c>
    </row>
    <row r="814" spans="1:3" x14ac:dyDescent="0.3">
      <c r="A814">
        <v>67978478</v>
      </c>
      <c r="B814" t="s">
        <v>918</v>
      </c>
      <c r="C814" t="s">
        <v>56</v>
      </c>
    </row>
    <row r="815" spans="1:3" x14ac:dyDescent="0.3">
      <c r="A815">
        <v>67983552</v>
      </c>
      <c r="B815" t="s">
        <v>919</v>
      </c>
      <c r="C815" t="s">
        <v>108</v>
      </c>
    </row>
    <row r="816" spans="1:3" x14ac:dyDescent="0.3">
      <c r="A816">
        <v>67983553</v>
      </c>
      <c r="B816" t="s">
        <v>920</v>
      </c>
      <c r="C816" t="s">
        <v>108</v>
      </c>
    </row>
    <row r="817" spans="1:3" x14ac:dyDescent="0.3">
      <c r="A817">
        <v>67983554</v>
      </c>
      <c r="B817" t="s">
        <v>921</v>
      </c>
      <c r="C817" t="s">
        <v>108</v>
      </c>
    </row>
    <row r="818" spans="1:3" x14ac:dyDescent="0.3">
      <c r="A818">
        <v>67983558</v>
      </c>
      <c r="B818" t="s">
        <v>922</v>
      </c>
      <c r="C818" t="s">
        <v>108</v>
      </c>
    </row>
    <row r="819" spans="1:3" x14ac:dyDescent="0.3">
      <c r="A819">
        <v>67984990</v>
      </c>
      <c r="B819" t="s">
        <v>923</v>
      </c>
      <c r="C819" t="s">
        <v>108</v>
      </c>
    </row>
    <row r="820" spans="1:3" x14ac:dyDescent="0.3">
      <c r="A820">
        <v>67984992</v>
      </c>
      <c r="B820" t="s">
        <v>924</v>
      </c>
      <c r="C820" t="s">
        <v>108</v>
      </c>
    </row>
    <row r="821" spans="1:3" x14ac:dyDescent="0.3">
      <c r="A821">
        <v>67984994</v>
      </c>
      <c r="B821" t="s">
        <v>925</v>
      </c>
      <c r="C821" t="s">
        <v>108</v>
      </c>
    </row>
    <row r="822" spans="1:3" x14ac:dyDescent="0.3">
      <c r="A822">
        <v>67986838</v>
      </c>
      <c r="B822" t="s">
        <v>926</v>
      </c>
      <c r="C822" t="s">
        <v>108</v>
      </c>
    </row>
    <row r="823" spans="1:3" x14ac:dyDescent="0.3">
      <c r="A823">
        <v>67986845</v>
      </c>
      <c r="B823" t="s">
        <v>927</v>
      </c>
      <c r="C823" t="s">
        <v>108</v>
      </c>
    </row>
    <row r="824" spans="1:3" x14ac:dyDescent="0.3">
      <c r="A824">
        <v>67992351</v>
      </c>
      <c r="B824" t="s">
        <v>928</v>
      </c>
      <c r="C824" t="s">
        <v>108</v>
      </c>
    </row>
    <row r="825" spans="1:3" x14ac:dyDescent="0.3">
      <c r="A825">
        <v>67992352</v>
      </c>
      <c r="B825" t="s">
        <v>929</v>
      </c>
      <c r="C825" t="s">
        <v>108</v>
      </c>
    </row>
    <row r="826" spans="1:3" x14ac:dyDescent="0.3">
      <c r="A826">
        <v>67992354</v>
      </c>
      <c r="B826" t="s">
        <v>930</v>
      </c>
      <c r="C826" t="s">
        <v>108</v>
      </c>
    </row>
    <row r="827" spans="1:3" x14ac:dyDescent="0.3">
      <c r="A827">
        <v>67992356</v>
      </c>
      <c r="B827" t="s">
        <v>931</v>
      </c>
      <c r="C827" t="s">
        <v>108</v>
      </c>
    </row>
    <row r="828" spans="1:3" x14ac:dyDescent="0.3">
      <c r="A828">
        <v>67992358</v>
      </c>
      <c r="B828" t="s">
        <v>932</v>
      </c>
      <c r="C828" t="s">
        <v>54</v>
      </c>
    </row>
    <row r="829" spans="1:3" x14ac:dyDescent="0.3">
      <c r="A829">
        <v>67992360</v>
      </c>
      <c r="B829" t="s">
        <v>933</v>
      </c>
      <c r="C829" t="s">
        <v>108</v>
      </c>
    </row>
    <row r="830" spans="1:3" x14ac:dyDescent="0.3">
      <c r="A830">
        <v>67992362</v>
      </c>
      <c r="B830" t="s">
        <v>934</v>
      </c>
      <c r="C830" t="s">
        <v>54</v>
      </c>
    </row>
    <row r="831" spans="1:3" x14ac:dyDescent="0.3">
      <c r="A831">
        <v>67992363</v>
      </c>
      <c r="B831" t="s">
        <v>935</v>
      </c>
      <c r="C831" t="s">
        <v>108</v>
      </c>
    </row>
    <row r="832" spans="1:3" x14ac:dyDescent="0.3">
      <c r="A832">
        <v>67992366</v>
      </c>
      <c r="B832" t="s">
        <v>936</v>
      </c>
      <c r="C832" t="s">
        <v>108</v>
      </c>
    </row>
    <row r="833" spans="1:3" x14ac:dyDescent="0.3">
      <c r="A833">
        <v>67992367</v>
      </c>
      <c r="B833" t="s">
        <v>937</v>
      </c>
      <c r="C833" t="s">
        <v>108</v>
      </c>
    </row>
    <row r="834" spans="1:3" x14ac:dyDescent="0.3">
      <c r="A834">
        <v>67992369</v>
      </c>
      <c r="B834" t="s">
        <v>938</v>
      </c>
      <c r="C834" t="s">
        <v>108</v>
      </c>
    </row>
    <row r="835" spans="1:3" x14ac:dyDescent="0.3">
      <c r="A835">
        <v>67992370</v>
      </c>
      <c r="B835" t="s">
        <v>939</v>
      </c>
      <c r="C835" t="s">
        <v>108</v>
      </c>
    </row>
    <row r="836" spans="1:3" x14ac:dyDescent="0.3">
      <c r="A836">
        <v>67992371</v>
      </c>
      <c r="B836" t="s">
        <v>940</v>
      </c>
      <c r="C836" t="s">
        <v>120</v>
      </c>
    </row>
    <row r="837" spans="1:3" x14ac:dyDescent="0.3">
      <c r="A837">
        <v>67992372</v>
      </c>
      <c r="B837" t="s">
        <v>941</v>
      </c>
      <c r="C837" t="s">
        <v>108</v>
      </c>
    </row>
    <row r="838" spans="1:3" x14ac:dyDescent="0.3">
      <c r="A838">
        <v>67992373</v>
      </c>
      <c r="B838" t="s">
        <v>942</v>
      </c>
      <c r="C838" t="s">
        <v>336</v>
      </c>
    </row>
    <row r="839" spans="1:3" x14ac:dyDescent="0.3">
      <c r="A839">
        <v>67992374</v>
      </c>
      <c r="B839" t="s">
        <v>943</v>
      </c>
      <c r="C839" t="s">
        <v>108</v>
      </c>
    </row>
    <row r="840" spans="1:3" x14ac:dyDescent="0.3">
      <c r="A840">
        <v>67992377</v>
      </c>
      <c r="B840" t="s">
        <v>944</v>
      </c>
      <c r="C840" t="s">
        <v>108</v>
      </c>
    </row>
    <row r="841" spans="1:3" x14ac:dyDescent="0.3">
      <c r="A841">
        <v>68112380</v>
      </c>
      <c r="B841" t="s">
        <v>945</v>
      </c>
      <c r="C841" t="s">
        <v>110</v>
      </c>
    </row>
    <row r="842" spans="1:3" x14ac:dyDescent="0.3">
      <c r="A842">
        <v>68112437</v>
      </c>
      <c r="B842" t="s">
        <v>946</v>
      </c>
      <c r="C842" t="s">
        <v>110</v>
      </c>
    </row>
    <row r="843" spans="1:3" x14ac:dyDescent="0.3">
      <c r="A843">
        <v>68113100</v>
      </c>
      <c r="B843" t="s">
        <v>947</v>
      </c>
      <c r="C843" t="s">
        <v>539</v>
      </c>
    </row>
    <row r="844" spans="1:3" x14ac:dyDescent="0.3">
      <c r="A844">
        <v>68126310</v>
      </c>
      <c r="B844" t="s">
        <v>948</v>
      </c>
      <c r="C844" t="s">
        <v>108</v>
      </c>
    </row>
    <row r="845" spans="1:3" x14ac:dyDescent="0.3">
      <c r="A845">
        <v>68126312</v>
      </c>
      <c r="B845" t="s">
        <v>949</v>
      </c>
      <c r="C845" t="s">
        <v>120</v>
      </c>
    </row>
    <row r="846" spans="1:3" x14ac:dyDescent="0.3">
      <c r="A846">
        <v>68136409</v>
      </c>
      <c r="B846" t="s">
        <v>950</v>
      </c>
      <c r="C846" t="s">
        <v>56</v>
      </c>
    </row>
    <row r="847" spans="1:3" x14ac:dyDescent="0.3">
      <c r="A847">
        <v>68136411</v>
      </c>
      <c r="B847" t="s">
        <v>951</v>
      </c>
      <c r="C847" t="s">
        <v>56</v>
      </c>
    </row>
    <row r="848" spans="1:3" x14ac:dyDescent="0.3">
      <c r="A848">
        <v>68139037</v>
      </c>
      <c r="B848" t="s">
        <v>952</v>
      </c>
      <c r="C848" t="s">
        <v>56</v>
      </c>
    </row>
    <row r="849" spans="1:3" x14ac:dyDescent="0.3">
      <c r="A849">
        <v>68139041</v>
      </c>
      <c r="B849" t="s">
        <v>953</v>
      </c>
      <c r="C849" t="s">
        <v>719</v>
      </c>
    </row>
    <row r="850" spans="1:3" x14ac:dyDescent="0.3">
      <c r="A850">
        <v>68139042</v>
      </c>
      <c r="B850" t="s">
        <v>954</v>
      </c>
      <c r="C850" t="s">
        <v>719</v>
      </c>
    </row>
    <row r="851" spans="1:3" x14ac:dyDescent="0.3">
      <c r="A851">
        <v>68139043</v>
      </c>
      <c r="B851" t="s">
        <v>955</v>
      </c>
      <c r="C851" t="s">
        <v>56</v>
      </c>
    </row>
    <row r="852" spans="1:3" x14ac:dyDescent="0.3">
      <c r="A852">
        <v>68139187</v>
      </c>
      <c r="B852" t="s">
        <v>956</v>
      </c>
      <c r="C852" t="s">
        <v>56</v>
      </c>
    </row>
    <row r="853" spans="1:3" x14ac:dyDescent="0.3">
      <c r="A853">
        <v>68139189</v>
      </c>
      <c r="B853" t="s">
        <v>957</v>
      </c>
      <c r="C853" t="s">
        <v>56</v>
      </c>
    </row>
    <row r="854" spans="1:3" x14ac:dyDescent="0.3">
      <c r="A854">
        <v>68139192</v>
      </c>
      <c r="B854" t="s">
        <v>958</v>
      </c>
      <c r="C854" t="s">
        <v>719</v>
      </c>
    </row>
    <row r="855" spans="1:3" x14ac:dyDescent="0.3">
      <c r="A855">
        <v>68140615</v>
      </c>
      <c r="B855" t="s">
        <v>959</v>
      </c>
      <c r="C855" t="s">
        <v>336</v>
      </c>
    </row>
    <row r="856" spans="1:3" x14ac:dyDescent="0.3">
      <c r="A856">
        <v>68140917</v>
      </c>
      <c r="B856" t="s">
        <v>960</v>
      </c>
      <c r="C856" t="s">
        <v>108</v>
      </c>
    </row>
    <row r="857" spans="1:3" x14ac:dyDescent="0.3">
      <c r="A857">
        <v>68142934</v>
      </c>
      <c r="B857" t="s">
        <v>961</v>
      </c>
      <c r="C857" t="s">
        <v>723</v>
      </c>
    </row>
    <row r="858" spans="1:3" x14ac:dyDescent="0.3">
      <c r="A858">
        <v>68143235</v>
      </c>
      <c r="B858" t="s">
        <v>962</v>
      </c>
      <c r="C858" t="s">
        <v>108</v>
      </c>
    </row>
    <row r="859" spans="1:3" x14ac:dyDescent="0.3">
      <c r="A859">
        <v>68143239</v>
      </c>
      <c r="B859" t="s">
        <v>963</v>
      </c>
      <c r="C859" t="s">
        <v>108</v>
      </c>
    </row>
    <row r="860" spans="1:3" x14ac:dyDescent="0.3">
      <c r="A860">
        <v>68143241</v>
      </c>
      <c r="B860" t="s">
        <v>964</v>
      </c>
      <c r="C860" t="s">
        <v>108</v>
      </c>
    </row>
    <row r="861" spans="1:3" x14ac:dyDescent="0.3">
      <c r="A861">
        <v>68143243</v>
      </c>
      <c r="B861" t="s">
        <v>965</v>
      </c>
      <c r="C861" t="s">
        <v>108</v>
      </c>
    </row>
    <row r="862" spans="1:3" x14ac:dyDescent="0.3">
      <c r="A862">
        <v>68144155</v>
      </c>
      <c r="B862" t="s">
        <v>966</v>
      </c>
      <c r="C862" t="s">
        <v>108</v>
      </c>
    </row>
    <row r="863" spans="1:3" x14ac:dyDescent="0.3">
      <c r="A863">
        <v>68144157</v>
      </c>
      <c r="B863" t="s">
        <v>967</v>
      </c>
      <c r="C863" t="s">
        <v>108</v>
      </c>
    </row>
    <row r="864" spans="1:3" x14ac:dyDescent="0.3">
      <c r="A864">
        <v>68156820</v>
      </c>
      <c r="B864" t="s">
        <v>968</v>
      </c>
      <c r="C864" t="s">
        <v>108</v>
      </c>
    </row>
    <row r="865" spans="1:3" x14ac:dyDescent="0.3">
      <c r="A865">
        <v>68156822</v>
      </c>
      <c r="B865" t="s">
        <v>969</v>
      </c>
      <c r="C865" t="s">
        <v>54</v>
      </c>
    </row>
    <row r="866" spans="1:3" x14ac:dyDescent="0.3">
      <c r="A866">
        <v>68156824</v>
      </c>
      <c r="B866" t="s">
        <v>970</v>
      </c>
      <c r="C866" t="s">
        <v>108</v>
      </c>
    </row>
    <row r="867" spans="1:3" x14ac:dyDescent="0.3">
      <c r="A867">
        <v>68156958</v>
      </c>
      <c r="B867" t="s">
        <v>971</v>
      </c>
      <c r="C867" t="s">
        <v>336</v>
      </c>
    </row>
    <row r="868" spans="1:3" x14ac:dyDescent="0.3">
      <c r="A868">
        <v>68161375</v>
      </c>
      <c r="B868" t="s">
        <v>972</v>
      </c>
      <c r="C868" t="s">
        <v>108</v>
      </c>
    </row>
    <row r="869" spans="1:3" x14ac:dyDescent="0.3">
      <c r="A869">
        <v>68161377</v>
      </c>
      <c r="B869" t="s">
        <v>973</v>
      </c>
      <c r="C869" t="s">
        <v>108</v>
      </c>
    </row>
    <row r="870" spans="1:3" x14ac:dyDescent="0.3">
      <c r="A870">
        <v>68161379</v>
      </c>
      <c r="B870" t="s">
        <v>974</v>
      </c>
      <c r="C870" t="s">
        <v>108</v>
      </c>
    </row>
    <row r="871" spans="1:3" x14ac:dyDescent="0.3">
      <c r="A871">
        <v>68163720</v>
      </c>
      <c r="B871" t="s">
        <v>975</v>
      </c>
      <c r="C871" t="s">
        <v>56</v>
      </c>
    </row>
    <row r="872" spans="1:3" x14ac:dyDescent="0.3">
      <c r="A872">
        <v>68163724</v>
      </c>
      <c r="B872" t="s">
        <v>976</v>
      </c>
      <c r="C872" t="s">
        <v>56</v>
      </c>
    </row>
    <row r="873" spans="1:3" x14ac:dyDescent="0.3">
      <c r="A873">
        <v>68163726</v>
      </c>
      <c r="B873" t="s">
        <v>977</v>
      </c>
      <c r="C873" t="s">
        <v>56</v>
      </c>
    </row>
    <row r="874" spans="1:3" x14ac:dyDescent="0.3">
      <c r="A874">
        <v>68164866</v>
      </c>
      <c r="B874" t="s">
        <v>978</v>
      </c>
      <c r="C874" t="s">
        <v>108</v>
      </c>
    </row>
    <row r="875" spans="1:3" x14ac:dyDescent="0.3">
      <c r="A875">
        <v>68164868</v>
      </c>
      <c r="B875" t="s">
        <v>979</v>
      </c>
      <c r="C875" t="s">
        <v>108</v>
      </c>
    </row>
    <row r="876" spans="1:3" x14ac:dyDescent="0.3">
      <c r="A876">
        <v>68167100</v>
      </c>
      <c r="B876" t="s">
        <v>980</v>
      </c>
      <c r="C876" t="s">
        <v>108</v>
      </c>
    </row>
    <row r="877" spans="1:3" x14ac:dyDescent="0.3">
      <c r="A877">
        <v>68167243</v>
      </c>
      <c r="B877" t="s">
        <v>981</v>
      </c>
      <c r="C877" t="s">
        <v>108</v>
      </c>
    </row>
    <row r="878" spans="1:3" x14ac:dyDescent="0.3">
      <c r="A878">
        <v>68170178</v>
      </c>
      <c r="B878" t="s">
        <v>982</v>
      </c>
      <c r="C878" t="s">
        <v>719</v>
      </c>
    </row>
    <row r="879" spans="1:3" x14ac:dyDescent="0.3">
      <c r="A879">
        <v>68172026</v>
      </c>
      <c r="B879" t="s">
        <v>983</v>
      </c>
      <c r="C879" t="s">
        <v>336</v>
      </c>
    </row>
    <row r="880" spans="1:3" x14ac:dyDescent="0.3">
      <c r="A880">
        <v>68172027</v>
      </c>
      <c r="B880" t="s">
        <v>984</v>
      </c>
      <c r="C880" t="s">
        <v>336</v>
      </c>
    </row>
    <row r="881" spans="1:3" x14ac:dyDescent="0.3">
      <c r="A881">
        <v>68172482</v>
      </c>
      <c r="B881" t="s">
        <v>985</v>
      </c>
      <c r="C881" t="s">
        <v>576</v>
      </c>
    </row>
    <row r="882" spans="1:3" x14ac:dyDescent="0.3">
      <c r="A882">
        <v>68172483</v>
      </c>
      <c r="B882" t="s">
        <v>986</v>
      </c>
      <c r="C882" t="s">
        <v>336</v>
      </c>
    </row>
    <row r="883" spans="1:3" x14ac:dyDescent="0.3">
      <c r="A883">
        <v>68172484</v>
      </c>
      <c r="B883" t="s">
        <v>987</v>
      </c>
      <c r="C883" t="s">
        <v>54</v>
      </c>
    </row>
    <row r="884" spans="1:3" x14ac:dyDescent="0.3">
      <c r="A884">
        <v>68172485</v>
      </c>
      <c r="B884" t="s">
        <v>988</v>
      </c>
      <c r="C884" t="s">
        <v>108</v>
      </c>
    </row>
    <row r="885" spans="1:3" x14ac:dyDescent="0.3">
      <c r="A885">
        <v>68172486</v>
      </c>
      <c r="B885" t="s">
        <v>989</v>
      </c>
      <c r="C885" t="s">
        <v>336</v>
      </c>
    </row>
    <row r="886" spans="1:3" x14ac:dyDescent="0.3">
      <c r="A886">
        <v>68173959</v>
      </c>
      <c r="B886" t="s">
        <v>990</v>
      </c>
      <c r="C886" t="s">
        <v>991</v>
      </c>
    </row>
    <row r="887" spans="1:3" x14ac:dyDescent="0.3">
      <c r="A887">
        <v>68173961</v>
      </c>
      <c r="B887" t="s">
        <v>992</v>
      </c>
      <c r="C887" t="s">
        <v>991</v>
      </c>
    </row>
    <row r="888" spans="1:3" x14ac:dyDescent="0.3">
      <c r="A888">
        <v>68173963</v>
      </c>
      <c r="B888" t="s">
        <v>993</v>
      </c>
      <c r="C888" t="s">
        <v>991</v>
      </c>
    </row>
    <row r="889" spans="1:3" x14ac:dyDescent="0.3">
      <c r="A889">
        <v>68173965</v>
      </c>
      <c r="B889" t="s">
        <v>994</v>
      </c>
      <c r="C889" t="s">
        <v>991</v>
      </c>
    </row>
    <row r="890" spans="1:3" x14ac:dyDescent="0.3">
      <c r="A890">
        <v>68173967</v>
      </c>
      <c r="B890" t="s">
        <v>995</v>
      </c>
      <c r="C890" t="s">
        <v>991</v>
      </c>
    </row>
    <row r="891" spans="1:3" x14ac:dyDescent="0.3">
      <c r="A891">
        <v>68173969</v>
      </c>
      <c r="B891" t="s">
        <v>996</v>
      </c>
      <c r="C891" t="s">
        <v>177</v>
      </c>
    </row>
    <row r="892" spans="1:3" x14ac:dyDescent="0.3">
      <c r="A892">
        <v>68173971</v>
      </c>
      <c r="B892" t="s">
        <v>997</v>
      </c>
      <c r="C892" t="s">
        <v>991</v>
      </c>
    </row>
    <row r="893" spans="1:3" x14ac:dyDescent="0.3">
      <c r="A893">
        <v>68175514</v>
      </c>
      <c r="B893" t="s">
        <v>998</v>
      </c>
      <c r="C893" t="s">
        <v>55</v>
      </c>
    </row>
    <row r="894" spans="1:3" x14ac:dyDescent="0.3">
      <c r="A894">
        <v>68177366</v>
      </c>
      <c r="B894" t="s">
        <v>999</v>
      </c>
      <c r="C894" t="s">
        <v>108</v>
      </c>
    </row>
    <row r="895" spans="1:3" x14ac:dyDescent="0.3">
      <c r="A895">
        <v>68177368</v>
      </c>
      <c r="B895" t="s">
        <v>1000</v>
      </c>
      <c r="C895" t="s">
        <v>576</v>
      </c>
    </row>
    <row r="896" spans="1:3" x14ac:dyDescent="0.3">
      <c r="A896">
        <v>68177379</v>
      </c>
      <c r="B896" t="s">
        <v>1001</v>
      </c>
      <c r="C896" t="s">
        <v>108</v>
      </c>
    </row>
    <row r="897" spans="1:3" x14ac:dyDescent="0.3">
      <c r="A897">
        <v>68177383</v>
      </c>
      <c r="B897" t="s">
        <v>1002</v>
      </c>
      <c r="C897" t="s">
        <v>576</v>
      </c>
    </row>
    <row r="898" spans="1:3" x14ac:dyDescent="0.3">
      <c r="A898">
        <v>68177389</v>
      </c>
      <c r="B898" t="s">
        <v>1003</v>
      </c>
      <c r="C898" t="s">
        <v>108</v>
      </c>
    </row>
    <row r="899" spans="1:3" x14ac:dyDescent="0.3">
      <c r="A899">
        <v>68177391</v>
      </c>
      <c r="B899" t="s">
        <v>1004</v>
      </c>
      <c r="C899" t="s">
        <v>576</v>
      </c>
    </row>
    <row r="900" spans="1:3" x14ac:dyDescent="0.3">
      <c r="A900">
        <v>68178319</v>
      </c>
      <c r="B900" t="s">
        <v>1005</v>
      </c>
      <c r="C900" t="s">
        <v>108</v>
      </c>
    </row>
    <row r="901" spans="1:3" x14ac:dyDescent="0.3">
      <c r="A901">
        <v>68178740</v>
      </c>
      <c r="B901" t="s">
        <v>1006</v>
      </c>
      <c r="C901" t="s">
        <v>108</v>
      </c>
    </row>
    <row r="902" spans="1:3" x14ac:dyDescent="0.3">
      <c r="A902">
        <v>68178743</v>
      </c>
      <c r="B902" t="s">
        <v>1007</v>
      </c>
      <c r="C902" t="s">
        <v>108</v>
      </c>
    </row>
    <row r="903" spans="1:3" x14ac:dyDescent="0.3">
      <c r="A903">
        <v>68178853</v>
      </c>
      <c r="B903" t="s">
        <v>1008</v>
      </c>
      <c r="C903" t="s">
        <v>108</v>
      </c>
    </row>
    <row r="904" spans="1:3" x14ac:dyDescent="0.3">
      <c r="A904">
        <v>68178874</v>
      </c>
      <c r="B904" t="s">
        <v>1009</v>
      </c>
      <c r="C904" t="s">
        <v>108</v>
      </c>
    </row>
    <row r="905" spans="1:3" x14ac:dyDescent="0.3">
      <c r="A905">
        <v>68178877</v>
      </c>
      <c r="B905" t="s">
        <v>1010</v>
      </c>
      <c r="C905" t="s">
        <v>108</v>
      </c>
    </row>
    <row r="906" spans="1:3" x14ac:dyDescent="0.3">
      <c r="A906">
        <v>68178881</v>
      </c>
      <c r="B906" t="s">
        <v>1011</v>
      </c>
      <c r="C906" t="s">
        <v>108</v>
      </c>
    </row>
    <row r="907" spans="1:3" x14ac:dyDescent="0.3">
      <c r="A907">
        <v>68180415</v>
      </c>
      <c r="B907" t="s">
        <v>1012</v>
      </c>
      <c r="C907" t="s">
        <v>56</v>
      </c>
    </row>
    <row r="908" spans="1:3" x14ac:dyDescent="0.3">
      <c r="A908">
        <v>68181852</v>
      </c>
      <c r="B908" t="s">
        <v>1013</v>
      </c>
      <c r="C908" t="s">
        <v>56</v>
      </c>
    </row>
    <row r="909" spans="1:3" x14ac:dyDescent="0.3">
      <c r="A909">
        <v>68181856</v>
      </c>
      <c r="B909" t="s">
        <v>1014</v>
      </c>
      <c r="C909" t="s">
        <v>56</v>
      </c>
    </row>
    <row r="910" spans="1:3" x14ac:dyDescent="0.3">
      <c r="A910">
        <v>68181862</v>
      </c>
      <c r="B910" t="s">
        <v>1015</v>
      </c>
      <c r="C910" t="s">
        <v>55</v>
      </c>
    </row>
    <row r="911" spans="1:3" x14ac:dyDescent="0.3">
      <c r="A911">
        <v>68181864</v>
      </c>
      <c r="B911" t="s">
        <v>1016</v>
      </c>
      <c r="C911" t="s">
        <v>56</v>
      </c>
    </row>
    <row r="912" spans="1:3" x14ac:dyDescent="0.3">
      <c r="A912">
        <v>68181866</v>
      </c>
      <c r="B912" t="s">
        <v>1017</v>
      </c>
      <c r="C912" t="s">
        <v>56</v>
      </c>
    </row>
    <row r="913" spans="1:3" x14ac:dyDescent="0.3">
      <c r="A913">
        <v>68188769</v>
      </c>
      <c r="B913" t="s">
        <v>1018</v>
      </c>
      <c r="C913" t="s">
        <v>120</v>
      </c>
    </row>
    <row r="914" spans="1:3" x14ac:dyDescent="0.3">
      <c r="A914">
        <v>68189899</v>
      </c>
      <c r="B914" t="s">
        <v>1019</v>
      </c>
      <c r="C914" t="s">
        <v>106</v>
      </c>
    </row>
    <row r="915" spans="1:3" x14ac:dyDescent="0.3">
      <c r="A915">
        <v>68192376</v>
      </c>
      <c r="B915" t="s">
        <v>1020</v>
      </c>
      <c r="C915" t="s">
        <v>54</v>
      </c>
    </row>
    <row r="916" spans="1:3" x14ac:dyDescent="0.3">
      <c r="A916">
        <v>68193210</v>
      </c>
      <c r="B916" t="s">
        <v>1021</v>
      </c>
      <c r="C916" t="s">
        <v>108</v>
      </c>
    </row>
    <row r="917" spans="1:3" x14ac:dyDescent="0.3">
      <c r="A917">
        <v>68193213</v>
      </c>
      <c r="B917" t="s">
        <v>1022</v>
      </c>
      <c r="C917" t="s">
        <v>108</v>
      </c>
    </row>
    <row r="918" spans="1:3" x14ac:dyDescent="0.3">
      <c r="A918">
        <v>68193217</v>
      </c>
      <c r="B918" t="s">
        <v>1023</v>
      </c>
      <c r="C918" t="s">
        <v>108</v>
      </c>
    </row>
    <row r="919" spans="1:3" x14ac:dyDescent="0.3">
      <c r="A919">
        <v>68196008</v>
      </c>
      <c r="B919" t="s">
        <v>1024</v>
      </c>
      <c r="C919" t="s">
        <v>56</v>
      </c>
    </row>
    <row r="920" spans="1:3" x14ac:dyDescent="0.3">
      <c r="A920">
        <v>68199514</v>
      </c>
      <c r="B920" t="s">
        <v>1025</v>
      </c>
      <c r="C920" t="s">
        <v>108</v>
      </c>
    </row>
    <row r="921" spans="1:3" x14ac:dyDescent="0.3">
      <c r="A921">
        <v>68199516</v>
      </c>
      <c r="B921" t="s">
        <v>1026</v>
      </c>
      <c r="C921" t="s">
        <v>108</v>
      </c>
    </row>
    <row r="922" spans="1:3" x14ac:dyDescent="0.3">
      <c r="A922">
        <v>68199866</v>
      </c>
      <c r="B922" t="s">
        <v>1027</v>
      </c>
      <c r="C922" t="s">
        <v>56</v>
      </c>
    </row>
    <row r="923" spans="1:3" x14ac:dyDescent="0.3">
      <c r="A923">
        <v>68199868</v>
      </c>
      <c r="B923" t="s">
        <v>1028</v>
      </c>
      <c r="C923" t="s">
        <v>56</v>
      </c>
    </row>
    <row r="924" spans="1:3" x14ac:dyDescent="0.3">
      <c r="A924">
        <v>68202824</v>
      </c>
      <c r="B924" t="s">
        <v>1029</v>
      </c>
      <c r="C924" t="s">
        <v>110</v>
      </c>
    </row>
    <row r="925" spans="1:3" x14ac:dyDescent="0.3">
      <c r="A925">
        <v>68202826</v>
      </c>
      <c r="B925" t="s">
        <v>1030</v>
      </c>
      <c r="C925" t="s">
        <v>110</v>
      </c>
    </row>
    <row r="926" spans="1:3" x14ac:dyDescent="0.3">
      <c r="A926">
        <v>68202828</v>
      </c>
      <c r="B926" t="s">
        <v>1031</v>
      </c>
      <c r="C926" t="s">
        <v>129</v>
      </c>
    </row>
    <row r="927" spans="1:3" x14ac:dyDescent="0.3">
      <c r="A927">
        <v>68207721</v>
      </c>
      <c r="B927" t="s">
        <v>1032</v>
      </c>
      <c r="C927" t="s">
        <v>106</v>
      </c>
    </row>
    <row r="928" spans="1:3" x14ac:dyDescent="0.3">
      <c r="A928">
        <v>68207723</v>
      </c>
      <c r="B928" t="s">
        <v>1033</v>
      </c>
      <c r="C928" t="s">
        <v>108</v>
      </c>
    </row>
    <row r="929" spans="1:3" x14ac:dyDescent="0.3">
      <c r="A929">
        <v>68207725</v>
      </c>
      <c r="B929" t="s">
        <v>1034</v>
      </c>
      <c r="C929" t="s">
        <v>108</v>
      </c>
    </row>
    <row r="930" spans="1:3" x14ac:dyDescent="0.3">
      <c r="A930">
        <v>68223483</v>
      </c>
      <c r="B930" t="s">
        <v>1035</v>
      </c>
      <c r="C930" t="s">
        <v>336</v>
      </c>
    </row>
    <row r="931" spans="1:3" x14ac:dyDescent="0.3">
      <c r="A931">
        <v>68237768</v>
      </c>
      <c r="B931" t="s">
        <v>1036</v>
      </c>
      <c r="C931" t="s">
        <v>336</v>
      </c>
    </row>
    <row r="932" spans="1:3" x14ac:dyDescent="0.3">
      <c r="A932">
        <v>68237922</v>
      </c>
      <c r="B932" t="s">
        <v>1037</v>
      </c>
      <c r="C932" t="s">
        <v>336</v>
      </c>
    </row>
    <row r="933" spans="1:3" x14ac:dyDescent="0.3">
      <c r="A933">
        <v>68267274</v>
      </c>
      <c r="B933" t="s">
        <v>1038</v>
      </c>
      <c r="C933" t="s">
        <v>56</v>
      </c>
    </row>
    <row r="934" spans="1:3" x14ac:dyDescent="0.3">
      <c r="A934">
        <v>68267520</v>
      </c>
      <c r="B934" t="s">
        <v>1039</v>
      </c>
      <c r="C934" t="s">
        <v>108</v>
      </c>
    </row>
    <row r="935" spans="1:3" x14ac:dyDescent="0.3">
      <c r="A935">
        <v>68267522</v>
      </c>
      <c r="B935" t="s">
        <v>1040</v>
      </c>
      <c r="C935" t="s">
        <v>108</v>
      </c>
    </row>
    <row r="936" spans="1:3" x14ac:dyDescent="0.3">
      <c r="A936">
        <v>68267524</v>
      </c>
      <c r="B936" t="s">
        <v>1041</v>
      </c>
      <c r="C936" t="s">
        <v>108</v>
      </c>
    </row>
    <row r="937" spans="1:3" x14ac:dyDescent="0.3">
      <c r="A937">
        <v>68271554</v>
      </c>
      <c r="B937" t="s">
        <v>1042</v>
      </c>
      <c r="C937" t="s">
        <v>723</v>
      </c>
    </row>
    <row r="938" spans="1:3" x14ac:dyDescent="0.3">
      <c r="A938">
        <v>68272039</v>
      </c>
      <c r="B938" t="s">
        <v>1043</v>
      </c>
      <c r="C938" t="s">
        <v>108</v>
      </c>
    </row>
    <row r="939" spans="1:3" x14ac:dyDescent="0.3">
      <c r="A939">
        <v>68272735</v>
      </c>
      <c r="B939" t="s">
        <v>1044</v>
      </c>
      <c r="C939" t="s">
        <v>108</v>
      </c>
    </row>
    <row r="940" spans="1:3" x14ac:dyDescent="0.3">
      <c r="A940">
        <v>68273858</v>
      </c>
      <c r="B940" t="s">
        <v>1045</v>
      </c>
      <c r="C940" t="s">
        <v>108</v>
      </c>
    </row>
    <row r="941" spans="1:3" x14ac:dyDescent="0.3">
      <c r="A941">
        <v>68283107</v>
      </c>
      <c r="B941" t="s">
        <v>1046</v>
      </c>
      <c r="C941" t="s">
        <v>56</v>
      </c>
    </row>
    <row r="942" spans="1:3" x14ac:dyDescent="0.3">
      <c r="A942">
        <v>68299312</v>
      </c>
      <c r="B942" t="s">
        <v>1047</v>
      </c>
      <c r="C942" t="s">
        <v>108</v>
      </c>
    </row>
    <row r="943" spans="1:3" x14ac:dyDescent="0.3">
      <c r="A943">
        <v>68299314</v>
      </c>
      <c r="B943" t="s">
        <v>1048</v>
      </c>
      <c r="C943" t="s">
        <v>108</v>
      </c>
    </row>
    <row r="944" spans="1:3" x14ac:dyDescent="0.3">
      <c r="A944">
        <v>68299316</v>
      </c>
      <c r="B944" t="s">
        <v>1049</v>
      </c>
      <c r="C944" t="s">
        <v>336</v>
      </c>
    </row>
    <row r="945" spans="1:3" x14ac:dyDescent="0.3">
      <c r="A945">
        <v>68299318</v>
      </c>
      <c r="B945" t="s">
        <v>1050</v>
      </c>
      <c r="C945" t="s">
        <v>336</v>
      </c>
    </row>
    <row r="946" spans="1:3" x14ac:dyDescent="0.3">
      <c r="A946">
        <v>68299320</v>
      </c>
      <c r="B946" t="s">
        <v>1051</v>
      </c>
      <c r="C946" t="s">
        <v>336</v>
      </c>
    </row>
    <row r="947" spans="1:3" x14ac:dyDescent="0.3">
      <c r="A947">
        <v>68299324</v>
      </c>
      <c r="B947" t="s">
        <v>1052</v>
      </c>
      <c r="C947" t="s">
        <v>336</v>
      </c>
    </row>
    <row r="948" spans="1:3" x14ac:dyDescent="0.3">
      <c r="A948">
        <v>68299326</v>
      </c>
      <c r="B948" t="s">
        <v>1053</v>
      </c>
      <c r="C948" t="s">
        <v>336</v>
      </c>
    </row>
    <row r="949" spans="1:3" x14ac:dyDescent="0.3">
      <c r="A949">
        <v>68299328</v>
      </c>
      <c r="B949" t="s">
        <v>1054</v>
      </c>
      <c r="C949" t="s">
        <v>336</v>
      </c>
    </row>
    <row r="950" spans="1:3" x14ac:dyDescent="0.3">
      <c r="A950">
        <v>68299330</v>
      </c>
      <c r="B950" t="s">
        <v>1055</v>
      </c>
      <c r="C950" t="s">
        <v>336</v>
      </c>
    </row>
    <row r="951" spans="1:3" x14ac:dyDescent="0.3">
      <c r="A951">
        <v>68299332</v>
      </c>
      <c r="B951" t="s">
        <v>1056</v>
      </c>
      <c r="C951" t="s">
        <v>336</v>
      </c>
    </row>
    <row r="952" spans="1:3" x14ac:dyDescent="0.3">
      <c r="A952">
        <v>68299334</v>
      </c>
      <c r="B952" t="s">
        <v>1057</v>
      </c>
      <c r="C952" t="s">
        <v>336</v>
      </c>
    </row>
    <row r="953" spans="1:3" x14ac:dyDescent="0.3">
      <c r="A953">
        <v>68299337</v>
      </c>
      <c r="B953" t="s">
        <v>1058</v>
      </c>
      <c r="C953" t="s">
        <v>108</v>
      </c>
    </row>
    <row r="954" spans="1:3" x14ac:dyDescent="0.3">
      <c r="A954">
        <v>68299339</v>
      </c>
      <c r="B954" t="s">
        <v>1059</v>
      </c>
      <c r="C954" t="s">
        <v>108</v>
      </c>
    </row>
    <row r="955" spans="1:3" x14ac:dyDescent="0.3">
      <c r="A955">
        <v>68299341</v>
      </c>
      <c r="B955" t="s">
        <v>1060</v>
      </c>
      <c r="C955" t="s">
        <v>108</v>
      </c>
    </row>
    <row r="956" spans="1:3" x14ac:dyDescent="0.3">
      <c r="A956">
        <v>68299343</v>
      </c>
      <c r="B956" t="s">
        <v>1061</v>
      </c>
      <c r="C956" t="s">
        <v>336</v>
      </c>
    </row>
    <row r="957" spans="1:3" x14ac:dyDescent="0.3">
      <c r="A957">
        <v>68299345</v>
      </c>
      <c r="B957" t="s">
        <v>1062</v>
      </c>
      <c r="C957" t="s">
        <v>336</v>
      </c>
    </row>
    <row r="958" spans="1:3" x14ac:dyDescent="0.3">
      <c r="A958">
        <v>68299347</v>
      </c>
      <c r="B958" t="s">
        <v>1063</v>
      </c>
      <c r="C958" t="s">
        <v>336</v>
      </c>
    </row>
    <row r="959" spans="1:3" x14ac:dyDescent="0.3">
      <c r="A959">
        <v>68301396</v>
      </c>
      <c r="B959" t="s">
        <v>1064</v>
      </c>
      <c r="C959" t="s">
        <v>336</v>
      </c>
    </row>
    <row r="960" spans="1:3" x14ac:dyDescent="0.3">
      <c r="A960">
        <v>68301412</v>
      </c>
      <c r="B960" t="s">
        <v>1065</v>
      </c>
      <c r="C960" t="s">
        <v>108</v>
      </c>
    </row>
    <row r="961" spans="1:3" x14ac:dyDescent="0.3">
      <c r="A961">
        <v>68301414</v>
      </c>
      <c r="B961" t="s">
        <v>1066</v>
      </c>
      <c r="C961" t="s">
        <v>106</v>
      </c>
    </row>
    <row r="962" spans="1:3" x14ac:dyDescent="0.3">
      <c r="A962">
        <v>68301416</v>
      </c>
      <c r="B962" t="s">
        <v>1067</v>
      </c>
      <c r="C962" t="s">
        <v>336</v>
      </c>
    </row>
    <row r="963" spans="1:3" x14ac:dyDescent="0.3">
      <c r="A963">
        <v>68302752</v>
      </c>
      <c r="B963" t="s">
        <v>1068</v>
      </c>
      <c r="C963" t="s">
        <v>106</v>
      </c>
    </row>
    <row r="964" spans="1:3" x14ac:dyDescent="0.3">
      <c r="A964">
        <v>68307332</v>
      </c>
      <c r="B964" t="s">
        <v>1069</v>
      </c>
      <c r="C964" t="s">
        <v>336</v>
      </c>
    </row>
    <row r="965" spans="1:3" x14ac:dyDescent="0.3">
      <c r="A965">
        <v>68308034</v>
      </c>
      <c r="B965" t="s">
        <v>1070</v>
      </c>
      <c r="C965" t="s">
        <v>336</v>
      </c>
    </row>
    <row r="966" spans="1:3" x14ac:dyDescent="0.3">
      <c r="A966">
        <v>68334658</v>
      </c>
      <c r="B966" t="s">
        <v>1071</v>
      </c>
      <c r="C966" t="s">
        <v>108</v>
      </c>
    </row>
    <row r="967" spans="1:3" x14ac:dyDescent="0.3">
      <c r="A967">
        <v>68334660</v>
      </c>
      <c r="B967" t="s">
        <v>1072</v>
      </c>
      <c r="C967" t="s">
        <v>108</v>
      </c>
    </row>
    <row r="968" spans="1:3" x14ac:dyDescent="0.3">
      <c r="A968">
        <v>68334662</v>
      </c>
      <c r="B968" t="s">
        <v>1073</v>
      </c>
      <c r="C968" t="s">
        <v>120</v>
      </c>
    </row>
    <row r="969" spans="1:3" x14ac:dyDescent="0.3">
      <c r="A969">
        <v>68335805</v>
      </c>
      <c r="B969" t="s">
        <v>1074</v>
      </c>
      <c r="C969" t="s">
        <v>108</v>
      </c>
    </row>
    <row r="970" spans="1:3" x14ac:dyDescent="0.3">
      <c r="A970">
        <v>68335822</v>
      </c>
      <c r="B970" t="s">
        <v>1075</v>
      </c>
      <c r="C970" t="s">
        <v>120</v>
      </c>
    </row>
    <row r="971" spans="1:3" x14ac:dyDescent="0.3">
      <c r="A971">
        <v>68335826</v>
      </c>
      <c r="B971" t="s">
        <v>1076</v>
      </c>
      <c r="C971" t="s">
        <v>120</v>
      </c>
    </row>
    <row r="972" spans="1:3" x14ac:dyDescent="0.3">
      <c r="A972">
        <v>68335828</v>
      </c>
      <c r="B972" t="s">
        <v>1077</v>
      </c>
      <c r="C972" t="s">
        <v>539</v>
      </c>
    </row>
    <row r="973" spans="1:3" x14ac:dyDescent="0.3">
      <c r="A973">
        <v>68335830</v>
      </c>
      <c r="B973" t="s">
        <v>1078</v>
      </c>
      <c r="C973" t="s">
        <v>120</v>
      </c>
    </row>
    <row r="974" spans="1:3" x14ac:dyDescent="0.3">
      <c r="A974">
        <v>68335832</v>
      </c>
      <c r="B974" t="s">
        <v>1079</v>
      </c>
      <c r="C974" t="s">
        <v>539</v>
      </c>
    </row>
    <row r="975" spans="1:3" x14ac:dyDescent="0.3">
      <c r="A975">
        <v>68335834</v>
      </c>
      <c r="B975" t="s">
        <v>1080</v>
      </c>
      <c r="C975" t="s">
        <v>120</v>
      </c>
    </row>
    <row r="976" spans="1:3" x14ac:dyDescent="0.3">
      <c r="A976">
        <v>68335836</v>
      </c>
      <c r="B976" t="s">
        <v>1081</v>
      </c>
      <c r="C976" t="s">
        <v>576</v>
      </c>
    </row>
    <row r="977" spans="1:3" x14ac:dyDescent="0.3">
      <c r="A977">
        <v>68335838</v>
      </c>
      <c r="B977" t="s">
        <v>1082</v>
      </c>
      <c r="C977" t="s">
        <v>539</v>
      </c>
    </row>
    <row r="978" spans="1:3" x14ac:dyDescent="0.3">
      <c r="A978">
        <v>68335840</v>
      </c>
      <c r="B978" t="s">
        <v>1083</v>
      </c>
      <c r="C978" t="s">
        <v>54</v>
      </c>
    </row>
    <row r="979" spans="1:3" x14ac:dyDescent="0.3">
      <c r="A979">
        <v>68335842</v>
      </c>
      <c r="B979" t="s">
        <v>1084</v>
      </c>
      <c r="C979" t="s">
        <v>120</v>
      </c>
    </row>
    <row r="980" spans="1:3" x14ac:dyDescent="0.3">
      <c r="A980">
        <v>68335844</v>
      </c>
      <c r="B980" t="s">
        <v>1085</v>
      </c>
      <c r="C980" t="s">
        <v>120</v>
      </c>
    </row>
    <row r="981" spans="1:3" x14ac:dyDescent="0.3">
      <c r="A981">
        <v>68335846</v>
      </c>
      <c r="B981" t="s">
        <v>1086</v>
      </c>
      <c r="C981" t="s">
        <v>539</v>
      </c>
    </row>
    <row r="982" spans="1:3" x14ac:dyDescent="0.3">
      <c r="A982">
        <v>68335848</v>
      </c>
      <c r="B982" t="s">
        <v>1087</v>
      </c>
      <c r="C982" t="s">
        <v>539</v>
      </c>
    </row>
    <row r="983" spans="1:3" x14ac:dyDescent="0.3">
      <c r="A983">
        <v>68335850</v>
      </c>
      <c r="B983" t="s">
        <v>1088</v>
      </c>
      <c r="C983" t="s">
        <v>120</v>
      </c>
    </row>
    <row r="984" spans="1:3" x14ac:dyDescent="0.3">
      <c r="A984">
        <v>68335852</v>
      </c>
      <c r="B984" t="s">
        <v>1089</v>
      </c>
      <c r="C984" t="s">
        <v>120</v>
      </c>
    </row>
    <row r="985" spans="1:3" x14ac:dyDescent="0.3">
      <c r="A985">
        <v>68335854</v>
      </c>
      <c r="B985" t="s">
        <v>1090</v>
      </c>
      <c r="C985" t="s">
        <v>120</v>
      </c>
    </row>
    <row r="986" spans="1:3" x14ac:dyDescent="0.3">
      <c r="A986">
        <v>68335856</v>
      </c>
      <c r="B986" t="s">
        <v>1091</v>
      </c>
      <c r="C986" t="s">
        <v>539</v>
      </c>
    </row>
    <row r="987" spans="1:3" x14ac:dyDescent="0.3">
      <c r="A987">
        <v>68335862</v>
      </c>
      <c r="B987" t="s">
        <v>1092</v>
      </c>
      <c r="C987" t="s">
        <v>54</v>
      </c>
    </row>
    <row r="988" spans="1:3" x14ac:dyDescent="0.3">
      <c r="A988">
        <v>68336261</v>
      </c>
      <c r="B988" t="s">
        <v>1093</v>
      </c>
      <c r="C988" t="s">
        <v>576</v>
      </c>
    </row>
    <row r="989" spans="1:3" x14ac:dyDescent="0.3">
      <c r="A989">
        <v>68336267</v>
      </c>
      <c r="B989" t="s">
        <v>1094</v>
      </c>
      <c r="C989" t="s">
        <v>108</v>
      </c>
    </row>
    <row r="990" spans="1:3" x14ac:dyDescent="0.3">
      <c r="A990">
        <v>68336271</v>
      </c>
      <c r="B990" t="s">
        <v>1095</v>
      </c>
      <c r="C990" t="s">
        <v>576</v>
      </c>
    </row>
    <row r="991" spans="1:3" x14ac:dyDescent="0.3">
      <c r="A991">
        <v>68336279</v>
      </c>
      <c r="B991" t="s">
        <v>1096</v>
      </c>
      <c r="C991" t="s">
        <v>108</v>
      </c>
    </row>
    <row r="992" spans="1:3" x14ac:dyDescent="0.3">
      <c r="A992">
        <v>68340781</v>
      </c>
      <c r="B992" t="s">
        <v>1097</v>
      </c>
      <c r="C992" t="s">
        <v>108</v>
      </c>
    </row>
    <row r="993" spans="1:3" x14ac:dyDescent="0.3">
      <c r="A993">
        <v>68340783</v>
      </c>
      <c r="B993" t="s">
        <v>1098</v>
      </c>
      <c r="C993" t="s">
        <v>108</v>
      </c>
    </row>
    <row r="994" spans="1:3" x14ac:dyDescent="0.3">
      <c r="A994">
        <v>68340787</v>
      </c>
      <c r="B994" t="s">
        <v>1099</v>
      </c>
      <c r="C994" t="s">
        <v>108</v>
      </c>
    </row>
    <row r="995" spans="1:3" x14ac:dyDescent="0.3">
      <c r="A995">
        <v>68340999</v>
      </c>
      <c r="B995" t="s">
        <v>1100</v>
      </c>
      <c r="C995" t="s">
        <v>56</v>
      </c>
    </row>
    <row r="996" spans="1:3" x14ac:dyDescent="0.3">
      <c r="A996">
        <v>68342188</v>
      </c>
      <c r="B996" t="s">
        <v>1101</v>
      </c>
      <c r="C996" t="s">
        <v>108</v>
      </c>
    </row>
    <row r="997" spans="1:3" x14ac:dyDescent="0.3">
      <c r="A997">
        <v>68342191</v>
      </c>
      <c r="B997" t="s">
        <v>1102</v>
      </c>
      <c r="C997" t="s">
        <v>108</v>
      </c>
    </row>
    <row r="998" spans="1:3" x14ac:dyDescent="0.3">
      <c r="A998">
        <v>68343880</v>
      </c>
      <c r="B998" t="s">
        <v>1103</v>
      </c>
      <c r="C998" t="s">
        <v>106</v>
      </c>
    </row>
    <row r="999" spans="1:3" x14ac:dyDescent="0.3">
      <c r="A999">
        <v>68343882</v>
      </c>
      <c r="B999" t="s">
        <v>1104</v>
      </c>
      <c r="C999" t="s">
        <v>106</v>
      </c>
    </row>
    <row r="1000" spans="1:3" x14ac:dyDescent="0.3">
      <c r="A1000">
        <v>68345720</v>
      </c>
      <c r="B1000" t="s">
        <v>1105</v>
      </c>
      <c r="C1000" t="s">
        <v>56</v>
      </c>
    </row>
    <row r="1001" spans="1:3" x14ac:dyDescent="0.3">
      <c r="A1001">
        <v>68345722</v>
      </c>
      <c r="B1001" t="s">
        <v>1106</v>
      </c>
      <c r="C1001" t="s">
        <v>110</v>
      </c>
    </row>
    <row r="1002" spans="1:3" x14ac:dyDescent="0.3">
      <c r="A1002">
        <v>68345724</v>
      </c>
      <c r="B1002" t="s">
        <v>1107</v>
      </c>
      <c r="C1002" t="s">
        <v>110</v>
      </c>
    </row>
    <row r="1003" spans="1:3" x14ac:dyDescent="0.3">
      <c r="A1003">
        <v>68346200</v>
      </c>
      <c r="B1003" t="s">
        <v>1108</v>
      </c>
      <c r="C1003" t="s">
        <v>108</v>
      </c>
    </row>
    <row r="1004" spans="1:3" x14ac:dyDescent="0.3">
      <c r="A1004">
        <v>68351331</v>
      </c>
      <c r="B1004" t="s">
        <v>1109</v>
      </c>
      <c r="C1004" t="s">
        <v>108</v>
      </c>
    </row>
    <row r="1005" spans="1:3" x14ac:dyDescent="0.3">
      <c r="A1005">
        <v>68351733</v>
      </c>
      <c r="B1005" t="s">
        <v>1110</v>
      </c>
      <c r="C1005" t="s">
        <v>110</v>
      </c>
    </row>
    <row r="1006" spans="1:3" x14ac:dyDescent="0.3">
      <c r="A1006">
        <v>68351735</v>
      </c>
      <c r="B1006" t="s">
        <v>1111</v>
      </c>
      <c r="C1006" t="s">
        <v>110</v>
      </c>
    </row>
    <row r="1007" spans="1:3" x14ac:dyDescent="0.3">
      <c r="A1007">
        <v>68359275</v>
      </c>
      <c r="B1007" t="s">
        <v>1112</v>
      </c>
      <c r="C1007" t="s">
        <v>336</v>
      </c>
    </row>
    <row r="1008" spans="1:3" x14ac:dyDescent="0.3">
      <c r="A1008">
        <v>68359277</v>
      </c>
      <c r="B1008" t="s">
        <v>1113</v>
      </c>
      <c r="C1008" t="s">
        <v>336</v>
      </c>
    </row>
    <row r="1009" spans="1:3" x14ac:dyDescent="0.3">
      <c r="A1009">
        <v>68360136</v>
      </c>
      <c r="B1009" t="s">
        <v>1114</v>
      </c>
      <c r="C1009" t="s">
        <v>56</v>
      </c>
    </row>
    <row r="1010" spans="1:3" x14ac:dyDescent="0.3">
      <c r="A1010">
        <v>68360543</v>
      </c>
      <c r="B1010" t="s">
        <v>1115</v>
      </c>
      <c r="C1010" t="s">
        <v>108</v>
      </c>
    </row>
    <row r="1011" spans="1:3" x14ac:dyDescent="0.3">
      <c r="A1011">
        <v>68361704</v>
      </c>
      <c r="B1011" t="s">
        <v>1116</v>
      </c>
      <c r="C1011" t="s">
        <v>120</v>
      </c>
    </row>
    <row r="1012" spans="1:3" x14ac:dyDescent="0.3">
      <c r="A1012">
        <v>68361706</v>
      </c>
      <c r="B1012" t="s">
        <v>1117</v>
      </c>
      <c r="C1012" t="s">
        <v>120</v>
      </c>
    </row>
    <row r="1013" spans="1:3" x14ac:dyDescent="0.3">
      <c r="A1013">
        <v>68361759</v>
      </c>
      <c r="B1013" t="s">
        <v>1118</v>
      </c>
      <c r="C1013" t="s">
        <v>106</v>
      </c>
    </row>
    <row r="1014" spans="1:3" x14ac:dyDescent="0.3">
      <c r="A1014">
        <v>68361761</v>
      </c>
      <c r="B1014" t="s">
        <v>1119</v>
      </c>
      <c r="C1014" t="s">
        <v>106</v>
      </c>
    </row>
    <row r="1015" spans="1:3" x14ac:dyDescent="0.3">
      <c r="A1015">
        <v>68362944</v>
      </c>
      <c r="B1015" t="s">
        <v>1120</v>
      </c>
      <c r="C1015" t="s">
        <v>108</v>
      </c>
    </row>
    <row r="1016" spans="1:3" x14ac:dyDescent="0.3">
      <c r="A1016">
        <v>68362945</v>
      </c>
      <c r="B1016" t="s">
        <v>1121</v>
      </c>
      <c r="C1016" t="s">
        <v>108</v>
      </c>
    </row>
    <row r="1017" spans="1:3" x14ac:dyDescent="0.3">
      <c r="A1017">
        <v>68365740</v>
      </c>
      <c r="B1017" t="s">
        <v>1122</v>
      </c>
      <c r="C1017" t="s">
        <v>108</v>
      </c>
    </row>
    <row r="1018" spans="1:3" x14ac:dyDescent="0.3">
      <c r="A1018">
        <v>68365742</v>
      </c>
      <c r="B1018" t="s">
        <v>1123</v>
      </c>
      <c r="C1018" t="s">
        <v>108</v>
      </c>
    </row>
    <row r="1019" spans="1:3" x14ac:dyDescent="0.3">
      <c r="A1019">
        <v>68365771</v>
      </c>
      <c r="B1019" t="s">
        <v>1124</v>
      </c>
      <c r="C1019" t="s">
        <v>108</v>
      </c>
    </row>
    <row r="1020" spans="1:3" x14ac:dyDescent="0.3">
      <c r="A1020">
        <v>68365773</v>
      </c>
      <c r="B1020" t="s">
        <v>1125</v>
      </c>
      <c r="C1020" t="s">
        <v>108</v>
      </c>
    </row>
    <row r="1021" spans="1:3" x14ac:dyDescent="0.3">
      <c r="A1021">
        <v>68366855</v>
      </c>
      <c r="B1021" t="s">
        <v>1126</v>
      </c>
      <c r="C1021" t="s">
        <v>53</v>
      </c>
    </row>
    <row r="1022" spans="1:3" x14ac:dyDescent="0.3">
      <c r="A1022">
        <v>68366859</v>
      </c>
      <c r="B1022" t="s">
        <v>1127</v>
      </c>
      <c r="C1022" t="s">
        <v>336</v>
      </c>
    </row>
    <row r="1023" spans="1:3" x14ac:dyDescent="0.3">
      <c r="A1023">
        <v>68366863</v>
      </c>
      <c r="B1023" t="s">
        <v>1128</v>
      </c>
      <c r="C1023" t="s">
        <v>336</v>
      </c>
    </row>
    <row r="1024" spans="1:3" x14ac:dyDescent="0.3">
      <c r="A1024">
        <v>68366865</v>
      </c>
      <c r="B1024" t="s">
        <v>1129</v>
      </c>
      <c r="C1024" t="s">
        <v>336</v>
      </c>
    </row>
    <row r="1025" spans="1:3" x14ac:dyDescent="0.3">
      <c r="A1025">
        <v>68366869</v>
      </c>
      <c r="B1025" t="s">
        <v>1130</v>
      </c>
      <c r="C1025" t="s">
        <v>414</v>
      </c>
    </row>
    <row r="1026" spans="1:3" x14ac:dyDescent="0.3">
      <c r="A1026">
        <v>68366871</v>
      </c>
      <c r="B1026" t="s">
        <v>1131</v>
      </c>
      <c r="C1026" t="s">
        <v>336</v>
      </c>
    </row>
    <row r="1027" spans="1:3" x14ac:dyDescent="0.3">
      <c r="A1027">
        <v>68366873</v>
      </c>
      <c r="B1027" t="s">
        <v>1132</v>
      </c>
      <c r="C1027" t="s">
        <v>336</v>
      </c>
    </row>
    <row r="1028" spans="1:3" x14ac:dyDescent="0.3">
      <c r="A1028">
        <v>68366875</v>
      </c>
      <c r="B1028" t="s">
        <v>1133</v>
      </c>
      <c r="C1028" t="s">
        <v>336</v>
      </c>
    </row>
    <row r="1029" spans="1:3" x14ac:dyDescent="0.3">
      <c r="A1029">
        <v>68366877</v>
      </c>
      <c r="B1029" t="s">
        <v>1134</v>
      </c>
      <c r="C1029" t="s">
        <v>336</v>
      </c>
    </row>
    <row r="1030" spans="1:3" x14ac:dyDescent="0.3">
      <c r="A1030">
        <v>68366879</v>
      </c>
      <c r="B1030" t="s">
        <v>1135</v>
      </c>
      <c r="C1030" t="s">
        <v>336</v>
      </c>
    </row>
    <row r="1031" spans="1:3" x14ac:dyDescent="0.3">
      <c r="A1031">
        <v>68366881</v>
      </c>
      <c r="B1031" t="s">
        <v>1136</v>
      </c>
      <c r="C1031" t="s">
        <v>336</v>
      </c>
    </row>
    <row r="1032" spans="1:3" x14ac:dyDescent="0.3">
      <c r="A1032">
        <v>68366883</v>
      </c>
      <c r="B1032" t="s">
        <v>1137</v>
      </c>
      <c r="C1032" t="s">
        <v>53</v>
      </c>
    </row>
    <row r="1033" spans="1:3" x14ac:dyDescent="0.3">
      <c r="A1033">
        <v>68366887</v>
      </c>
      <c r="B1033" t="s">
        <v>1138</v>
      </c>
      <c r="C1033" t="s">
        <v>336</v>
      </c>
    </row>
    <row r="1034" spans="1:3" x14ac:dyDescent="0.3">
      <c r="A1034">
        <v>68366889</v>
      </c>
      <c r="B1034" t="s">
        <v>1139</v>
      </c>
      <c r="C1034" t="s">
        <v>336</v>
      </c>
    </row>
    <row r="1035" spans="1:3" x14ac:dyDescent="0.3">
      <c r="A1035">
        <v>68367700</v>
      </c>
      <c r="B1035" t="s">
        <v>1140</v>
      </c>
      <c r="C1035" t="s">
        <v>106</v>
      </c>
    </row>
    <row r="1036" spans="1:3" x14ac:dyDescent="0.3">
      <c r="A1036">
        <v>68367702</v>
      </c>
      <c r="B1036" t="s">
        <v>1141</v>
      </c>
      <c r="C1036" t="s">
        <v>106</v>
      </c>
    </row>
    <row r="1037" spans="1:3" x14ac:dyDescent="0.3">
      <c r="A1037">
        <v>68369306</v>
      </c>
      <c r="B1037" t="s">
        <v>1142</v>
      </c>
      <c r="C1037" t="s">
        <v>336</v>
      </c>
    </row>
    <row r="1038" spans="1:3" x14ac:dyDescent="0.3">
      <c r="A1038">
        <v>68369313</v>
      </c>
      <c r="B1038" t="s">
        <v>1143</v>
      </c>
      <c r="C1038" t="s">
        <v>336</v>
      </c>
    </row>
    <row r="1039" spans="1:3" x14ac:dyDescent="0.3">
      <c r="A1039">
        <v>68369908</v>
      </c>
      <c r="B1039" t="s">
        <v>1144</v>
      </c>
      <c r="C1039" t="s">
        <v>108</v>
      </c>
    </row>
    <row r="1040" spans="1:3" x14ac:dyDescent="0.3">
      <c r="A1040">
        <v>68370513</v>
      </c>
      <c r="B1040" t="s">
        <v>1145</v>
      </c>
      <c r="C1040" t="s">
        <v>336</v>
      </c>
    </row>
    <row r="1041" spans="1:3" x14ac:dyDescent="0.3">
      <c r="A1041">
        <v>68370520</v>
      </c>
      <c r="B1041" t="s">
        <v>1146</v>
      </c>
      <c r="C1041" t="s">
        <v>336</v>
      </c>
    </row>
    <row r="1042" spans="1:3" x14ac:dyDescent="0.3">
      <c r="A1042">
        <v>68370522</v>
      </c>
      <c r="B1042" t="s">
        <v>1147</v>
      </c>
      <c r="C1042" t="s">
        <v>108</v>
      </c>
    </row>
    <row r="1043" spans="1:3" x14ac:dyDescent="0.3">
      <c r="A1043">
        <v>68372934</v>
      </c>
      <c r="B1043" t="s">
        <v>1148</v>
      </c>
      <c r="C1043" t="s">
        <v>108</v>
      </c>
    </row>
    <row r="1044" spans="1:3" x14ac:dyDescent="0.3">
      <c r="A1044">
        <v>68376323</v>
      </c>
      <c r="B1044" t="s">
        <v>1149</v>
      </c>
      <c r="C1044" t="s">
        <v>108</v>
      </c>
    </row>
    <row r="1045" spans="1:3" x14ac:dyDescent="0.3">
      <c r="A1045">
        <v>68376325</v>
      </c>
      <c r="B1045" t="s">
        <v>1150</v>
      </c>
      <c r="C1045" t="s">
        <v>108</v>
      </c>
    </row>
    <row r="1046" spans="1:3" x14ac:dyDescent="0.3">
      <c r="A1046">
        <v>68378149</v>
      </c>
      <c r="B1046" t="s">
        <v>1151</v>
      </c>
      <c r="C1046" t="s">
        <v>108</v>
      </c>
    </row>
    <row r="1047" spans="1:3" x14ac:dyDescent="0.3">
      <c r="A1047">
        <v>68378151</v>
      </c>
      <c r="B1047" t="s">
        <v>1152</v>
      </c>
      <c r="C1047" t="s">
        <v>108</v>
      </c>
    </row>
    <row r="1048" spans="1:3" x14ac:dyDescent="0.3">
      <c r="A1048">
        <v>68378155</v>
      </c>
      <c r="B1048" t="s">
        <v>1153</v>
      </c>
      <c r="C1048" t="s">
        <v>108</v>
      </c>
    </row>
    <row r="1049" spans="1:3" x14ac:dyDescent="0.3">
      <c r="A1049">
        <v>68378159</v>
      </c>
      <c r="B1049" t="s">
        <v>1154</v>
      </c>
      <c r="C1049" t="s">
        <v>108</v>
      </c>
    </row>
    <row r="1050" spans="1:3" x14ac:dyDescent="0.3">
      <c r="A1050">
        <v>68378163</v>
      </c>
      <c r="B1050" t="s">
        <v>1155</v>
      </c>
      <c r="C1050" t="s">
        <v>108</v>
      </c>
    </row>
    <row r="1051" spans="1:3" x14ac:dyDescent="0.3">
      <c r="A1051">
        <v>68379752</v>
      </c>
      <c r="B1051" t="s">
        <v>1156</v>
      </c>
      <c r="C1051" t="s">
        <v>108</v>
      </c>
    </row>
    <row r="1052" spans="1:3" x14ac:dyDescent="0.3">
      <c r="A1052">
        <v>68379755</v>
      </c>
      <c r="B1052" t="s">
        <v>1157</v>
      </c>
      <c r="C1052" t="s">
        <v>108</v>
      </c>
    </row>
    <row r="1053" spans="1:3" x14ac:dyDescent="0.3">
      <c r="A1053">
        <v>68380816</v>
      </c>
      <c r="B1053" t="s">
        <v>1158</v>
      </c>
      <c r="C1053" t="s">
        <v>589</v>
      </c>
    </row>
    <row r="1054" spans="1:3" x14ac:dyDescent="0.3">
      <c r="A1054">
        <v>68383852</v>
      </c>
      <c r="B1054" t="s">
        <v>1159</v>
      </c>
      <c r="C1054" t="s">
        <v>336</v>
      </c>
    </row>
    <row r="1055" spans="1:3" x14ac:dyDescent="0.3">
      <c r="A1055">
        <v>68383857</v>
      </c>
      <c r="B1055" t="s">
        <v>1160</v>
      </c>
      <c r="C1055" t="s">
        <v>336</v>
      </c>
    </row>
    <row r="1056" spans="1:3" x14ac:dyDescent="0.3">
      <c r="A1056">
        <v>68383860</v>
      </c>
      <c r="B1056" t="s">
        <v>1161</v>
      </c>
      <c r="C1056" t="s">
        <v>53</v>
      </c>
    </row>
    <row r="1057" spans="1:3" x14ac:dyDescent="0.3">
      <c r="A1057">
        <v>68383864</v>
      </c>
      <c r="B1057" t="s">
        <v>1162</v>
      </c>
      <c r="C1057" t="s">
        <v>336</v>
      </c>
    </row>
    <row r="1058" spans="1:3" x14ac:dyDescent="0.3">
      <c r="A1058">
        <v>68383867</v>
      </c>
      <c r="B1058" t="s">
        <v>1163</v>
      </c>
      <c r="C1058" t="s">
        <v>336</v>
      </c>
    </row>
    <row r="1059" spans="1:3" x14ac:dyDescent="0.3">
      <c r="A1059">
        <v>68383869</v>
      </c>
      <c r="B1059" t="s">
        <v>1164</v>
      </c>
      <c r="C1059" t="s">
        <v>336</v>
      </c>
    </row>
    <row r="1060" spans="1:3" x14ac:dyDescent="0.3">
      <c r="A1060">
        <v>68383872</v>
      </c>
      <c r="B1060" t="s">
        <v>1165</v>
      </c>
      <c r="C1060" t="s">
        <v>53</v>
      </c>
    </row>
    <row r="1061" spans="1:3" x14ac:dyDescent="0.3">
      <c r="A1061">
        <v>68386777</v>
      </c>
      <c r="B1061" t="s">
        <v>1166</v>
      </c>
      <c r="C1061" t="s">
        <v>336</v>
      </c>
    </row>
    <row r="1062" spans="1:3" x14ac:dyDescent="0.3">
      <c r="A1062">
        <v>68392651</v>
      </c>
      <c r="B1062" t="s">
        <v>1167</v>
      </c>
      <c r="C1062" t="s">
        <v>108</v>
      </c>
    </row>
    <row r="1063" spans="1:3" x14ac:dyDescent="0.3">
      <c r="A1063">
        <v>68392653</v>
      </c>
      <c r="B1063" t="s">
        <v>1168</v>
      </c>
      <c r="C1063" t="s">
        <v>108</v>
      </c>
    </row>
    <row r="1064" spans="1:3" x14ac:dyDescent="0.3">
      <c r="A1064">
        <v>68392655</v>
      </c>
      <c r="B1064" t="s">
        <v>1169</v>
      </c>
      <c r="C1064" t="s">
        <v>108</v>
      </c>
    </row>
    <row r="1065" spans="1:3" x14ac:dyDescent="0.3">
      <c r="A1065">
        <v>68392657</v>
      </c>
      <c r="B1065" t="s">
        <v>1170</v>
      </c>
      <c r="C1065" t="s">
        <v>108</v>
      </c>
    </row>
    <row r="1066" spans="1:3" x14ac:dyDescent="0.3">
      <c r="A1066">
        <v>68392659</v>
      </c>
      <c r="B1066" t="s">
        <v>1171</v>
      </c>
      <c r="C1066" t="s">
        <v>108</v>
      </c>
    </row>
    <row r="1067" spans="1:3" x14ac:dyDescent="0.3">
      <c r="A1067">
        <v>68392663</v>
      </c>
      <c r="B1067" t="s">
        <v>1172</v>
      </c>
      <c r="C1067" t="s">
        <v>108</v>
      </c>
    </row>
    <row r="1068" spans="1:3" x14ac:dyDescent="0.3">
      <c r="A1068">
        <v>68392665</v>
      </c>
      <c r="B1068" t="s">
        <v>1173</v>
      </c>
      <c r="C1068" t="s">
        <v>108</v>
      </c>
    </row>
    <row r="1069" spans="1:3" x14ac:dyDescent="0.3">
      <c r="A1069">
        <v>68392669</v>
      </c>
      <c r="B1069" t="s">
        <v>1174</v>
      </c>
      <c r="C1069" t="s">
        <v>108</v>
      </c>
    </row>
    <row r="1070" spans="1:3" x14ac:dyDescent="0.3">
      <c r="A1070">
        <v>68392682</v>
      </c>
      <c r="B1070" t="s">
        <v>1175</v>
      </c>
      <c r="C1070" t="s">
        <v>54</v>
      </c>
    </row>
    <row r="1071" spans="1:3" x14ac:dyDescent="0.3">
      <c r="A1071">
        <v>68392686</v>
      </c>
      <c r="B1071" t="s">
        <v>1176</v>
      </c>
      <c r="C1071" t="s">
        <v>120</v>
      </c>
    </row>
    <row r="1072" spans="1:3" x14ac:dyDescent="0.3">
      <c r="A1072">
        <v>68405310</v>
      </c>
      <c r="B1072" t="s">
        <v>1177</v>
      </c>
      <c r="C1072" t="s">
        <v>108</v>
      </c>
    </row>
    <row r="1073" spans="1:3" x14ac:dyDescent="0.3">
      <c r="A1073">
        <v>68405312</v>
      </c>
      <c r="B1073" t="s">
        <v>1178</v>
      </c>
      <c r="C1073" t="s">
        <v>414</v>
      </c>
    </row>
    <row r="1074" spans="1:3" x14ac:dyDescent="0.3">
      <c r="A1074">
        <v>68408277</v>
      </c>
      <c r="B1074" t="s">
        <v>1179</v>
      </c>
      <c r="C1074" t="s">
        <v>336</v>
      </c>
    </row>
    <row r="1075" spans="1:3" x14ac:dyDescent="0.3">
      <c r="A1075">
        <v>68408279</v>
      </c>
      <c r="B1075" t="s">
        <v>1180</v>
      </c>
      <c r="C1075" t="s">
        <v>336</v>
      </c>
    </row>
    <row r="1076" spans="1:3" x14ac:dyDescent="0.3">
      <c r="A1076">
        <v>68408281</v>
      </c>
      <c r="B1076" t="s">
        <v>1181</v>
      </c>
      <c r="C1076" t="s">
        <v>336</v>
      </c>
    </row>
    <row r="1077" spans="1:3" x14ac:dyDescent="0.3">
      <c r="A1077">
        <v>68408283</v>
      </c>
      <c r="B1077" t="s">
        <v>1182</v>
      </c>
      <c r="C1077" t="s">
        <v>336</v>
      </c>
    </row>
    <row r="1078" spans="1:3" x14ac:dyDescent="0.3">
      <c r="A1078">
        <v>68408287</v>
      </c>
      <c r="B1078" t="s">
        <v>1183</v>
      </c>
      <c r="C1078" t="s">
        <v>336</v>
      </c>
    </row>
    <row r="1079" spans="1:3" x14ac:dyDescent="0.3">
      <c r="A1079">
        <v>68408289</v>
      </c>
      <c r="B1079" t="s">
        <v>1184</v>
      </c>
      <c r="C1079" t="s">
        <v>336</v>
      </c>
    </row>
    <row r="1080" spans="1:3" x14ac:dyDescent="0.3">
      <c r="A1080">
        <v>68408291</v>
      </c>
      <c r="B1080" t="s">
        <v>1185</v>
      </c>
      <c r="C1080" t="s">
        <v>336</v>
      </c>
    </row>
    <row r="1081" spans="1:3" x14ac:dyDescent="0.3">
      <c r="A1081">
        <v>68408461</v>
      </c>
      <c r="B1081" t="s">
        <v>1186</v>
      </c>
      <c r="C1081" t="s">
        <v>56</v>
      </c>
    </row>
    <row r="1082" spans="1:3" x14ac:dyDescent="0.3">
      <c r="A1082">
        <v>68409380</v>
      </c>
      <c r="B1082" t="s">
        <v>1187</v>
      </c>
      <c r="C1082" t="s">
        <v>106</v>
      </c>
    </row>
    <row r="1083" spans="1:3" x14ac:dyDescent="0.3">
      <c r="A1083">
        <v>68410444</v>
      </c>
      <c r="B1083" t="s">
        <v>1188</v>
      </c>
      <c r="C1083" t="s">
        <v>336</v>
      </c>
    </row>
    <row r="1084" spans="1:3" x14ac:dyDescent="0.3">
      <c r="A1084">
        <v>68410446</v>
      </c>
      <c r="B1084" t="s">
        <v>1189</v>
      </c>
      <c r="C1084" t="s">
        <v>336</v>
      </c>
    </row>
    <row r="1085" spans="1:3" x14ac:dyDescent="0.3">
      <c r="A1085">
        <v>68410450</v>
      </c>
      <c r="B1085" t="s">
        <v>1190</v>
      </c>
      <c r="C1085" t="s">
        <v>336</v>
      </c>
    </row>
    <row r="1086" spans="1:3" x14ac:dyDescent="0.3">
      <c r="A1086">
        <v>68410452</v>
      </c>
      <c r="B1086" t="s">
        <v>1191</v>
      </c>
      <c r="C1086" t="s">
        <v>336</v>
      </c>
    </row>
    <row r="1087" spans="1:3" x14ac:dyDescent="0.3">
      <c r="A1087">
        <v>68410454</v>
      </c>
      <c r="B1087" t="s">
        <v>1192</v>
      </c>
      <c r="C1087" t="s">
        <v>246</v>
      </c>
    </row>
    <row r="1088" spans="1:3" x14ac:dyDescent="0.3">
      <c r="A1088">
        <v>68415215</v>
      </c>
      <c r="B1088" t="s">
        <v>1193</v>
      </c>
      <c r="C1088" t="s">
        <v>414</v>
      </c>
    </row>
    <row r="1089" spans="1:3" x14ac:dyDescent="0.3">
      <c r="A1089">
        <v>68418516</v>
      </c>
      <c r="B1089" t="s">
        <v>1194</v>
      </c>
      <c r="C1089" t="s">
        <v>108</v>
      </c>
    </row>
    <row r="1090" spans="1:3" x14ac:dyDescent="0.3">
      <c r="A1090">
        <v>68418521</v>
      </c>
      <c r="B1090" t="s">
        <v>1195</v>
      </c>
      <c r="C1090" t="s">
        <v>1196</v>
      </c>
    </row>
    <row r="1091" spans="1:3" x14ac:dyDescent="0.3">
      <c r="A1091">
        <v>68418525</v>
      </c>
      <c r="B1091" t="s">
        <v>1197</v>
      </c>
      <c r="C1091" t="s">
        <v>336</v>
      </c>
    </row>
    <row r="1092" spans="1:3" x14ac:dyDescent="0.3">
      <c r="A1092">
        <v>68418528</v>
      </c>
      <c r="B1092" t="s">
        <v>1198</v>
      </c>
      <c r="C1092" t="s">
        <v>336</v>
      </c>
    </row>
    <row r="1093" spans="1:3" x14ac:dyDescent="0.3">
      <c r="A1093">
        <v>68418530</v>
      </c>
      <c r="B1093" t="s">
        <v>1199</v>
      </c>
      <c r="C1093" t="s">
        <v>336</v>
      </c>
    </row>
    <row r="1094" spans="1:3" x14ac:dyDescent="0.3">
      <c r="A1094">
        <v>68418534</v>
      </c>
      <c r="B1094" t="s">
        <v>1200</v>
      </c>
      <c r="C1094" t="s">
        <v>108</v>
      </c>
    </row>
    <row r="1095" spans="1:3" x14ac:dyDescent="0.3">
      <c r="A1095">
        <v>68418536</v>
      </c>
      <c r="B1095" t="s">
        <v>1201</v>
      </c>
      <c r="C1095" t="s">
        <v>1196</v>
      </c>
    </row>
    <row r="1096" spans="1:3" x14ac:dyDescent="0.3">
      <c r="A1096">
        <v>68418538</v>
      </c>
      <c r="B1096" t="s">
        <v>1202</v>
      </c>
      <c r="C1096" t="s">
        <v>336</v>
      </c>
    </row>
    <row r="1097" spans="1:3" x14ac:dyDescent="0.3">
      <c r="A1097">
        <v>68418540</v>
      </c>
      <c r="B1097" t="s">
        <v>1203</v>
      </c>
      <c r="C1097" t="s">
        <v>336</v>
      </c>
    </row>
    <row r="1098" spans="1:3" x14ac:dyDescent="0.3">
      <c r="A1098">
        <v>68418546</v>
      </c>
      <c r="B1098" t="s">
        <v>1204</v>
      </c>
      <c r="C1098" t="s">
        <v>108</v>
      </c>
    </row>
    <row r="1099" spans="1:3" x14ac:dyDescent="0.3">
      <c r="A1099">
        <v>68418548</v>
      </c>
      <c r="B1099" t="s">
        <v>1205</v>
      </c>
      <c r="C1099" t="s">
        <v>181</v>
      </c>
    </row>
    <row r="1100" spans="1:3" x14ac:dyDescent="0.3">
      <c r="A1100">
        <v>68418550</v>
      </c>
      <c r="B1100" t="s">
        <v>1206</v>
      </c>
      <c r="C1100" t="s">
        <v>336</v>
      </c>
    </row>
    <row r="1101" spans="1:3" x14ac:dyDescent="0.3">
      <c r="A1101">
        <v>68418552</v>
      </c>
      <c r="B1101" t="s">
        <v>1207</v>
      </c>
      <c r="C1101" t="s">
        <v>336</v>
      </c>
    </row>
    <row r="1102" spans="1:3" x14ac:dyDescent="0.3">
      <c r="A1102">
        <v>68418554</v>
      </c>
      <c r="B1102" t="s">
        <v>1208</v>
      </c>
      <c r="C1102" t="s">
        <v>336</v>
      </c>
    </row>
    <row r="1103" spans="1:3" x14ac:dyDescent="0.3">
      <c r="A1103">
        <v>68418558</v>
      </c>
      <c r="B1103" t="s">
        <v>1209</v>
      </c>
      <c r="C1103" t="s">
        <v>120</v>
      </c>
    </row>
    <row r="1104" spans="1:3" x14ac:dyDescent="0.3">
      <c r="A1104">
        <v>68418560</v>
      </c>
      <c r="B1104" t="s">
        <v>1210</v>
      </c>
      <c r="C1104" t="s">
        <v>104</v>
      </c>
    </row>
    <row r="1105" spans="1:3" x14ac:dyDescent="0.3">
      <c r="A1105">
        <v>68418563</v>
      </c>
      <c r="B1105" t="s">
        <v>1211</v>
      </c>
      <c r="C1105" t="s">
        <v>336</v>
      </c>
    </row>
    <row r="1106" spans="1:3" x14ac:dyDescent="0.3">
      <c r="A1106">
        <v>68418565</v>
      </c>
      <c r="B1106" t="s">
        <v>1212</v>
      </c>
      <c r="C1106" t="s">
        <v>336</v>
      </c>
    </row>
    <row r="1107" spans="1:3" x14ac:dyDescent="0.3">
      <c r="A1107">
        <v>68418567</v>
      </c>
      <c r="B1107" t="s">
        <v>1213</v>
      </c>
      <c r="C1107" t="s">
        <v>336</v>
      </c>
    </row>
    <row r="1108" spans="1:3" x14ac:dyDescent="0.3">
      <c r="A1108">
        <v>68418571</v>
      </c>
      <c r="B1108" t="s">
        <v>1214</v>
      </c>
      <c r="C1108" t="s">
        <v>108</v>
      </c>
    </row>
    <row r="1109" spans="1:3" x14ac:dyDescent="0.3">
      <c r="A1109">
        <v>68418573</v>
      </c>
      <c r="B1109" t="s">
        <v>1215</v>
      </c>
      <c r="C1109" t="s">
        <v>104</v>
      </c>
    </row>
    <row r="1110" spans="1:3" x14ac:dyDescent="0.3">
      <c r="A1110">
        <v>68418575</v>
      </c>
      <c r="B1110" t="s">
        <v>1216</v>
      </c>
      <c r="C1110" t="s">
        <v>336</v>
      </c>
    </row>
    <row r="1111" spans="1:3" x14ac:dyDescent="0.3">
      <c r="A1111">
        <v>68418589</v>
      </c>
      <c r="B1111" t="s">
        <v>1217</v>
      </c>
      <c r="C1111" t="s">
        <v>336</v>
      </c>
    </row>
    <row r="1112" spans="1:3" x14ac:dyDescent="0.3">
      <c r="A1112">
        <v>68418598</v>
      </c>
      <c r="B1112" t="s">
        <v>1218</v>
      </c>
      <c r="C1112" t="s">
        <v>336</v>
      </c>
    </row>
    <row r="1113" spans="1:3" x14ac:dyDescent="0.3">
      <c r="A1113">
        <v>68428549</v>
      </c>
      <c r="B1113" t="s">
        <v>1219</v>
      </c>
      <c r="C1113" t="s">
        <v>54</v>
      </c>
    </row>
    <row r="1114" spans="1:3" x14ac:dyDescent="0.3">
      <c r="A1114">
        <v>68430335</v>
      </c>
      <c r="B1114" t="s">
        <v>1220</v>
      </c>
      <c r="C1114" t="s">
        <v>54</v>
      </c>
    </row>
    <row r="1115" spans="1:3" x14ac:dyDescent="0.3">
      <c r="A1115">
        <v>68431707</v>
      </c>
      <c r="B1115" t="s">
        <v>1221</v>
      </c>
      <c r="C1115" t="s">
        <v>56</v>
      </c>
    </row>
    <row r="1116" spans="1:3" x14ac:dyDescent="0.3">
      <c r="A1116">
        <v>68433595</v>
      </c>
      <c r="B1116" t="s">
        <v>1222</v>
      </c>
      <c r="C1116" t="s">
        <v>108</v>
      </c>
    </row>
    <row r="1117" spans="1:3" x14ac:dyDescent="0.3">
      <c r="A1117">
        <v>68435789</v>
      </c>
      <c r="B1117" t="s">
        <v>1223</v>
      </c>
      <c r="C1117" t="s">
        <v>336</v>
      </c>
    </row>
    <row r="1118" spans="1:3" x14ac:dyDescent="0.3">
      <c r="A1118">
        <v>68435794</v>
      </c>
      <c r="B1118" t="s">
        <v>1224</v>
      </c>
      <c r="C1118" t="s">
        <v>336</v>
      </c>
    </row>
    <row r="1119" spans="1:3" x14ac:dyDescent="0.3">
      <c r="A1119">
        <v>68435858</v>
      </c>
      <c r="B1119" t="s">
        <v>1225</v>
      </c>
      <c r="C1119" t="s">
        <v>336</v>
      </c>
    </row>
    <row r="1120" spans="1:3" x14ac:dyDescent="0.3">
      <c r="A1120">
        <v>68435865</v>
      </c>
      <c r="B1120" t="s">
        <v>1226</v>
      </c>
      <c r="C1120" t="s">
        <v>336</v>
      </c>
    </row>
    <row r="1121" spans="1:3" x14ac:dyDescent="0.3">
      <c r="A1121">
        <v>68437311</v>
      </c>
      <c r="B1121" t="s">
        <v>1227</v>
      </c>
      <c r="C1121" t="s">
        <v>106</v>
      </c>
    </row>
    <row r="1122" spans="1:3" x14ac:dyDescent="0.3">
      <c r="A1122">
        <v>68437313</v>
      </c>
      <c r="B1122" t="s">
        <v>1228</v>
      </c>
      <c r="C1122" t="s">
        <v>106</v>
      </c>
    </row>
    <row r="1123" spans="1:3" x14ac:dyDescent="0.3">
      <c r="A1123">
        <v>68437315</v>
      </c>
      <c r="B1123" t="s">
        <v>1229</v>
      </c>
      <c r="C1123" t="s">
        <v>106</v>
      </c>
    </row>
    <row r="1124" spans="1:3" x14ac:dyDescent="0.3">
      <c r="A1124">
        <v>68437317</v>
      </c>
      <c r="B1124" t="s">
        <v>1230</v>
      </c>
      <c r="C1124" t="s">
        <v>106</v>
      </c>
    </row>
    <row r="1125" spans="1:3" x14ac:dyDescent="0.3">
      <c r="A1125">
        <v>68437319</v>
      </c>
      <c r="B1125" t="s">
        <v>1231</v>
      </c>
      <c r="C1125" t="s">
        <v>106</v>
      </c>
    </row>
    <row r="1126" spans="1:3" x14ac:dyDescent="0.3">
      <c r="A1126">
        <v>68438687</v>
      </c>
      <c r="B1126" t="s">
        <v>1232</v>
      </c>
      <c r="C1126" t="s">
        <v>108</v>
      </c>
    </row>
    <row r="1127" spans="1:3" x14ac:dyDescent="0.3">
      <c r="A1127">
        <v>68438693</v>
      </c>
      <c r="B1127" t="s">
        <v>1233</v>
      </c>
      <c r="C1127" t="s">
        <v>108</v>
      </c>
    </row>
    <row r="1128" spans="1:3" x14ac:dyDescent="0.3">
      <c r="A1128">
        <v>68439888</v>
      </c>
      <c r="B1128" t="s">
        <v>1234</v>
      </c>
      <c r="C1128" t="s">
        <v>53</v>
      </c>
    </row>
    <row r="1129" spans="1:3" x14ac:dyDescent="0.3">
      <c r="A1129">
        <v>68439889</v>
      </c>
      <c r="B1129" t="s">
        <v>1235</v>
      </c>
      <c r="C1129" t="s">
        <v>414</v>
      </c>
    </row>
    <row r="1130" spans="1:3" x14ac:dyDescent="0.3">
      <c r="A1130">
        <v>68442505</v>
      </c>
      <c r="B1130" t="s">
        <v>1236</v>
      </c>
      <c r="C1130" t="s">
        <v>108</v>
      </c>
    </row>
    <row r="1131" spans="1:3" x14ac:dyDescent="0.3">
      <c r="A1131">
        <v>68444504</v>
      </c>
      <c r="B1131" t="s">
        <v>1237</v>
      </c>
      <c r="C1131" t="s">
        <v>336</v>
      </c>
    </row>
    <row r="1132" spans="1:3" x14ac:dyDescent="0.3">
      <c r="A1132">
        <v>68444785</v>
      </c>
      <c r="B1132" t="s">
        <v>1238</v>
      </c>
      <c r="C1132" t="s">
        <v>336</v>
      </c>
    </row>
    <row r="1133" spans="1:3" x14ac:dyDescent="0.3">
      <c r="A1133">
        <v>68445865</v>
      </c>
      <c r="B1133" t="s">
        <v>1239</v>
      </c>
      <c r="C1133" t="s">
        <v>108</v>
      </c>
    </row>
    <row r="1134" spans="1:3" x14ac:dyDescent="0.3">
      <c r="A1134">
        <v>68448913</v>
      </c>
      <c r="B1134" t="s">
        <v>1240</v>
      </c>
      <c r="C1134" t="s">
        <v>108</v>
      </c>
    </row>
    <row r="1135" spans="1:3" x14ac:dyDescent="0.3">
      <c r="A1135">
        <v>68448915</v>
      </c>
      <c r="B1135" t="s">
        <v>1241</v>
      </c>
      <c r="C1135" t="s">
        <v>108</v>
      </c>
    </row>
    <row r="1136" spans="1:3" x14ac:dyDescent="0.3">
      <c r="A1136">
        <v>68448917</v>
      </c>
      <c r="B1136" t="s">
        <v>1242</v>
      </c>
      <c r="C1136" t="s">
        <v>108</v>
      </c>
    </row>
    <row r="1137" spans="1:3" x14ac:dyDescent="0.3">
      <c r="A1137">
        <v>68449676</v>
      </c>
      <c r="B1137" t="s">
        <v>1243</v>
      </c>
      <c r="C1137" t="s">
        <v>108</v>
      </c>
    </row>
    <row r="1138" spans="1:3" x14ac:dyDescent="0.3">
      <c r="A1138">
        <v>68452663</v>
      </c>
      <c r="B1138" t="s">
        <v>1244</v>
      </c>
      <c r="C1138" t="s">
        <v>336</v>
      </c>
    </row>
    <row r="1139" spans="1:3" x14ac:dyDescent="0.3">
      <c r="A1139">
        <v>68452667</v>
      </c>
      <c r="B1139" t="s">
        <v>1245</v>
      </c>
      <c r="C1139" t="s">
        <v>336</v>
      </c>
    </row>
    <row r="1140" spans="1:3" x14ac:dyDescent="0.3">
      <c r="A1140">
        <v>68454586</v>
      </c>
      <c r="B1140" t="s">
        <v>1246</v>
      </c>
      <c r="C1140" t="s">
        <v>56</v>
      </c>
    </row>
    <row r="1141" spans="1:3" x14ac:dyDescent="0.3">
      <c r="A1141">
        <v>68454588</v>
      </c>
      <c r="B1141" t="s">
        <v>1247</v>
      </c>
      <c r="C1141" t="s">
        <v>56</v>
      </c>
    </row>
    <row r="1142" spans="1:3" x14ac:dyDescent="0.3">
      <c r="A1142">
        <v>68455269</v>
      </c>
      <c r="B1142" t="s">
        <v>1248</v>
      </c>
      <c r="C1142" t="s">
        <v>106</v>
      </c>
    </row>
    <row r="1143" spans="1:3" x14ac:dyDescent="0.3">
      <c r="A1143">
        <v>68455334</v>
      </c>
      <c r="B1143" t="s">
        <v>1249</v>
      </c>
      <c r="C1143" t="s">
        <v>108</v>
      </c>
    </row>
    <row r="1144" spans="1:3" x14ac:dyDescent="0.3">
      <c r="A1144">
        <v>68460251</v>
      </c>
      <c r="B1144" t="s">
        <v>1250</v>
      </c>
      <c r="C1144" t="s">
        <v>110</v>
      </c>
    </row>
    <row r="1145" spans="1:3" x14ac:dyDescent="0.3">
      <c r="A1145">
        <v>68462787</v>
      </c>
      <c r="B1145" t="s">
        <v>1251</v>
      </c>
      <c r="C1145" t="s">
        <v>108</v>
      </c>
    </row>
    <row r="1146" spans="1:3" x14ac:dyDescent="0.3">
      <c r="A1146">
        <v>68467343</v>
      </c>
      <c r="B1146" t="s">
        <v>1252</v>
      </c>
      <c r="C1146" t="s">
        <v>108</v>
      </c>
    </row>
    <row r="1147" spans="1:3" x14ac:dyDescent="0.3">
      <c r="A1147">
        <v>68467345</v>
      </c>
      <c r="B1147" t="s">
        <v>1253</v>
      </c>
      <c r="C1147" t="s">
        <v>108</v>
      </c>
    </row>
    <row r="1148" spans="1:3" x14ac:dyDescent="0.3">
      <c r="A1148">
        <v>68471104</v>
      </c>
      <c r="B1148" t="s">
        <v>1254</v>
      </c>
      <c r="C1148" t="s">
        <v>108</v>
      </c>
    </row>
    <row r="1149" spans="1:3" x14ac:dyDescent="0.3">
      <c r="A1149">
        <v>68471106</v>
      </c>
      <c r="B1149" t="s">
        <v>1255</v>
      </c>
      <c r="C1149" t="s">
        <v>108</v>
      </c>
    </row>
    <row r="1150" spans="1:3" x14ac:dyDescent="0.3">
      <c r="A1150">
        <v>68473441</v>
      </c>
      <c r="B1150" t="s">
        <v>1256</v>
      </c>
      <c r="C1150" t="s">
        <v>54</v>
      </c>
    </row>
    <row r="1151" spans="1:3" x14ac:dyDescent="0.3">
      <c r="A1151">
        <v>68473447</v>
      </c>
      <c r="B1151" t="s">
        <v>1257</v>
      </c>
      <c r="C1151" t="s">
        <v>122</v>
      </c>
    </row>
    <row r="1152" spans="1:3" x14ac:dyDescent="0.3">
      <c r="A1152">
        <v>68474796</v>
      </c>
      <c r="B1152" t="s">
        <v>1258</v>
      </c>
      <c r="C1152" t="s">
        <v>106</v>
      </c>
    </row>
    <row r="1153" spans="1:3" x14ac:dyDescent="0.3">
      <c r="A1153">
        <v>68474798</v>
      </c>
      <c r="B1153" t="s">
        <v>1259</v>
      </c>
      <c r="C1153" t="s">
        <v>106</v>
      </c>
    </row>
    <row r="1154" spans="1:3" x14ac:dyDescent="0.3">
      <c r="A1154">
        <v>68475303</v>
      </c>
      <c r="B1154" t="s">
        <v>1260</v>
      </c>
      <c r="C1154" t="s">
        <v>108</v>
      </c>
    </row>
    <row r="1155" spans="1:3" x14ac:dyDescent="0.3">
      <c r="A1155">
        <v>68475305</v>
      </c>
      <c r="B1155" t="s">
        <v>1261</v>
      </c>
      <c r="C1155" t="s">
        <v>108</v>
      </c>
    </row>
    <row r="1156" spans="1:3" x14ac:dyDescent="0.3">
      <c r="A1156">
        <v>68476370</v>
      </c>
      <c r="B1156" t="s">
        <v>1262</v>
      </c>
      <c r="C1156" t="s">
        <v>108</v>
      </c>
    </row>
    <row r="1157" spans="1:3" x14ac:dyDescent="0.3">
      <c r="A1157">
        <v>68477285</v>
      </c>
      <c r="B1157" t="s">
        <v>1263</v>
      </c>
      <c r="C1157" t="s">
        <v>106</v>
      </c>
    </row>
    <row r="1158" spans="1:3" x14ac:dyDescent="0.3">
      <c r="A1158">
        <v>68477287</v>
      </c>
      <c r="B1158" t="s">
        <v>1264</v>
      </c>
      <c r="C1158" t="s">
        <v>108</v>
      </c>
    </row>
    <row r="1159" spans="1:3" x14ac:dyDescent="0.3">
      <c r="A1159">
        <v>68477289</v>
      </c>
      <c r="B1159" t="s">
        <v>1265</v>
      </c>
      <c r="C1159" t="s">
        <v>120</v>
      </c>
    </row>
    <row r="1160" spans="1:3" x14ac:dyDescent="0.3">
      <c r="A1160">
        <v>68477291</v>
      </c>
      <c r="B1160" t="s">
        <v>1266</v>
      </c>
      <c r="C1160" t="s">
        <v>108</v>
      </c>
    </row>
    <row r="1161" spans="1:3" x14ac:dyDescent="0.3">
      <c r="A1161">
        <v>68477297</v>
      </c>
      <c r="B1161" t="s">
        <v>1267</v>
      </c>
      <c r="C1161" t="s">
        <v>108</v>
      </c>
    </row>
    <row r="1162" spans="1:3" x14ac:dyDescent="0.3">
      <c r="A1162">
        <v>68477299</v>
      </c>
      <c r="B1162" t="s">
        <v>1268</v>
      </c>
      <c r="C1162" t="s">
        <v>54</v>
      </c>
    </row>
    <row r="1163" spans="1:3" x14ac:dyDescent="0.3">
      <c r="A1163">
        <v>68477301</v>
      </c>
      <c r="B1163" t="s">
        <v>1269</v>
      </c>
      <c r="C1163" t="s">
        <v>54</v>
      </c>
    </row>
    <row r="1164" spans="1:3" x14ac:dyDescent="0.3">
      <c r="A1164">
        <v>68477303</v>
      </c>
      <c r="B1164" t="s">
        <v>1270</v>
      </c>
      <c r="C1164" t="s">
        <v>108</v>
      </c>
    </row>
    <row r="1165" spans="1:3" x14ac:dyDescent="0.3">
      <c r="A1165">
        <v>68477305</v>
      </c>
      <c r="B1165" t="s">
        <v>1271</v>
      </c>
      <c r="C1165" t="s">
        <v>106</v>
      </c>
    </row>
    <row r="1166" spans="1:3" x14ac:dyDescent="0.3">
      <c r="A1166">
        <v>68477307</v>
      </c>
      <c r="B1166" t="s">
        <v>1272</v>
      </c>
      <c r="C1166" t="s">
        <v>108</v>
      </c>
    </row>
    <row r="1167" spans="1:3" x14ac:dyDescent="0.3">
      <c r="A1167">
        <v>68477309</v>
      </c>
      <c r="B1167" t="s">
        <v>1273</v>
      </c>
      <c r="C1167" t="s">
        <v>108</v>
      </c>
    </row>
    <row r="1168" spans="1:3" x14ac:dyDescent="0.3">
      <c r="A1168">
        <v>68477333</v>
      </c>
      <c r="B1168" t="s">
        <v>1274</v>
      </c>
      <c r="C1168" t="s">
        <v>120</v>
      </c>
    </row>
    <row r="1169" spans="1:3" x14ac:dyDescent="0.3">
      <c r="A1169">
        <v>68477335</v>
      </c>
      <c r="B1169" t="s">
        <v>1275</v>
      </c>
      <c r="C1169" t="s">
        <v>120</v>
      </c>
    </row>
    <row r="1170" spans="1:3" x14ac:dyDescent="0.3">
      <c r="A1170">
        <v>68477339</v>
      </c>
      <c r="B1170" t="s">
        <v>1276</v>
      </c>
      <c r="C1170" t="s">
        <v>108</v>
      </c>
    </row>
    <row r="1171" spans="1:3" x14ac:dyDescent="0.3">
      <c r="A1171">
        <v>68477341</v>
      </c>
      <c r="B1171" t="s">
        <v>1277</v>
      </c>
      <c r="C1171" t="s">
        <v>108</v>
      </c>
    </row>
    <row r="1172" spans="1:3" x14ac:dyDescent="0.3">
      <c r="A1172">
        <v>68478681</v>
      </c>
      <c r="B1172" t="s">
        <v>1278</v>
      </c>
      <c r="C1172" t="s">
        <v>108</v>
      </c>
    </row>
    <row r="1173" spans="1:3" x14ac:dyDescent="0.3">
      <c r="A1173">
        <v>68478683</v>
      </c>
      <c r="B1173" t="s">
        <v>1279</v>
      </c>
      <c r="C1173" t="s">
        <v>108</v>
      </c>
    </row>
    <row r="1174" spans="1:3" x14ac:dyDescent="0.3">
      <c r="A1174">
        <v>68478687</v>
      </c>
      <c r="B1174" t="s">
        <v>1280</v>
      </c>
      <c r="C1174" t="s">
        <v>108</v>
      </c>
    </row>
    <row r="1175" spans="1:3" x14ac:dyDescent="0.3">
      <c r="A1175">
        <v>68483542</v>
      </c>
      <c r="B1175" t="s">
        <v>1281</v>
      </c>
      <c r="C1175" t="s">
        <v>54</v>
      </c>
    </row>
    <row r="1176" spans="1:3" x14ac:dyDescent="0.3">
      <c r="A1176">
        <v>68483998</v>
      </c>
      <c r="B1176" t="s">
        <v>1282</v>
      </c>
      <c r="C1176" t="s">
        <v>108</v>
      </c>
    </row>
    <row r="1177" spans="1:3" x14ac:dyDescent="0.3">
      <c r="A1177">
        <v>68484000</v>
      </c>
      <c r="B1177" t="s">
        <v>1283</v>
      </c>
      <c r="C1177" t="s">
        <v>108</v>
      </c>
    </row>
    <row r="1178" spans="1:3" x14ac:dyDescent="0.3">
      <c r="A1178">
        <v>68495609</v>
      </c>
      <c r="B1178" t="s">
        <v>1284</v>
      </c>
      <c r="C1178" t="s">
        <v>108</v>
      </c>
    </row>
    <row r="1179" spans="1:3" x14ac:dyDescent="0.3">
      <c r="A1179">
        <v>68495611</v>
      </c>
      <c r="B1179" t="s">
        <v>1285</v>
      </c>
      <c r="C1179" t="s">
        <v>108</v>
      </c>
    </row>
    <row r="1180" spans="1:3" x14ac:dyDescent="0.3">
      <c r="A1180">
        <v>68496241</v>
      </c>
      <c r="B1180" t="s">
        <v>1286</v>
      </c>
      <c r="C1180" t="s">
        <v>120</v>
      </c>
    </row>
    <row r="1181" spans="1:3" x14ac:dyDescent="0.3">
      <c r="A1181">
        <v>68496243</v>
      </c>
      <c r="B1181" t="s">
        <v>1287</v>
      </c>
      <c r="C1181" t="s">
        <v>120</v>
      </c>
    </row>
    <row r="1182" spans="1:3" x14ac:dyDescent="0.3">
      <c r="A1182">
        <v>68496247</v>
      </c>
      <c r="B1182" t="s">
        <v>1288</v>
      </c>
      <c r="C1182" t="s">
        <v>120</v>
      </c>
    </row>
    <row r="1183" spans="1:3" x14ac:dyDescent="0.3">
      <c r="A1183">
        <v>68505964</v>
      </c>
      <c r="B1183" t="s">
        <v>1289</v>
      </c>
      <c r="C1183" t="s">
        <v>108</v>
      </c>
    </row>
    <row r="1184" spans="1:3" x14ac:dyDescent="0.3">
      <c r="A1184">
        <v>68505966</v>
      </c>
      <c r="B1184" t="s">
        <v>1290</v>
      </c>
      <c r="C1184" t="s">
        <v>108</v>
      </c>
    </row>
    <row r="1185" spans="1:3" x14ac:dyDescent="0.3">
      <c r="A1185">
        <v>68506150</v>
      </c>
      <c r="B1185" t="s">
        <v>1291</v>
      </c>
      <c r="C1185" t="s">
        <v>56</v>
      </c>
    </row>
    <row r="1186" spans="1:3" x14ac:dyDescent="0.3">
      <c r="A1186">
        <v>68506152</v>
      </c>
      <c r="B1186" t="s">
        <v>1292</v>
      </c>
      <c r="C1186" t="s">
        <v>56</v>
      </c>
    </row>
    <row r="1187" spans="1:3" x14ac:dyDescent="0.3">
      <c r="A1187">
        <v>68507833</v>
      </c>
      <c r="B1187" t="s">
        <v>1293</v>
      </c>
      <c r="C1187" t="s">
        <v>108</v>
      </c>
    </row>
    <row r="1188" spans="1:3" x14ac:dyDescent="0.3">
      <c r="A1188">
        <v>68507835</v>
      </c>
      <c r="B1188" t="s">
        <v>1294</v>
      </c>
      <c r="C1188" t="s">
        <v>108</v>
      </c>
    </row>
    <row r="1189" spans="1:3" x14ac:dyDescent="0.3">
      <c r="A1189">
        <v>68509849</v>
      </c>
      <c r="B1189" t="s">
        <v>1295</v>
      </c>
      <c r="C1189" t="s">
        <v>120</v>
      </c>
    </row>
    <row r="1190" spans="1:3" x14ac:dyDescent="0.3">
      <c r="A1190">
        <v>68509850</v>
      </c>
      <c r="B1190" t="s">
        <v>1296</v>
      </c>
      <c r="C1190" t="s">
        <v>120</v>
      </c>
    </row>
    <row r="1191" spans="1:3" x14ac:dyDescent="0.3">
      <c r="A1191">
        <v>68509851</v>
      </c>
      <c r="B1191" t="s">
        <v>1297</v>
      </c>
      <c r="C1191" t="s">
        <v>120</v>
      </c>
    </row>
    <row r="1192" spans="1:3" x14ac:dyDescent="0.3">
      <c r="A1192">
        <v>68509855</v>
      </c>
      <c r="B1192" t="s">
        <v>1298</v>
      </c>
      <c r="C1192" t="s">
        <v>54</v>
      </c>
    </row>
    <row r="1193" spans="1:3" x14ac:dyDescent="0.3">
      <c r="A1193">
        <v>68510626</v>
      </c>
      <c r="B1193" t="s">
        <v>1299</v>
      </c>
      <c r="C1193" t="s">
        <v>108</v>
      </c>
    </row>
    <row r="1194" spans="1:3" x14ac:dyDescent="0.3">
      <c r="A1194">
        <v>68511654</v>
      </c>
      <c r="B1194" t="s">
        <v>1300</v>
      </c>
      <c r="C1194" t="s">
        <v>414</v>
      </c>
    </row>
    <row r="1195" spans="1:3" x14ac:dyDescent="0.3">
      <c r="A1195">
        <v>68513892</v>
      </c>
      <c r="B1195" t="s">
        <v>1301</v>
      </c>
      <c r="C1195" t="s">
        <v>110</v>
      </c>
    </row>
    <row r="1196" spans="1:3" x14ac:dyDescent="0.3">
      <c r="A1196">
        <v>68513893</v>
      </c>
      <c r="B1196" t="s">
        <v>1302</v>
      </c>
      <c r="C1196" t="s">
        <v>110</v>
      </c>
    </row>
    <row r="1197" spans="1:3" x14ac:dyDescent="0.3">
      <c r="A1197">
        <v>68513895</v>
      </c>
      <c r="B1197" t="s">
        <v>1303</v>
      </c>
      <c r="C1197" t="s">
        <v>110</v>
      </c>
    </row>
    <row r="1198" spans="1:3" x14ac:dyDescent="0.3">
      <c r="A1198">
        <v>68514141</v>
      </c>
      <c r="B1198" t="s">
        <v>1304</v>
      </c>
      <c r="C1198" t="s">
        <v>108</v>
      </c>
    </row>
    <row r="1199" spans="1:3" x14ac:dyDescent="0.3">
      <c r="A1199">
        <v>68517772</v>
      </c>
      <c r="B1199" t="s">
        <v>1305</v>
      </c>
      <c r="C1199" t="s">
        <v>336</v>
      </c>
    </row>
    <row r="1200" spans="1:3" x14ac:dyDescent="0.3">
      <c r="A1200">
        <v>68517774</v>
      </c>
      <c r="B1200" t="s">
        <v>1306</v>
      </c>
      <c r="C1200" t="s">
        <v>336</v>
      </c>
    </row>
    <row r="1201" spans="1:3" x14ac:dyDescent="0.3">
      <c r="A1201">
        <v>68519574</v>
      </c>
      <c r="B1201" t="s">
        <v>1307</v>
      </c>
      <c r="C1201" t="s">
        <v>108</v>
      </c>
    </row>
    <row r="1202" spans="1:3" x14ac:dyDescent="0.3">
      <c r="A1202">
        <v>68519580</v>
      </c>
      <c r="B1202" t="s">
        <v>1308</v>
      </c>
      <c r="C1202" t="s">
        <v>108</v>
      </c>
    </row>
    <row r="1203" spans="1:3" x14ac:dyDescent="0.3">
      <c r="A1203">
        <v>68519585</v>
      </c>
      <c r="B1203" t="s">
        <v>1309</v>
      </c>
      <c r="C1203" t="s">
        <v>108</v>
      </c>
    </row>
    <row r="1204" spans="1:3" x14ac:dyDescent="0.3">
      <c r="A1204">
        <v>68522186</v>
      </c>
      <c r="B1204" t="s">
        <v>1310</v>
      </c>
      <c r="C1204" t="s">
        <v>110</v>
      </c>
    </row>
    <row r="1205" spans="1:3" x14ac:dyDescent="0.3">
      <c r="A1205">
        <v>68522188</v>
      </c>
      <c r="B1205" t="s">
        <v>1311</v>
      </c>
      <c r="C1205" t="s">
        <v>110</v>
      </c>
    </row>
    <row r="1206" spans="1:3" x14ac:dyDescent="0.3">
      <c r="A1206">
        <v>68522190</v>
      </c>
      <c r="B1206" t="s">
        <v>1312</v>
      </c>
      <c r="C1206" t="s">
        <v>110</v>
      </c>
    </row>
    <row r="1207" spans="1:3" x14ac:dyDescent="0.3">
      <c r="A1207">
        <v>68523191</v>
      </c>
      <c r="B1207" t="s">
        <v>1313</v>
      </c>
      <c r="C1207" t="s">
        <v>54</v>
      </c>
    </row>
    <row r="1208" spans="1:3" x14ac:dyDescent="0.3">
      <c r="A1208">
        <v>68523193</v>
      </c>
      <c r="B1208" t="s">
        <v>1314</v>
      </c>
      <c r="C1208" t="s">
        <v>120</v>
      </c>
    </row>
    <row r="1209" spans="1:3" x14ac:dyDescent="0.3">
      <c r="A1209" t="s">
        <v>1315</v>
      </c>
      <c r="B1209" t="s">
        <v>1314</v>
      </c>
      <c r="C1209" t="s">
        <v>54</v>
      </c>
    </row>
    <row r="1210" spans="1:3" x14ac:dyDescent="0.3">
      <c r="A1210">
        <v>68523195</v>
      </c>
      <c r="B1210" t="s">
        <v>1316</v>
      </c>
      <c r="C1210" t="s">
        <v>54</v>
      </c>
    </row>
    <row r="1211" spans="1:3" x14ac:dyDescent="0.3">
      <c r="A1211">
        <v>68523199</v>
      </c>
      <c r="B1211" t="s">
        <v>1317</v>
      </c>
      <c r="C1211" t="s">
        <v>54</v>
      </c>
    </row>
    <row r="1212" spans="1:3" x14ac:dyDescent="0.3">
      <c r="A1212">
        <v>68523201</v>
      </c>
      <c r="B1212" t="s">
        <v>1318</v>
      </c>
      <c r="C1212" t="s">
        <v>54</v>
      </c>
    </row>
    <row r="1213" spans="1:3" x14ac:dyDescent="0.3">
      <c r="A1213">
        <v>68528241</v>
      </c>
      <c r="B1213" t="s">
        <v>1319</v>
      </c>
      <c r="C1213" t="s">
        <v>104</v>
      </c>
    </row>
    <row r="1214" spans="1:3" x14ac:dyDescent="0.3">
      <c r="A1214">
        <v>68528243</v>
      </c>
      <c r="B1214" t="s">
        <v>1320</v>
      </c>
      <c r="C1214" t="s">
        <v>104</v>
      </c>
    </row>
    <row r="1215" spans="1:3" x14ac:dyDescent="0.3">
      <c r="A1215">
        <v>68529302</v>
      </c>
      <c r="B1215" t="s">
        <v>1321</v>
      </c>
      <c r="C1215" t="s">
        <v>414</v>
      </c>
    </row>
    <row r="1216" spans="1:3" x14ac:dyDescent="0.3">
      <c r="A1216">
        <v>68529304</v>
      </c>
      <c r="B1216" t="s">
        <v>1322</v>
      </c>
      <c r="C1216" t="s">
        <v>414</v>
      </c>
    </row>
    <row r="1217" spans="1:3" x14ac:dyDescent="0.3">
      <c r="A1217">
        <v>68531728</v>
      </c>
      <c r="B1217" t="s">
        <v>1323</v>
      </c>
      <c r="C1217" t="s">
        <v>576</v>
      </c>
    </row>
    <row r="1218" spans="1:3" x14ac:dyDescent="0.3">
      <c r="A1218">
        <v>68531899</v>
      </c>
      <c r="B1218" t="s">
        <v>1324</v>
      </c>
      <c r="C1218" t="s">
        <v>108</v>
      </c>
    </row>
    <row r="1219" spans="1:3" x14ac:dyDescent="0.3">
      <c r="A1219">
        <v>68531903</v>
      </c>
      <c r="B1219" t="s">
        <v>1325</v>
      </c>
      <c r="C1219" t="s">
        <v>108</v>
      </c>
    </row>
    <row r="1220" spans="1:3" x14ac:dyDescent="0.3">
      <c r="A1220">
        <v>68533349</v>
      </c>
      <c r="B1220" t="s">
        <v>1326</v>
      </c>
      <c r="C1220" t="s">
        <v>414</v>
      </c>
    </row>
    <row r="1221" spans="1:3" x14ac:dyDescent="0.3">
      <c r="A1221">
        <v>68533350</v>
      </c>
      <c r="B1221" t="s">
        <v>1327</v>
      </c>
      <c r="C1221" t="s">
        <v>56</v>
      </c>
    </row>
    <row r="1222" spans="1:3" x14ac:dyDescent="0.3">
      <c r="A1222">
        <v>68533351</v>
      </c>
      <c r="B1222" t="s">
        <v>1328</v>
      </c>
      <c r="C1222" t="s">
        <v>56</v>
      </c>
    </row>
    <row r="1223" spans="1:3" x14ac:dyDescent="0.3">
      <c r="A1223">
        <v>68533352</v>
      </c>
      <c r="B1223" t="s">
        <v>1329</v>
      </c>
      <c r="C1223" t="s">
        <v>56</v>
      </c>
    </row>
    <row r="1224" spans="1:3" x14ac:dyDescent="0.3">
      <c r="A1224">
        <v>68538446</v>
      </c>
      <c r="B1224" t="s">
        <v>1330</v>
      </c>
      <c r="C1224" t="s">
        <v>108</v>
      </c>
    </row>
    <row r="1225" spans="1:3" x14ac:dyDescent="0.3">
      <c r="A1225">
        <v>68538448</v>
      </c>
      <c r="B1225" t="s">
        <v>1331</v>
      </c>
      <c r="C1225" t="s">
        <v>108</v>
      </c>
    </row>
    <row r="1226" spans="1:3" x14ac:dyDescent="0.3">
      <c r="A1226">
        <v>68538452</v>
      </c>
      <c r="B1226" t="s">
        <v>1332</v>
      </c>
      <c r="C1226" t="s">
        <v>56</v>
      </c>
    </row>
    <row r="1227" spans="1:3" x14ac:dyDescent="0.3">
      <c r="A1227">
        <v>68538454</v>
      </c>
      <c r="B1227" t="s">
        <v>1333</v>
      </c>
      <c r="C1227" t="s">
        <v>54</v>
      </c>
    </row>
    <row r="1228" spans="1:3" x14ac:dyDescent="0.3">
      <c r="A1228">
        <v>68538456</v>
      </c>
      <c r="B1228" t="s">
        <v>1334</v>
      </c>
      <c r="C1228" t="s">
        <v>108</v>
      </c>
    </row>
    <row r="1229" spans="1:3" x14ac:dyDescent="0.3">
      <c r="A1229">
        <v>68538458</v>
      </c>
      <c r="B1229" t="s">
        <v>1335</v>
      </c>
      <c r="C1229" t="s">
        <v>108</v>
      </c>
    </row>
    <row r="1230" spans="1:3" x14ac:dyDescent="0.3">
      <c r="A1230">
        <v>68538460</v>
      </c>
      <c r="B1230" t="s">
        <v>1336</v>
      </c>
      <c r="C1230" t="s">
        <v>108</v>
      </c>
    </row>
    <row r="1231" spans="1:3" x14ac:dyDescent="0.3">
      <c r="A1231">
        <v>68538462</v>
      </c>
      <c r="B1231" t="s">
        <v>1337</v>
      </c>
      <c r="C1231" t="s">
        <v>120</v>
      </c>
    </row>
    <row r="1232" spans="1:3" x14ac:dyDescent="0.3">
      <c r="A1232">
        <v>68540825</v>
      </c>
      <c r="B1232" t="s">
        <v>1338</v>
      </c>
      <c r="C1232" t="s">
        <v>336</v>
      </c>
    </row>
    <row r="1233" spans="1:3" x14ac:dyDescent="0.3">
      <c r="A1233">
        <v>68545663</v>
      </c>
      <c r="B1233" t="s">
        <v>1339</v>
      </c>
      <c r="C1233" t="s">
        <v>120</v>
      </c>
    </row>
    <row r="1234" spans="1:3" x14ac:dyDescent="0.3">
      <c r="A1234">
        <v>68545665</v>
      </c>
      <c r="B1234" t="s">
        <v>1340</v>
      </c>
      <c r="C1234" t="s">
        <v>54</v>
      </c>
    </row>
    <row r="1235" spans="1:3" x14ac:dyDescent="0.3">
      <c r="A1235">
        <v>68553406</v>
      </c>
      <c r="B1235" t="s">
        <v>1341</v>
      </c>
      <c r="C1235" t="s">
        <v>54</v>
      </c>
    </row>
    <row r="1236" spans="1:3" x14ac:dyDescent="0.3">
      <c r="A1236">
        <v>68554342</v>
      </c>
      <c r="B1236" t="s">
        <v>1342</v>
      </c>
      <c r="C1236" t="s">
        <v>56</v>
      </c>
    </row>
    <row r="1237" spans="1:3" x14ac:dyDescent="0.3">
      <c r="A1237">
        <v>68554727</v>
      </c>
      <c r="B1237" t="s">
        <v>1343</v>
      </c>
      <c r="C1237" t="s">
        <v>54</v>
      </c>
    </row>
    <row r="1238" spans="1:3" x14ac:dyDescent="0.3">
      <c r="A1238">
        <v>68556312</v>
      </c>
      <c r="B1238" t="s">
        <v>1344</v>
      </c>
      <c r="C1238" t="s">
        <v>108</v>
      </c>
    </row>
    <row r="1239" spans="1:3" x14ac:dyDescent="0.3">
      <c r="A1239">
        <v>68556316</v>
      </c>
      <c r="B1239" t="s">
        <v>1345</v>
      </c>
      <c r="C1239" t="s">
        <v>108</v>
      </c>
    </row>
    <row r="1240" spans="1:3" x14ac:dyDescent="0.3">
      <c r="A1240">
        <v>68556320</v>
      </c>
      <c r="B1240" t="s">
        <v>1346</v>
      </c>
      <c r="C1240" t="s">
        <v>108</v>
      </c>
    </row>
    <row r="1241" spans="1:3" x14ac:dyDescent="0.3">
      <c r="A1241">
        <v>68556322</v>
      </c>
      <c r="B1241" t="s">
        <v>1347</v>
      </c>
      <c r="C1241" t="s">
        <v>108</v>
      </c>
    </row>
    <row r="1242" spans="1:3" x14ac:dyDescent="0.3">
      <c r="A1242">
        <v>68557464</v>
      </c>
      <c r="B1242" t="s">
        <v>1348</v>
      </c>
      <c r="C1242" t="s">
        <v>56</v>
      </c>
    </row>
    <row r="1243" spans="1:3" x14ac:dyDescent="0.3">
      <c r="A1243">
        <v>68557468</v>
      </c>
      <c r="B1243" t="s">
        <v>1349</v>
      </c>
      <c r="C1243" t="s">
        <v>56</v>
      </c>
    </row>
    <row r="1244" spans="1:3" x14ac:dyDescent="0.3">
      <c r="A1244">
        <v>68557470</v>
      </c>
      <c r="B1244" t="s">
        <v>1350</v>
      </c>
      <c r="C1244" t="s">
        <v>56</v>
      </c>
    </row>
    <row r="1245" spans="1:3" x14ac:dyDescent="0.3">
      <c r="A1245">
        <v>68557586</v>
      </c>
      <c r="B1245" t="s">
        <v>1351</v>
      </c>
      <c r="C1245" t="s">
        <v>108</v>
      </c>
    </row>
    <row r="1246" spans="1:3" x14ac:dyDescent="0.3">
      <c r="A1246">
        <v>68557588</v>
      </c>
      <c r="B1246" t="s">
        <v>1352</v>
      </c>
      <c r="C1246" t="s">
        <v>108</v>
      </c>
    </row>
    <row r="1247" spans="1:3" x14ac:dyDescent="0.3">
      <c r="A1247">
        <v>68557592</v>
      </c>
      <c r="B1247" t="s">
        <v>1353</v>
      </c>
      <c r="C1247" t="s">
        <v>108</v>
      </c>
    </row>
    <row r="1248" spans="1:3" x14ac:dyDescent="0.3">
      <c r="A1248">
        <v>68558933</v>
      </c>
      <c r="B1248" t="s">
        <v>1354</v>
      </c>
      <c r="C1248" t="s">
        <v>56</v>
      </c>
    </row>
    <row r="1249" spans="1:3" x14ac:dyDescent="0.3">
      <c r="A1249">
        <v>68558935</v>
      </c>
      <c r="B1249" t="s">
        <v>1355</v>
      </c>
      <c r="C1249" t="s">
        <v>56</v>
      </c>
    </row>
    <row r="1250" spans="1:3" x14ac:dyDescent="0.3">
      <c r="A1250">
        <v>68558937</v>
      </c>
      <c r="B1250" t="s">
        <v>1356</v>
      </c>
      <c r="C1250" t="s">
        <v>56</v>
      </c>
    </row>
    <row r="1251" spans="1:3" x14ac:dyDescent="0.3">
      <c r="A1251">
        <v>68560110</v>
      </c>
      <c r="B1251" t="s">
        <v>1357</v>
      </c>
      <c r="C1251" t="s">
        <v>108</v>
      </c>
    </row>
    <row r="1252" spans="1:3" x14ac:dyDescent="0.3">
      <c r="A1252">
        <v>68560112</v>
      </c>
      <c r="B1252" t="s">
        <v>1358</v>
      </c>
      <c r="C1252" t="s">
        <v>108</v>
      </c>
    </row>
    <row r="1253" spans="1:3" x14ac:dyDescent="0.3">
      <c r="A1253">
        <v>68568430</v>
      </c>
      <c r="B1253" t="s">
        <v>1359</v>
      </c>
      <c r="C1253" t="s">
        <v>106</v>
      </c>
    </row>
    <row r="1254" spans="1:3" x14ac:dyDescent="0.3">
      <c r="A1254">
        <v>68568432</v>
      </c>
      <c r="B1254" t="s">
        <v>1360</v>
      </c>
      <c r="C1254" t="s">
        <v>106</v>
      </c>
    </row>
    <row r="1255" spans="1:3" x14ac:dyDescent="0.3">
      <c r="A1255">
        <v>68568434</v>
      </c>
      <c r="B1255" t="s">
        <v>1361</v>
      </c>
      <c r="C1255" t="s">
        <v>106</v>
      </c>
    </row>
    <row r="1256" spans="1:3" x14ac:dyDescent="0.3">
      <c r="A1256">
        <v>68568436</v>
      </c>
      <c r="B1256" t="s">
        <v>1362</v>
      </c>
      <c r="C1256" t="s">
        <v>106</v>
      </c>
    </row>
    <row r="1257" spans="1:3" x14ac:dyDescent="0.3">
      <c r="A1257">
        <v>68568638</v>
      </c>
      <c r="B1257" t="s">
        <v>1363</v>
      </c>
      <c r="C1257" t="s">
        <v>129</v>
      </c>
    </row>
    <row r="1258" spans="1:3" x14ac:dyDescent="0.3">
      <c r="A1258">
        <v>68569393</v>
      </c>
      <c r="B1258" t="s">
        <v>1364</v>
      </c>
      <c r="C1258" t="s">
        <v>56</v>
      </c>
    </row>
    <row r="1259" spans="1:3" x14ac:dyDescent="0.3">
      <c r="A1259">
        <v>68571728</v>
      </c>
      <c r="B1259" t="s">
        <v>1365</v>
      </c>
      <c r="C1259" t="s">
        <v>336</v>
      </c>
    </row>
    <row r="1260" spans="1:3" x14ac:dyDescent="0.3">
      <c r="A1260">
        <v>68571730</v>
      </c>
      <c r="B1260" t="s">
        <v>1366</v>
      </c>
      <c r="C1260" t="s">
        <v>414</v>
      </c>
    </row>
    <row r="1261" spans="1:3" x14ac:dyDescent="0.3">
      <c r="A1261">
        <v>68571732</v>
      </c>
      <c r="B1261" t="s">
        <v>1367</v>
      </c>
      <c r="C1261" t="s">
        <v>336</v>
      </c>
    </row>
    <row r="1262" spans="1:3" x14ac:dyDescent="0.3">
      <c r="A1262">
        <v>68572372</v>
      </c>
      <c r="B1262" t="s">
        <v>1368</v>
      </c>
      <c r="C1262" t="s">
        <v>56</v>
      </c>
    </row>
    <row r="1263" spans="1:3" x14ac:dyDescent="0.3">
      <c r="A1263">
        <v>68572374</v>
      </c>
      <c r="B1263" t="s">
        <v>1369</v>
      </c>
      <c r="C1263" t="s">
        <v>695</v>
      </c>
    </row>
    <row r="1264" spans="1:3" x14ac:dyDescent="0.3">
      <c r="A1264">
        <v>68572376</v>
      </c>
      <c r="B1264" t="s">
        <v>1370</v>
      </c>
      <c r="C1264" t="s">
        <v>56</v>
      </c>
    </row>
    <row r="1265" spans="1:3" x14ac:dyDescent="0.3">
      <c r="A1265">
        <v>68580909</v>
      </c>
      <c r="B1265" t="s">
        <v>1371</v>
      </c>
      <c r="C1265" t="s">
        <v>539</v>
      </c>
    </row>
    <row r="1266" spans="1:3" x14ac:dyDescent="0.3">
      <c r="A1266">
        <v>68580911</v>
      </c>
      <c r="B1266" t="s">
        <v>1372</v>
      </c>
      <c r="C1266" t="s">
        <v>539</v>
      </c>
    </row>
    <row r="1267" spans="1:3" x14ac:dyDescent="0.3">
      <c r="A1267">
        <v>68584578</v>
      </c>
      <c r="B1267" t="s">
        <v>1373</v>
      </c>
      <c r="C1267" t="s">
        <v>108</v>
      </c>
    </row>
    <row r="1268" spans="1:3" x14ac:dyDescent="0.3">
      <c r="A1268">
        <v>68584582</v>
      </c>
      <c r="B1268" t="s">
        <v>1374</v>
      </c>
      <c r="C1268" t="s">
        <v>108</v>
      </c>
    </row>
    <row r="1269" spans="1:3" x14ac:dyDescent="0.3">
      <c r="A1269">
        <v>68584737</v>
      </c>
      <c r="B1269" t="s">
        <v>1375</v>
      </c>
      <c r="C1269" t="s">
        <v>108</v>
      </c>
    </row>
    <row r="1270" spans="1:3" x14ac:dyDescent="0.3">
      <c r="A1270">
        <v>68584739</v>
      </c>
      <c r="B1270" t="s">
        <v>1376</v>
      </c>
      <c r="C1270" t="s">
        <v>108</v>
      </c>
    </row>
    <row r="1271" spans="1:3" x14ac:dyDescent="0.3">
      <c r="A1271">
        <v>68584747</v>
      </c>
      <c r="B1271" t="s">
        <v>1377</v>
      </c>
      <c r="C1271" t="s">
        <v>108</v>
      </c>
    </row>
    <row r="1272" spans="1:3" x14ac:dyDescent="0.3">
      <c r="A1272">
        <v>68584751</v>
      </c>
      <c r="B1272" t="s">
        <v>1378</v>
      </c>
      <c r="C1272" t="s">
        <v>54</v>
      </c>
    </row>
    <row r="1273" spans="1:3" x14ac:dyDescent="0.3">
      <c r="A1273">
        <v>68584753</v>
      </c>
      <c r="B1273" t="s">
        <v>1379</v>
      </c>
      <c r="C1273" t="s">
        <v>54</v>
      </c>
    </row>
    <row r="1274" spans="1:3" x14ac:dyDescent="0.3">
      <c r="A1274">
        <v>68584755</v>
      </c>
      <c r="B1274" t="s">
        <v>1380</v>
      </c>
      <c r="C1274" t="s">
        <v>122</v>
      </c>
    </row>
    <row r="1275" spans="1:3" x14ac:dyDescent="0.3">
      <c r="A1275">
        <v>68584757</v>
      </c>
      <c r="B1275" t="s">
        <v>1381</v>
      </c>
      <c r="C1275" t="s">
        <v>54</v>
      </c>
    </row>
    <row r="1276" spans="1:3" x14ac:dyDescent="0.3">
      <c r="A1276">
        <v>68586285</v>
      </c>
      <c r="B1276" t="s">
        <v>1382</v>
      </c>
      <c r="C1276" t="s">
        <v>679</v>
      </c>
    </row>
    <row r="1277" spans="1:3" x14ac:dyDescent="0.3">
      <c r="A1277">
        <v>68586287</v>
      </c>
      <c r="B1277" t="s">
        <v>1383</v>
      </c>
      <c r="C1277" t="s">
        <v>679</v>
      </c>
    </row>
    <row r="1278" spans="1:3" x14ac:dyDescent="0.3">
      <c r="A1278">
        <v>68586289</v>
      </c>
      <c r="B1278" t="s">
        <v>1384</v>
      </c>
      <c r="C1278" t="s">
        <v>679</v>
      </c>
    </row>
    <row r="1279" spans="1:3" x14ac:dyDescent="0.3">
      <c r="A1279">
        <v>68586291</v>
      </c>
      <c r="B1279" t="s">
        <v>1385</v>
      </c>
      <c r="C1279" t="s">
        <v>108</v>
      </c>
    </row>
    <row r="1280" spans="1:3" x14ac:dyDescent="0.3">
      <c r="A1280">
        <v>68586293</v>
      </c>
      <c r="B1280" t="s">
        <v>1386</v>
      </c>
      <c r="C1280" t="s">
        <v>108</v>
      </c>
    </row>
    <row r="1281" spans="1:3" x14ac:dyDescent="0.3">
      <c r="A1281">
        <v>68586295</v>
      </c>
      <c r="B1281" t="s">
        <v>1387</v>
      </c>
      <c r="C1281" t="s">
        <v>108</v>
      </c>
    </row>
    <row r="1282" spans="1:3" x14ac:dyDescent="0.3">
      <c r="A1282">
        <v>68586303</v>
      </c>
      <c r="B1282" t="s">
        <v>1388</v>
      </c>
      <c r="C1282" t="s">
        <v>108</v>
      </c>
    </row>
    <row r="1283" spans="1:3" x14ac:dyDescent="0.3">
      <c r="A1283">
        <v>68586305</v>
      </c>
      <c r="B1283" t="s">
        <v>1389</v>
      </c>
      <c r="C1283" t="s">
        <v>108</v>
      </c>
    </row>
    <row r="1284" spans="1:3" x14ac:dyDescent="0.3">
      <c r="A1284">
        <v>68586309</v>
      </c>
      <c r="B1284" t="s">
        <v>1390</v>
      </c>
      <c r="C1284" t="s">
        <v>108</v>
      </c>
    </row>
    <row r="1285" spans="1:3" x14ac:dyDescent="0.3">
      <c r="A1285">
        <v>68586451</v>
      </c>
      <c r="B1285" t="s">
        <v>1391</v>
      </c>
      <c r="C1285" t="s">
        <v>108</v>
      </c>
    </row>
    <row r="1286" spans="1:3" x14ac:dyDescent="0.3">
      <c r="A1286">
        <v>68586454</v>
      </c>
      <c r="B1286" t="s">
        <v>1392</v>
      </c>
      <c r="C1286" t="s">
        <v>108</v>
      </c>
    </row>
    <row r="1287" spans="1:3" x14ac:dyDescent="0.3">
      <c r="A1287">
        <v>68586700</v>
      </c>
      <c r="B1287" t="s">
        <v>1393</v>
      </c>
      <c r="C1287" t="s">
        <v>54</v>
      </c>
    </row>
    <row r="1288" spans="1:3" x14ac:dyDescent="0.3">
      <c r="A1288">
        <v>68587549</v>
      </c>
      <c r="B1288" t="s">
        <v>1394</v>
      </c>
      <c r="C1288" t="s">
        <v>129</v>
      </c>
    </row>
    <row r="1289" spans="1:3" x14ac:dyDescent="0.3">
      <c r="A1289">
        <v>68587551</v>
      </c>
      <c r="B1289" t="s">
        <v>1395</v>
      </c>
      <c r="C1289" t="s">
        <v>56</v>
      </c>
    </row>
    <row r="1290" spans="1:3" x14ac:dyDescent="0.3">
      <c r="A1290">
        <v>68587553</v>
      </c>
      <c r="B1290" t="s">
        <v>1396</v>
      </c>
      <c r="C1290" t="s">
        <v>56</v>
      </c>
    </row>
    <row r="1291" spans="1:3" x14ac:dyDescent="0.3">
      <c r="A1291">
        <v>68589093</v>
      </c>
      <c r="B1291" t="s">
        <v>1397</v>
      </c>
      <c r="C1291" t="s">
        <v>108</v>
      </c>
    </row>
    <row r="1292" spans="1:3" x14ac:dyDescent="0.3">
      <c r="A1292">
        <v>68589095</v>
      </c>
      <c r="B1292" t="s">
        <v>1398</v>
      </c>
      <c r="C1292" t="s">
        <v>108</v>
      </c>
    </row>
    <row r="1293" spans="1:3" x14ac:dyDescent="0.3">
      <c r="A1293">
        <v>68589103</v>
      </c>
      <c r="B1293" t="s">
        <v>1399</v>
      </c>
      <c r="C1293" t="s">
        <v>108</v>
      </c>
    </row>
    <row r="1294" spans="1:3" x14ac:dyDescent="0.3">
      <c r="A1294">
        <v>68589109</v>
      </c>
      <c r="B1294" t="s">
        <v>1400</v>
      </c>
      <c r="C1294" t="s">
        <v>108</v>
      </c>
    </row>
    <row r="1295" spans="1:3" x14ac:dyDescent="0.3">
      <c r="A1295">
        <v>68589111</v>
      </c>
      <c r="B1295" t="s">
        <v>1401</v>
      </c>
      <c r="C1295" t="s">
        <v>108</v>
      </c>
    </row>
    <row r="1296" spans="1:3" x14ac:dyDescent="0.3">
      <c r="A1296">
        <v>68590486</v>
      </c>
      <c r="B1296" t="s">
        <v>1402</v>
      </c>
      <c r="C1296" t="s">
        <v>181</v>
      </c>
    </row>
    <row r="1297" spans="1:3" x14ac:dyDescent="0.3">
      <c r="A1297">
        <v>68592192</v>
      </c>
      <c r="B1297" t="s">
        <v>1403</v>
      </c>
      <c r="C1297" t="s">
        <v>54</v>
      </c>
    </row>
    <row r="1298" spans="1:3" x14ac:dyDescent="0.3">
      <c r="A1298">
        <v>68592194</v>
      </c>
      <c r="B1298" t="s">
        <v>1404</v>
      </c>
      <c r="C1298" t="s">
        <v>104</v>
      </c>
    </row>
    <row r="1299" spans="1:3" x14ac:dyDescent="0.3">
      <c r="A1299">
        <v>68592198</v>
      </c>
      <c r="B1299" t="s">
        <v>1405</v>
      </c>
      <c r="C1299" t="s">
        <v>181</v>
      </c>
    </row>
    <row r="1300" spans="1:3" x14ac:dyDescent="0.3">
      <c r="A1300">
        <v>68592200</v>
      </c>
      <c r="B1300" t="s">
        <v>1406</v>
      </c>
      <c r="C1300" t="s">
        <v>120</v>
      </c>
    </row>
    <row r="1301" spans="1:3" x14ac:dyDescent="0.3">
      <c r="A1301">
        <v>68592202</v>
      </c>
      <c r="B1301" t="s">
        <v>1407</v>
      </c>
      <c r="C1301" t="s">
        <v>120</v>
      </c>
    </row>
    <row r="1302" spans="1:3" x14ac:dyDescent="0.3">
      <c r="A1302">
        <v>68592204</v>
      </c>
      <c r="B1302" t="s">
        <v>1408</v>
      </c>
      <c r="C1302" t="s">
        <v>120</v>
      </c>
    </row>
    <row r="1303" spans="1:3" x14ac:dyDescent="0.3">
      <c r="A1303" t="s">
        <v>1409</v>
      </c>
      <c r="B1303" t="s">
        <v>1408</v>
      </c>
      <c r="C1303" t="s">
        <v>54</v>
      </c>
    </row>
    <row r="1304" spans="1:3" x14ac:dyDescent="0.3">
      <c r="A1304">
        <v>68592208</v>
      </c>
      <c r="B1304" t="s">
        <v>1410</v>
      </c>
      <c r="C1304" t="s">
        <v>108</v>
      </c>
    </row>
    <row r="1305" spans="1:3" x14ac:dyDescent="0.3">
      <c r="A1305">
        <v>68592214</v>
      </c>
      <c r="B1305" t="s">
        <v>1411</v>
      </c>
      <c r="C1305" t="s">
        <v>120</v>
      </c>
    </row>
    <row r="1306" spans="1:3" x14ac:dyDescent="0.3">
      <c r="A1306">
        <v>68592218</v>
      </c>
      <c r="B1306" t="s">
        <v>1412</v>
      </c>
      <c r="C1306" t="s">
        <v>120</v>
      </c>
    </row>
    <row r="1307" spans="1:3" x14ac:dyDescent="0.3">
      <c r="A1307">
        <v>68592222</v>
      </c>
      <c r="B1307" t="s">
        <v>1413</v>
      </c>
      <c r="C1307" t="s">
        <v>181</v>
      </c>
    </row>
    <row r="1308" spans="1:3" x14ac:dyDescent="0.3">
      <c r="A1308">
        <v>68592224</v>
      </c>
      <c r="B1308" t="s">
        <v>1414</v>
      </c>
      <c r="C1308" t="s">
        <v>108</v>
      </c>
    </row>
    <row r="1309" spans="1:3" x14ac:dyDescent="0.3">
      <c r="A1309">
        <v>68592226</v>
      </c>
      <c r="B1309" t="s">
        <v>1415</v>
      </c>
      <c r="C1309" t="s">
        <v>181</v>
      </c>
    </row>
    <row r="1310" spans="1:3" x14ac:dyDescent="0.3">
      <c r="A1310">
        <v>68592228</v>
      </c>
      <c r="B1310" t="s">
        <v>1416</v>
      </c>
      <c r="C1310" t="s">
        <v>120</v>
      </c>
    </row>
    <row r="1311" spans="1:3" x14ac:dyDescent="0.3">
      <c r="A1311" t="s">
        <v>1417</v>
      </c>
      <c r="B1311" t="s">
        <v>1416</v>
      </c>
      <c r="C1311" t="s">
        <v>54</v>
      </c>
    </row>
    <row r="1312" spans="1:3" x14ac:dyDescent="0.3">
      <c r="A1312">
        <v>68592230</v>
      </c>
      <c r="B1312" t="s">
        <v>1418</v>
      </c>
      <c r="C1312" t="s">
        <v>120</v>
      </c>
    </row>
    <row r="1313" spans="1:3" x14ac:dyDescent="0.3">
      <c r="A1313">
        <v>68592232</v>
      </c>
      <c r="B1313" t="s">
        <v>1419</v>
      </c>
      <c r="C1313" t="s">
        <v>108</v>
      </c>
    </row>
    <row r="1314" spans="1:3" x14ac:dyDescent="0.3">
      <c r="A1314">
        <v>68592234</v>
      </c>
      <c r="B1314" t="s">
        <v>1420</v>
      </c>
      <c r="C1314" t="s">
        <v>181</v>
      </c>
    </row>
    <row r="1315" spans="1:3" x14ac:dyDescent="0.3">
      <c r="A1315">
        <v>68592236</v>
      </c>
      <c r="B1315" t="s">
        <v>1421</v>
      </c>
      <c r="C1315" t="s">
        <v>54</v>
      </c>
    </row>
    <row r="1316" spans="1:3" x14ac:dyDescent="0.3">
      <c r="A1316" t="s">
        <v>1422</v>
      </c>
      <c r="B1316" t="s">
        <v>1421</v>
      </c>
      <c r="C1316" t="s">
        <v>54</v>
      </c>
    </row>
    <row r="1317" spans="1:3" x14ac:dyDescent="0.3">
      <c r="A1317">
        <v>68592238</v>
      </c>
      <c r="B1317" t="s">
        <v>1423</v>
      </c>
      <c r="C1317" t="s">
        <v>120</v>
      </c>
    </row>
    <row r="1318" spans="1:3" x14ac:dyDescent="0.3">
      <c r="A1318">
        <v>68592244</v>
      </c>
      <c r="B1318" t="s">
        <v>1424</v>
      </c>
      <c r="C1318" t="s">
        <v>108</v>
      </c>
    </row>
    <row r="1319" spans="1:3" x14ac:dyDescent="0.3">
      <c r="A1319" t="s">
        <v>1425</v>
      </c>
      <c r="B1319" t="s">
        <v>1424</v>
      </c>
      <c r="C1319" t="s">
        <v>108</v>
      </c>
    </row>
    <row r="1320" spans="1:3" x14ac:dyDescent="0.3">
      <c r="A1320">
        <v>68592254</v>
      </c>
      <c r="B1320" t="s">
        <v>1426</v>
      </c>
      <c r="C1320" t="s">
        <v>54</v>
      </c>
    </row>
    <row r="1321" spans="1:3" x14ac:dyDescent="0.3">
      <c r="A1321">
        <v>68592256</v>
      </c>
      <c r="B1321" t="s">
        <v>1427</v>
      </c>
      <c r="C1321" t="s">
        <v>120</v>
      </c>
    </row>
    <row r="1322" spans="1:3" x14ac:dyDescent="0.3">
      <c r="A1322">
        <v>68592258</v>
      </c>
      <c r="B1322" t="s">
        <v>1428</v>
      </c>
      <c r="C1322" t="s">
        <v>181</v>
      </c>
    </row>
    <row r="1323" spans="1:3" x14ac:dyDescent="0.3">
      <c r="A1323">
        <v>68592260</v>
      </c>
      <c r="B1323" t="s">
        <v>1429</v>
      </c>
      <c r="C1323" t="s">
        <v>120</v>
      </c>
    </row>
    <row r="1324" spans="1:3" x14ac:dyDescent="0.3">
      <c r="A1324">
        <v>68597722</v>
      </c>
      <c r="B1324" t="s">
        <v>1430</v>
      </c>
      <c r="C1324" t="s">
        <v>108</v>
      </c>
    </row>
    <row r="1325" spans="1:3" x14ac:dyDescent="0.3">
      <c r="A1325">
        <v>68597724</v>
      </c>
      <c r="B1325" t="s">
        <v>1431</v>
      </c>
      <c r="C1325" t="s">
        <v>108</v>
      </c>
    </row>
    <row r="1326" spans="1:3" x14ac:dyDescent="0.3">
      <c r="A1326">
        <v>68598816</v>
      </c>
      <c r="B1326" t="s">
        <v>1432</v>
      </c>
      <c r="C1326" t="s">
        <v>108</v>
      </c>
    </row>
    <row r="1327" spans="1:3" x14ac:dyDescent="0.3">
      <c r="A1327">
        <v>68599091</v>
      </c>
      <c r="B1327" t="s">
        <v>1433</v>
      </c>
      <c r="C1327" t="s">
        <v>336</v>
      </c>
    </row>
    <row r="1328" spans="1:3" x14ac:dyDescent="0.3">
      <c r="A1328">
        <v>68599093</v>
      </c>
      <c r="B1328" t="s">
        <v>1434</v>
      </c>
      <c r="C1328" t="s">
        <v>336</v>
      </c>
    </row>
    <row r="1329" spans="1:3" x14ac:dyDescent="0.3">
      <c r="A1329">
        <v>68599095</v>
      </c>
      <c r="B1329" t="s">
        <v>1435</v>
      </c>
      <c r="C1329" t="s">
        <v>336</v>
      </c>
    </row>
    <row r="1330" spans="1:3" x14ac:dyDescent="0.3">
      <c r="A1330">
        <v>68599097</v>
      </c>
      <c r="B1330" t="s">
        <v>1436</v>
      </c>
      <c r="C1330" t="s">
        <v>336</v>
      </c>
    </row>
    <row r="1331" spans="1:3" x14ac:dyDescent="0.3">
      <c r="A1331">
        <v>68599099</v>
      </c>
      <c r="B1331" t="s">
        <v>1437</v>
      </c>
      <c r="C1331" t="s">
        <v>336</v>
      </c>
    </row>
    <row r="1332" spans="1:3" x14ac:dyDescent="0.3">
      <c r="A1332">
        <v>68599914</v>
      </c>
      <c r="B1332" t="s">
        <v>1438</v>
      </c>
      <c r="C1332" t="s">
        <v>54</v>
      </c>
    </row>
    <row r="1333" spans="1:3" x14ac:dyDescent="0.3">
      <c r="A1333">
        <v>68599935</v>
      </c>
      <c r="B1333" t="s">
        <v>1439</v>
      </c>
      <c r="C1333" t="s">
        <v>110</v>
      </c>
    </row>
    <row r="1334" spans="1:3" x14ac:dyDescent="0.3">
      <c r="A1334">
        <v>68602366</v>
      </c>
      <c r="B1334" t="s">
        <v>1440</v>
      </c>
      <c r="C1334" t="s">
        <v>108</v>
      </c>
    </row>
    <row r="1335" spans="1:3" x14ac:dyDescent="0.3">
      <c r="A1335">
        <v>68602367</v>
      </c>
      <c r="B1335" t="s">
        <v>1441</v>
      </c>
      <c r="C1335" t="s">
        <v>122</v>
      </c>
    </row>
    <row r="1336" spans="1:3" x14ac:dyDescent="0.3">
      <c r="A1336">
        <v>68602368</v>
      </c>
      <c r="B1336" t="s">
        <v>1442</v>
      </c>
      <c r="C1336" t="s">
        <v>246</v>
      </c>
    </row>
    <row r="1337" spans="1:3" x14ac:dyDescent="0.3">
      <c r="A1337">
        <v>68602369</v>
      </c>
      <c r="B1337" t="s">
        <v>1443</v>
      </c>
      <c r="C1337" t="s">
        <v>336</v>
      </c>
    </row>
    <row r="1338" spans="1:3" x14ac:dyDescent="0.3">
      <c r="A1338">
        <v>68602371</v>
      </c>
      <c r="B1338" t="s">
        <v>1444</v>
      </c>
      <c r="C1338" t="s">
        <v>336</v>
      </c>
    </row>
    <row r="1339" spans="1:3" x14ac:dyDescent="0.3">
      <c r="A1339">
        <v>68602373</v>
      </c>
      <c r="B1339" t="s">
        <v>1445</v>
      </c>
      <c r="C1339" t="s">
        <v>122</v>
      </c>
    </row>
    <row r="1340" spans="1:3" x14ac:dyDescent="0.3">
      <c r="A1340">
        <v>68602374</v>
      </c>
      <c r="B1340" t="s">
        <v>1446</v>
      </c>
      <c r="C1340" t="s">
        <v>122</v>
      </c>
    </row>
    <row r="1341" spans="1:3" x14ac:dyDescent="0.3">
      <c r="A1341">
        <v>68602376</v>
      </c>
      <c r="B1341" t="s">
        <v>1447</v>
      </c>
      <c r="C1341" t="s">
        <v>539</v>
      </c>
    </row>
    <row r="1342" spans="1:3" x14ac:dyDescent="0.3">
      <c r="A1342">
        <v>68602382</v>
      </c>
      <c r="B1342" t="s">
        <v>1448</v>
      </c>
      <c r="C1342" t="s">
        <v>336</v>
      </c>
    </row>
    <row r="1343" spans="1:3" x14ac:dyDescent="0.3">
      <c r="A1343">
        <v>68602384</v>
      </c>
      <c r="B1343" t="s">
        <v>1449</v>
      </c>
      <c r="C1343" t="s">
        <v>122</v>
      </c>
    </row>
    <row r="1344" spans="1:3" x14ac:dyDescent="0.3">
      <c r="A1344">
        <v>68602392</v>
      </c>
      <c r="B1344" t="s">
        <v>1450</v>
      </c>
      <c r="C1344" t="s">
        <v>54</v>
      </c>
    </row>
    <row r="1345" spans="1:3" x14ac:dyDescent="0.3">
      <c r="A1345">
        <v>68602394</v>
      </c>
      <c r="B1345" t="s">
        <v>1451</v>
      </c>
      <c r="C1345" t="s">
        <v>54</v>
      </c>
    </row>
    <row r="1346" spans="1:3" x14ac:dyDescent="0.3">
      <c r="A1346">
        <v>68606657</v>
      </c>
      <c r="B1346" t="s">
        <v>1452</v>
      </c>
      <c r="C1346" t="s">
        <v>54</v>
      </c>
    </row>
    <row r="1347" spans="1:3" x14ac:dyDescent="0.3">
      <c r="A1347">
        <v>68606659</v>
      </c>
      <c r="B1347" t="s">
        <v>1453</v>
      </c>
      <c r="C1347" t="s">
        <v>54</v>
      </c>
    </row>
    <row r="1348" spans="1:3" x14ac:dyDescent="0.3">
      <c r="A1348">
        <v>68606661</v>
      </c>
      <c r="B1348" t="s">
        <v>1454</v>
      </c>
      <c r="C1348" t="s">
        <v>54</v>
      </c>
    </row>
    <row r="1349" spans="1:3" x14ac:dyDescent="0.3">
      <c r="A1349">
        <v>68606663</v>
      </c>
      <c r="B1349" t="s">
        <v>1455</v>
      </c>
      <c r="C1349" t="s">
        <v>108</v>
      </c>
    </row>
    <row r="1350" spans="1:3" x14ac:dyDescent="0.3">
      <c r="A1350">
        <v>68606665</v>
      </c>
      <c r="B1350" t="s">
        <v>1456</v>
      </c>
      <c r="C1350" t="s">
        <v>108</v>
      </c>
    </row>
    <row r="1351" spans="1:3" x14ac:dyDescent="0.3">
      <c r="A1351">
        <v>68606667</v>
      </c>
      <c r="B1351" t="s">
        <v>1457</v>
      </c>
      <c r="C1351" t="s">
        <v>54</v>
      </c>
    </row>
    <row r="1352" spans="1:3" x14ac:dyDescent="0.3">
      <c r="A1352">
        <v>68608041</v>
      </c>
      <c r="B1352" t="s">
        <v>1458</v>
      </c>
      <c r="C1352" t="s">
        <v>54</v>
      </c>
    </row>
    <row r="1353" spans="1:3" x14ac:dyDescent="0.3">
      <c r="A1353">
        <v>68608043</v>
      </c>
      <c r="B1353" t="s">
        <v>1459</v>
      </c>
      <c r="C1353" t="s">
        <v>54</v>
      </c>
    </row>
    <row r="1354" spans="1:3" x14ac:dyDescent="0.3">
      <c r="A1354">
        <v>68609957</v>
      </c>
      <c r="B1354" t="s">
        <v>1460</v>
      </c>
      <c r="C1354" t="s">
        <v>56</v>
      </c>
    </row>
    <row r="1355" spans="1:3" x14ac:dyDescent="0.3">
      <c r="A1355">
        <v>68609961</v>
      </c>
      <c r="B1355" t="s">
        <v>1461</v>
      </c>
      <c r="C1355" t="s">
        <v>56</v>
      </c>
    </row>
    <row r="1356" spans="1:3" x14ac:dyDescent="0.3">
      <c r="A1356">
        <v>68609965</v>
      </c>
      <c r="B1356" t="s">
        <v>1462</v>
      </c>
      <c r="C1356" t="s">
        <v>318</v>
      </c>
    </row>
    <row r="1357" spans="1:3" x14ac:dyDescent="0.3">
      <c r="A1357">
        <v>68611221</v>
      </c>
      <c r="B1357" t="s">
        <v>1463</v>
      </c>
      <c r="C1357" t="s">
        <v>108</v>
      </c>
    </row>
    <row r="1358" spans="1:3" x14ac:dyDescent="0.3">
      <c r="A1358">
        <v>68611223</v>
      </c>
      <c r="B1358" t="s">
        <v>1464</v>
      </c>
      <c r="C1358" t="s">
        <v>54</v>
      </c>
    </row>
    <row r="1359" spans="1:3" x14ac:dyDescent="0.3">
      <c r="A1359">
        <v>68611225</v>
      </c>
      <c r="B1359" t="s">
        <v>1465</v>
      </c>
      <c r="C1359" t="s">
        <v>576</v>
      </c>
    </row>
    <row r="1360" spans="1:3" x14ac:dyDescent="0.3">
      <c r="A1360">
        <v>68611227</v>
      </c>
      <c r="B1360" t="s">
        <v>1466</v>
      </c>
      <c r="C1360" t="s">
        <v>108</v>
      </c>
    </row>
    <row r="1361" spans="1:3" x14ac:dyDescent="0.3">
      <c r="A1361">
        <v>68611229</v>
      </c>
      <c r="B1361" t="s">
        <v>1467</v>
      </c>
      <c r="C1361" t="s">
        <v>108</v>
      </c>
    </row>
    <row r="1362" spans="1:3" x14ac:dyDescent="0.3">
      <c r="A1362">
        <v>68611231</v>
      </c>
      <c r="B1362" t="s">
        <v>1468</v>
      </c>
      <c r="C1362" t="s">
        <v>108</v>
      </c>
    </row>
    <row r="1363" spans="1:3" x14ac:dyDescent="0.3">
      <c r="A1363">
        <v>68611233</v>
      </c>
      <c r="B1363" t="s">
        <v>1469</v>
      </c>
      <c r="C1363" t="s">
        <v>108</v>
      </c>
    </row>
    <row r="1364" spans="1:3" x14ac:dyDescent="0.3">
      <c r="A1364">
        <v>68611235</v>
      </c>
      <c r="B1364" t="s">
        <v>1470</v>
      </c>
      <c r="C1364" t="s">
        <v>108</v>
      </c>
    </row>
    <row r="1365" spans="1:3" x14ac:dyDescent="0.3">
      <c r="A1365">
        <v>68612329</v>
      </c>
      <c r="B1365" t="s">
        <v>1471</v>
      </c>
      <c r="C1365" t="s">
        <v>108</v>
      </c>
    </row>
    <row r="1366" spans="1:3" x14ac:dyDescent="0.3">
      <c r="A1366">
        <v>68617326</v>
      </c>
      <c r="B1366" t="s">
        <v>1472</v>
      </c>
      <c r="C1366" t="s">
        <v>414</v>
      </c>
    </row>
    <row r="1367" spans="1:3" x14ac:dyDescent="0.3">
      <c r="A1367">
        <v>68617328</v>
      </c>
      <c r="B1367" t="s">
        <v>1473</v>
      </c>
      <c r="C1367" t="s">
        <v>414</v>
      </c>
    </row>
    <row r="1368" spans="1:3" x14ac:dyDescent="0.3">
      <c r="A1368">
        <v>68617330</v>
      </c>
      <c r="B1368" t="s">
        <v>1474</v>
      </c>
      <c r="C1368" t="s">
        <v>414</v>
      </c>
    </row>
    <row r="1369" spans="1:3" x14ac:dyDescent="0.3">
      <c r="A1369">
        <v>68619572</v>
      </c>
      <c r="B1369" t="s">
        <v>1475</v>
      </c>
      <c r="C1369" t="s">
        <v>108</v>
      </c>
    </row>
    <row r="1370" spans="1:3" x14ac:dyDescent="0.3">
      <c r="A1370">
        <v>68619574</v>
      </c>
      <c r="B1370" t="s">
        <v>1476</v>
      </c>
      <c r="C1370" t="s">
        <v>108</v>
      </c>
    </row>
    <row r="1371" spans="1:3" x14ac:dyDescent="0.3">
      <c r="A1371">
        <v>68619576</v>
      </c>
      <c r="B1371" t="s">
        <v>1477</v>
      </c>
      <c r="C1371" t="s">
        <v>108</v>
      </c>
    </row>
    <row r="1372" spans="1:3" x14ac:dyDescent="0.3">
      <c r="A1372">
        <v>68620285</v>
      </c>
      <c r="B1372" t="s">
        <v>1478</v>
      </c>
      <c r="C1372" t="s">
        <v>108</v>
      </c>
    </row>
    <row r="1373" spans="1:3" x14ac:dyDescent="0.3">
      <c r="A1373">
        <v>68620287</v>
      </c>
      <c r="B1373" t="s">
        <v>1479</v>
      </c>
      <c r="C1373" t="s">
        <v>108</v>
      </c>
    </row>
    <row r="1374" spans="1:3" x14ac:dyDescent="0.3">
      <c r="A1374">
        <v>68620406</v>
      </c>
      <c r="B1374" t="s">
        <v>1480</v>
      </c>
      <c r="C1374" t="s">
        <v>53</v>
      </c>
    </row>
    <row r="1375" spans="1:3" x14ac:dyDescent="0.3">
      <c r="A1375">
        <v>68620408</v>
      </c>
      <c r="B1375" t="s">
        <v>1481</v>
      </c>
      <c r="C1375" t="s">
        <v>106</v>
      </c>
    </row>
    <row r="1376" spans="1:3" x14ac:dyDescent="0.3">
      <c r="A1376">
        <v>68621902</v>
      </c>
      <c r="B1376" t="s">
        <v>1482</v>
      </c>
      <c r="C1376" t="s">
        <v>56</v>
      </c>
    </row>
    <row r="1377" spans="1:3" x14ac:dyDescent="0.3">
      <c r="A1377">
        <v>68621904</v>
      </c>
      <c r="B1377" t="s">
        <v>1483</v>
      </c>
      <c r="C1377" t="s">
        <v>56</v>
      </c>
    </row>
    <row r="1378" spans="1:3" x14ac:dyDescent="0.3">
      <c r="A1378">
        <v>68621906</v>
      </c>
      <c r="B1378" t="s">
        <v>1484</v>
      </c>
      <c r="C1378" t="s">
        <v>56</v>
      </c>
    </row>
    <row r="1379" spans="1:3" x14ac:dyDescent="0.3">
      <c r="A1379">
        <v>68623341</v>
      </c>
      <c r="B1379" t="s">
        <v>1485</v>
      </c>
      <c r="C1379" t="s">
        <v>336</v>
      </c>
    </row>
    <row r="1380" spans="1:3" x14ac:dyDescent="0.3">
      <c r="A1380">
        <v>68623343</v>
      </c>
      <c r="B1380" t="s">
        <v>1486</v>
      </c>
      <c r="C1380" t="s">
        <v>336</v>
      </c>
    </row>
    <row r="1381" spans="1:3" x14ac:dyDescent="0.3">
      <c r="A1381">
        <v>68623345</v>
      </c>
      <c r="B1381" t="s">
        <v>1487</v>
      </c>
      <c r="C1381" t="s">
        <v>122</v>
      </c>
    </row>
    <row r="1382" spans="1:3" x14ac:dyDescent="0.3">
      <c r="A1382">
        <v>68623347</v>
      </c>
      <c r="B1382" t="s">
        <v>1488</v>
      </c>
      <c r="C1382" t="s">
        <v>122</v>
      </c>
    </row>
    <row r="1383" spans="1:3" x14ac:dyDescent="0.3">
      <c r="A1383">
        <v>68623349</v>
      </c>
      <c r="B1383" t="s">
        <v>1489</v>
      </c>
      <c r="C1383" t="s">
        <v>539</v>
      </c>
    </row>
    <row r="1384" spans="1:3" x14ac:dyDescent="0.3">
      <c r="A1384">
        <v>68623472</v>
      </c>
      <c r="B1384" t="s">
        <v>1490</v>
      </c>
      <c r="C1384" t="s">
        <v>106</v>
      </c>
    </row>
    <row r="1385" spans="1:3" x14ac:dyDescent="0.3">
      <c r="A1385">
        <v>68623474</v>
      </c>
      <c r="B1385" t="s">
        <v>1491</v>
      </c>
      <c r="C1385" t="s">
        <v>106</v>
      </c>
    </row>
    <row r="1386" spans="1:3" x14ac:dyDescent="0.3">
      <c r="A1386">
        <v>68626235</v>
      </c>
      <c r="B1386" t="s">
        <v>1492</v>
      </c>
      <c r="C1386" t="s">
        <v>108</v>
      </c>
    </row>
    <row r="1387" spans="1:3" x14ac:dyDescent="0.3">
      <c r="A1387">
        <v>68626237</v>
      </c>
      <c r="B1387" t="s">
        <v>1493</v>
      </c>
      <c r="C1387" t="s">
        <v>108</v>
      </c>
    </row>
    <row r="1388" spans="1:3" x14ac:dyDescent="0.3">
      <c r="A1388">
        <v>68626241</v>
      </c>
      <c r="B1388" t="s">
        <v>1494</v>
      </c>
      <c r="C1388" t="s">
        <v>108</v>
      </c>
    </row>
    <row r="1389" spans="1:3" x14ac:dyDescent="0.3">
      <c r="A1389">
        <v>68626243</v>
      </c>
      <c r="B1389" t="s">
        <v>1495</v>
      </c>
      <c r="C1389" t="s">
        <v>336</v>
      </c>
    </row>
    <row r="1390" spans="1:3" x14ac:dyDescent="0.3">
      <c r="A1390">
        <v>68627365</v>
      </c>
      <c r="B1390" t="s">
        <v>1496</v>
      </c>
      <c r="C1390" t="s">
        <v>54</v>
      </c>
    </row>
    <row r="1391" spans="1:3" x14ac:dyDescent="0.3">
      <c r="A1391">
        <v>68627521</v>
      </c>
      <c r="B1391" t="s">
        <v>1497</v>
      </c>
      <c r="C1391" t="s">
        <v>1498</v>
      </c>
    </row>
    <row r="1392" spans="1:3" x14ac:dyDescent="0.3">
      <c r="A1392">
        <v>68627523</v>
      </c>
      <c r="B1392" t="s">
        <v>1499</v>
      </c>
      <c r="C1392" t="s">
        <v>53</v>
      </c>
    </row>
    <row r="1393" spans="1:3" x14ac:dyDescent="0.3">
      <c r="A1393">
        <v>68627525</v>
      </c>
      <c r="B1393" t="s">
        <v>1500</v>
      </c>
      <c r="C1393" t="s">
        <v>53</v>
      </c>
    </row>
    <row r="1394" spans="1:3" x14ac:dyDescent="0.3">
      <c r="A1394">
        <v>68627529</v>
      </c>
      <c r="B1394" t="s">
        <v>1501</v>
      </c>
      <c r="C1394" t="s">
        <v>53</v>
      </c>
    </row>
    <row r="1395" spans="1:3" x14ac:dyDescent="0.3">
      <c r="A1395">
        <v>68627531</v>
      </c>
      <c r="B1395" t="s">
        <v>1502</v>
      </c>
      <c r="C1395" t="s">
        <v>53</v>
      </c>
    </row>
    <row r="1396" spans="1:3" x14ac:dyDescent="0.3">
      <c r="A1396">
        <v>68627533</v>
      </c>
      <c r="B1396" t="s">
        <v>1503</v>
      </c>
      <c r="C1396" t="s">
        <v>53</v>
      </c>
    </row>
    <row r="1397" spans="1:3" x14ac:dyDescent="0.3">
      <c r="A1397">
        <v>68627535</v>
      </c>
      <c r="B1397" t="s">
        <v>1504</v>
      </c>
      <c r="C1397" t="s">
        <v>53</v>
      </c>
    </row>
    <row r="1398" spans="1:3" x14ac:dyDescent="0.3">
      <c r="A1398">
        <v>68628325</v>
      </c>
      <c r="B1398" t="s">
        <v>1505</v>
      </c>
      <c r="C1398" t="s">
        <v>122</v>
      </c>
    </row>
    <row r="1399" spans="1:3" x14ac:dyDescent="0.3">
      <c r="A1399">
        <v>68628327</v>
      </c>
      <c r="B1399" t="s">
        <v>1506</v>
      </c>
      <c r="C1399" t="s">
        <v>539</v>
      </c>
    </row>
    <row r="1400" spans="1:3" x14ac:dyDescent="0.3">
      <c r="A1400">
        <v>68628329</v>
      </c>
      <c r="B1400" t="s">
        <v>1507</v>
      </c>
      <c r="C1400" t="s">
        <v>122</v>
      </c>
    </row>
    <row r="1401" spans="1:3" x14ac:dyDescent="0.3">
      <c r="A1401">
        <v>68628335</v>
      </c>
      <c r="B1401" t="s">
        <v>1508</v>
      </c>
      <c r="C1401" t="s">
        <v>1509</v>
      </c>
    </row>
    <row r="1402" spans="1:3" x14ac:dyDescent="0.3">
      <c r="A1402">
        <v>68628378</v>
      </c>
      <c r="B1402" t="s">
        <v>1510</v>
      </c>
      <c r="C1402" t="s">
        <v>380</v>
      </c>
    </row>
    <row r="1403" spans="1:3" x14ac:dyDescent="0.3">
      <c r="A1403">
        <v>68628790</v>
      </c>
      <c r="B1403" t="s">
        <v>1511</v>
      </c>
      <c r="C1403" t="s">
        <v>122</v>
      </c>
    </row>
    <row r="1404" spans="1:3" x14ac:dyDescent="0.3">
      <c r="A1404">
        <v>68628791</v>
      </c>
      <c r="B1404" t="s">
        <v>1512</v>
      </c>
      <c r="C1404" t="s">
        <v>122</v>
      </c>
    </row>
    <row r="1405" spans="1:3" x14ac:dyDescent="0.3">
      <c r="A1405">
        <v>68629840</v>
      </c>
      <c r="B1405" t="s">
        <v>1513</v>
      </c>
      <c r="C1405" t="s">
        <v>110</v>
      </c>
    </row>
    <row r="1406" spans="1:3" x14ac:dyDescent="0.3">
      <c r="A1406">
        <v>68629841</v>
      </c>
      <c r="B1406" t="s">
        <v>1514</v>
      </c>
      <c r="C1406" t="s">
        <v>110</v>
      </c>
    </row>
    <row r="1407" spans="1:3" x14ac:dyDescent="0.3">
      <c r="A1407">
        <v>68630483</v>
      </c>
      <c r="B1407" t="s">
        <v>1515</v>
      </c>
      <c r="C1407" t="s">
        <v>108</v>
      </c>
    </row>
    <row r="1408" spans="1:3" x14ac:dyDescent="0.3">
      <c r="A1408">
        <v>68630484</v>
      </c>
      <c r="B1408" t="s">
        <v>1516</v>
      </c>
      <c r="C1408" t="s">
        <v>108</v>
      </c>
    </row>
    <row r="1409" spans="1:3" x14ac:dyDescent="0.3">
      <c r="A1409">
        <v>68630593</v>
      </c>
      <c r="B1409" t="s">
        <v>1517</v>
      </c>
      <c r="C1409" t="s">
        <v>539</v>
      </c>
    </row>
    <row r="1410" spans="1:3" x14ac:dyDescent="0.3">
      <c r="A1410">
        <v>68630676</v>
      </c>
      <c r="B1410" t="s">
        <v>1518</v>
      </c>
      <c r="C1410" t="s">
        <v>110</v>
      </c>
    </row>
    <row r="1411" spans="1:3" x14ac:dyDescent="0.3">
      <c r="A1411">
        <v>68630678</v>
      </c>
      <c r="B1411" t="s">
        <v>1519</v>
      </c>
      <c r="C1411" t="s">
        <v>110</v>
      </c>
    </row>
    <row r="1412" spans="1:3" x14ac:dyDescent="0.3">
      <c r="A1412">
        <v>68631306</v>
      </c>
      <c r="B1412" t="s">
        <v>1520</v>
      </c>
      <c r="C1412" t="s">
        <v>122</v>
      </c>
    </row>
    <row r="1413" spans="1:3" x14ac:dyDescent="0.3">
      <c r="A1413">
        <v>68631311</v>
      </c>
      <c r="B1413" t="s">
        <v>1521</v>
      </c>
      <c r="C1413" t="s">
        <v>122</v>
      </c>
    </row>
    <row r="1414" spans="1:3" x14ac:dyDescent="0.3">
      <c r="A1414">
        <v>68631316</v>
      </c>
      <c r="B1414" t="s">
        <v>1522</v>
      </c>
      <c r="C1414" t="s">
        <v>122</v>
      </c>
    </row>
    <row r="1415" spans="1:3" x14ac:dyDescent="0.3">
      <c r="A1415">
        <v>68631318</v>
      </c>
      <c r="B1415" t="s">
        <v>1523</v>
      </c>
      <c r="C1415" t="s">
        <v>122</v>
      </c>
    </row>
    <row r="1416" spans="1:3" x14ac:dyDescent="0.3">
      <c r="A1416">
        <v>68631320</v>
      </c>
      <c r="B1416" t="s">
        <v>1524</v>
      </c>
      <c r="C1416" t="s">
        <v>122</v>
      </c>
    </row>
    <row r="1417" spans="1:3" x14ac:dyDescent="0.3">
      <c r="A1417">
        <v>68631322</v>
      </c>
      <c r="B1417" t="s">
        <v>1525</v>
      </c>
      <c r="C1417" t="s">
        <v>122</v>
      </c>
    </row>
    <row r="1418" spans="1:3" x14ac:dyDescent="0.3">
      <c r="A1418">
        <v>68632286</v>
      </c>
      <c r="B1418" t="s">
        <v>1526</v>
      </c>
      <c r="C1418" t="s">
        <v>181</v>
      </c>
    </row>
    <row r="1419" spans="1:3" x14ac:dyDescent="0.3">
      <c r="A1419">
        <v>68632288</v>
      </c>
      <c r="B1419" t="s">
        <v>1527</v>
      </c>
      <c r="C1419" t="s">
        <v>54</v>
      </c>
    </row>
    <row r="1420" spans="1:3" x14ac:dyDescent="0.3">
      <c r="A1420">
        <v>68632290</v>
      </c>
      <c r="B1420" t="s">
        <v>1528</v>
      </c>
      <c r="C1420" t="s">
        <v>54</v>
      </c>
    </row>
    <row r="1421" spans="1:3" x14ac:dyDescent="0.3">
      <c r="A1421">
        <v>68632292</v>
      </c>
      <c r="B1421" t="s">
        <v>1529</v>
      </c>
      <c r="C1421" t="s">
        <v>54</v>
      </c>
    </row>
    <row r="1422" spans="1:3" x14ac:dyDescent="0.3">
      <c r="A1422">
        <v>68632294</v>
      </c>
      <c r="B1422" t="s">
        <v>1530</v>
      </c>
      <c r="C1422" t="s">
        <v>120</v>
      </c>
    </row>
    <row r="1423" spans="1:3" x14ac:dyDescent="0.3">
      <c r="A1423">
        <v>68632296</v>
      </c>
      <c r="B1423" t="s">
        <v>1531</v>
      </c>
      <c r="C1423" t="s">
        <v>181</v>
      </c>
    </row>
    <row r="1424" spans="1:3" x14ac:dyDescent="0.3">
      <c r="A1424">
        <v>68632298</v>
      </c>
      <c r="B1424" t="s">
        <v>1532</v>
      </c>
      <c r="C1424" t="s">
        <v>53</v>
      </c>
    </row>
    <row r="1425" spans="1:3" x14ac:dyDescent="0.3">
      <c r="A1425">
        <v>68632300</v>
      </c>
      <c r="B1425" t="s">
        <v>1533</v>
      </c>
      <c r="C1425" t="s">
        <v>120</v>
      </c>
    </row>
    <row r="1426" spans="1:3" x14ac:dyDescent="0.3">
      <c r="A1426">
        <v>68632302</v>
      </c>
      <c r="B1426" t="s">
        <v>1534</v>
      </c>
      <c r="C1426" t="s">
        <v>54</v>
      </c>
    </row>
    <row r="1427" spans="1:3" x14ac:dyDescent="0.3">
      <c r="A1427">
        <v>68632304</v>
      </c>
      <c r="B1427" t="s">
        <v>1535</v>
      </c>
      <c r="C1427" t="s">
        <v>54</v>
      </c>
    </row>
    <row r="1428" spans="1:3" x14ac:dyDescent="0.3">
      <c r="A1428">
        <v>68632306</v>
      </c>
      <c r="B1428" t="s">
        <v>1536</v>
      </c>
      <c r="C1428" t="s">
        <v>54</v>
      </c>
    </row>
    <row r="1429" spans="1:3" x14ac:dyDescent="0.3">
      <c r="A1429">
        <v>68632308</v>
      </c>
      <c r="B1429" t="s">
        <v>1537</v>
      </c>
      <c r="C1429" t="s">
        <v>53</v>
      </c>
    </row>
    <row r="1430" spans="1:3" x14ac:dyDescent="0.3">
      <c r="A1430">
        <v>68632312</v>
      </c>
      <c r="B1430" t="s">
        <v>1538</v>
      </c>
      <c r="C1430" t="s">
        <v>120</v>
      </c>
    </row>
    <row r="1431" spans="1:3" x14ac:dyDescent="0.3">
      <c r="A1431">
        <v>68632318</v>
      </c>
      <c r="B1431" t="s">
        <v>1539</v>
      </c>
      <c r="C1431" t="s">
        <v>54</v>
      </c>
    </row>
    <row r="1432" spans="1:3" x14ac:dyDescent="0.3">
      <c r="A1432">
        <v>68634515</v>
      </c>
      <c r="B1432" t="s">
        <v>1540</v>
      </c>
      <c r="C1432" t="s">
        <v>54</v>
      </c>
    </row>
    <row r="1433" spans="1:3" x14ac:dyDescent="0.3">
      <c r="A1433">
        <v>68634517</v>
      </c>
      <c r="B1433" t="s">
        <v>1541</v>
      </c>
      <c r="C1433" t="s">
        <v>54</v>
      </c>
    </row>
    <row r="1434" spans="1:3" x14ac:dyDescent="0.3">
      <c r="A1434">
        <v>68634519</v>
      </c>
      <c r="B1434" t="s">
        <v>1542</v>
      </c>
      <c r="C1434" t="s">
        <v>54</v>
      </c>
    </row>
    <row r="1435" spans="1:3" x14ac:dyDescent="0.3">
      <c r="A1435">
        <v>68634521</v>
      </c>
      <c r="B1435" t="s">
        <v>1543</v>
      </c>
      <c r="C1435" t="s">
        <v>54</v>
      </c>
    </row>
    <row r="1436" spans="1:3" x14ac:dyDescent="0.3">
      <c r="A1436">
        <v>68634523</v>
      </c>
      <c r="B1436" t="s">
        <v>1544</v>
      </c>
      <c r="C1436" t="s">
        <v>54</v>
      </c>
    </row>
    <row r="1437" spans="1:3" x14ac:dyDescent="0.3">
      <c r="A1437">
        <v>68634525</v>
      </c>
      <c r="B1437" t="s">
        <v>1545</v>
      </c>
      <c r="C1437" t="s">
        <v>54</v>
      </c>
    </row>
    <row r="1438" spans="1:3" x14ac:dyDescent="0.3">
      <c r="A1438">
        <v>68634527</v>
      </c>
      <c r="B1438" t="s">
        <v>1546</v>
      </c>
      <c r="C1438" t="s">
        <v>54</v>
      </c>
    </row>
    <row r="1439" spans="1:3" x14ac:dyDescent="0.3">
      <c r="A1439">
        <v>68634559</v>
      </c>
      <c r="B1439" t="s">
        <v>1547</v>
      </c>
      <c r="C1439" t="s">
        <v>120</v>
      </c>
    </row>
    <row r="1440" spans="1:3" x14ac:dyDescent="0.3">
      <c r="A1440">
        <v>68634563</v>
      </c>
      <c r="B1440" t="s">
        <v>1548</v>
      </c>
      <c r="C1440" t="s">
        <v>120</v>
      </c>
    </row>
    <row r="1441" spans="1:3" x14ac:dyDescent="0.3">
      <c r="A1441">
        <v>68639741</v>
      </c>
      <c r="B1441" t="s">
        <v>1549</v>
      </c>
      <c r="C1441" t="s">
        <v>108</v>
      </c>
    </row>
    <row r="1442" spans="1:3" x14ac:dyDescent="0.3">
      <c r="A1442">
        <v>68639756</v>
      </c>
      <c r="B1442" t="s">
        <v>1550</v>
      </c>
      <c r="C1442" t="s">
        <v>120</v>
      </c>
    </row>
    <row r="1443" spans="1:3" x14ac:dyDescent="0.3">
      <c r="A1443">
        <v>68639760</v>
      </c>
      <c r="B1443" t="s">
        <v>1551</v>
      </c>
      <c r="C1443" t="s">
        <v>120</v>
      </c>
    </row>
    <row r="1444" spans="1:3" x14ac:dyDescent="0.3">
      <c r="A1444">
        <v>68639763</v>
      </c>
      <c r="B1444" t="s">
        <v>1552</v>
      </c>
      <c r="C1444" t="s">
        <v>120</v>
      </c>
    </row>
    <row r="1445" spans="1:3" x14ac:dyDescent="0.3">
      <c r="A1445">
        <v>68639765</v>
      </c>
      <c r="B1445" t="s">
        <v>1553</v>
      </c>
      <c r="C1445" t="s">
        <v>120</v>
      </c>
    </row>
    <row r="1446" spans="1:3" x14ac:dyDescent="0.3">
      <c r="A1446">
        <v>68639767</v>
      </c>
      <c r="B1446" t="s">
        <v>1554</v>
      </c>
      <c r="C1446" t="s">
        <v>120</v>
      </c>
    </row>
    <row r="1447" spans="1:3" x14ac:dyDescent="0.3">
      <c r="A1447">
        <v>68639769</v>
      </c>
      <c r="B1447" t="s">
        <v>1555</v>
      </c>
      <c r="C1447" t="s">
        <v>120</v>
      </c>
    </row>
    <row r="1448" spans="1:3" x14ac:dyDescent="0.3">
      <c r="A1448">
        <v>68639771</v>
      </c>
      <c r="B1448" t="s">
        <v>1556</v>
      </c>
      <c r="C1448" t="s">
        <v>120</v>
      </c>
    </row>
    <row r="1449" spans="1:3" x14ac:dyDescent="0.3">
      <c r="A1449">
        <v>68640570</v>
      </c>
      <c r="B1449" t="s">
        <v>1557</v>
      </c>
      <c r="C1449" t="s">
        <v>54</v>
      </c>
    </row>
    <row r="1450" spans="1:3" x14ac:dyDescent="0.3">
      <c r="A1450">
        <v>68640572</v>
      </c>
      <c r="B1450" t="s">
        <v>1558</v>
      </c>
      <c r="C1450" t="s">
        <v>54</v>
      </c>
    </row>
    <row r="1451" spans="1:3" x14ac:dyDescent="0.3">
      <c r="A1451">
        <v>68640574</v>
      </c>
      <c r="B1451" t="s">
        <v>1559</v>
      </c>
      <c r="C1451" t="s">
        <v>54</v>
      </c>
    </row>
    <row r="1452" spans="1:3" x14ac:dyDescent="0.3">
      <c r="A1452">
        <v>68640576</v>
      </c>
      <c r="B1452" t="s">
        <v>1560</v>
      </c>
      <c r="C1452" t="s">
        <v>54</v>
      </c>
    </row>
    <row r="1453" spans="1:3" x14ac:dyDescent="0.3">
      <c r="A1453">
        <v>68640578</v>
      </c>
      <c r="B1453" t="s">
        <v>1561</v>
      </c>
      <c r="C1453" t="s">
        <v>54</v>
      </c>
    </row>
    <row r="1454" spans="1:3" x14ac:dyDescent="0.3">
      <c r="A1454">
        <v>68644428</v>
      </c>
      <c r="B1454" t="s">
        <v>1562</v>
      </c>
      <c r="C1454" t="s">
        <v>54</v>
      </c>
    </row>
    <row r="1455" spans="1:3" x14ac:dyDescent="0.3">
      <c r="A1455">
        <v>68644561</v>
      </c>
      <c r="B1455" t="s">
        <v>1563</v>
      </c>
      <c r="C1455" t="s">
        <v>336</v>
      </c>
    </row>
    <row r="1456" spans="1:3" x14ac:dyDescent="0.3">
      <c r="A1456">
        <v>68644562</v>
      </c>
      <c r="B1456" t="s">
        <v>1564</v>
      </c>
      <c r="C1456" t="s">
        <v>539</v>
      </c>
    </row>
    <row r="1457" spans="1:3" x14ac:dyDescent="0.3">
      <c r="A1457">
        <v>68645465</v>
      </c>
      <c r="B1457" t="s">
        <v>1565</v>
      </c>
      <c r="C1457" t="s">
        <v>120</v>
      </c>
    </row>
    <row r="1458" spans="1:3" x14ac:dyDescent="0.3">
      <c r="A1458">
        <v>68645467</v>
      </c>
      <c r="B1458" t="s">
        <v>1566</v>
      </c>
      <c r="C1458" t="s">
        <v>120</v>
      </c>
    </row>
    <row r="1459" spans="1:3" x14ac:dyDescent="0.3">
      <c r="A1459">
        <v>68645473</v>
      </c>
      <c r="B1459" t="s">
        <v>1567</v>
      </c>
      <c r="C1459" t="s">
        <v>120</v>
      </c>
    </row>
    <row r="1460" spans="1:3" x14ac:dyDescent="0.3">
      <c r="A1460">
        <v>68645477</v>
      </c>
      <c r="B1460" t="s">
        <v>1568</v>
      </c>
      <c r="C1460" t="s">
        <v>120</v>
      </c>
    </row>
    <row r="1461" spans="1:3" x14ac:dyDescent="0.3">
      <c r="A1461">
        <v>68646798</v>
      </c>
      <c r="B1461" t="s">
        <v>1569</v>
      </c>
      <c r="C1461" t="s">
        <v>54</v>
      </c>
    </row>
    <row r="1462" spans="1:3" x14ac:dyDescent="0.3">
      <c r="A1462">
        <v>68646802</v>
      </c>
      <c r="B1462" t="s">
        <v>1570</v>
      </c>
      <c r="C1462" t="s">
        <v>108</v>
      </c>
    </row>
    <row r="1463" spans="1:3" x14ac:dyDescent="0.3">
      <c r="A1463">
        <v>68646823</v>
      </c>
      <c r="B1463" t="s">
        <v>1571</v>
      </c>
      <c r="C1463" t="s">
        <v>181</v>
      </c>
    </row>
    <row r="1464" spans="1:3" x14ac:dyDescent="0.3">
      <c r="A1464">
        <v>68646832</v>
      </c>
      <c r="B1464" t="s">
        <v>1572</v>
      </c>
      <c r="C1464" t="s">
        <v>104</v>
      </c>
    </row>
    <row r="1465" spans="1:3" x14ac:dyDescent="0.3">
      <c r="A1465">
        <v>68648072</v>
      </c>
      <c r="B1465" t="s">
        <v>1573</v>
      </c>
      <c r="C1465" t="s">
        <v>54</v>
      </c>
    </row>
    <row r="1466" spans="1:3" x14ac:dyDescent="0.3">
      <c r="A1466">
        <v>68648074</v>
      </c>
      <c r="B1466" t="s">
        <v>1574</v>
      </c>
      <c r="C1466" t="s">
        <v>54</v>
      </c>
    </row>
    <row r="1467" spans="1:3" x14ac:dyDescent="0.3">
      <c r="A1467">
        <v>68660722</v>
      </c>
      <c r="B1467" t="s">
        <v>1575</v>
      </c>
      <c r="C1467" t="s">
        <v>54</v>
      </c>
    </row>
    <row r="1468" spans="1:3" x14ac:dyDescent="0.3">
      <c r="A1468">
        <v>68660723</v>
      </c>
      <c r="B1468" t="s">
        <v>1576</v>
      </c>
      <c r="C1468" t="s">
        <v>54</v>
      </c>
    </row>
    <row r="1469" spans="1:3" x14ac:dyDescent="0.3">
      <c r="A1469">
        <v>68661929</v>
      </c>
      <c r="B1469" t="s">
        <v>1577</v>
      </c>
      <c r="C1469" t="s">
        <v>414</v>
      </c>
    </row>
    <row r="1470" spans="1:3" x14ac:dyDescent="0.3">
      <c r="A1470">
        <v>68661931</v>
      </c>
      <c r="B1470" t="s">
        <v>1578</v>
      </c>
      <c r="C1470" t="s">
        <v>414</v>
      </c>
    </row>
    <row r="1471" spans="1:3" x14ac:dyDescent="0.3">
      <c r="A1471">
        <v>68661934</v>
      </c>
      <c r="B1471" t="s">
        <v>1579</v>
      </c>
      <c r="C1471" t="s">
        <v>414</v>
      </c>
    </row>
    <row r="1472" spans="1:3" x14ac:dyDescent="0.3">
      <c r="A1472">
        <v>68667312</v>
      </c>
      <c r="B1472" t="s">
        <v>1580</v>
      </c>
      <c r="C1472" t="s">
        <v>336</v>
      </c>
    </row>
    <row r="1473" spans="1:3" x14ac:dyDescent="0.3">
      <c r="A1473">
        <v>68667314</v>
      </c>
      <c r="B1473" t="s">
        <v>1581</v>
      </c>
      <c r="C1473" t="s">
        <v>1582</v>
      </c>
    </row>
    <row r="1474" spans="1:3" x14ac:dyDescent="0.3">
      <c r="A1474">
        <v>68667316</v>
      </c>
      <c r="B1474" t="s">
        <v>1583</v>
      </c>
      <c r="C1474" t="s">
        <v>414</v>
      </c>
    </row>
    <row r="1475" spans="1:3" x14ac:dyDescent="0.3">
      <c r="A1475">
        <v>68669509</v>
      </c>
      <c r="B1475" t="s">
        <v>1584</v>
      </c>
      <c r="C1475" t="s">
        <v>54</v>
      </c>
    </row>
    <row r="1476" spans="1:3" x14ac:dyDescent="0.3">
      <c r="A1476">
        <v>68672081</v>
      </c>
      <c r="B1476" t="s">
        <v>1585</v>
      </c>
      <c r="C1476" t="s">
        <v>54</v>
      </c>
    </row>
    <row r="1477" spans="1:3" x14ac:dyDescent="0.3">
      <c r="A1477">
        <v>68674275</v>
      </c>
      <c r="B1477" t="s">
        <v>1586</v>
      </c>
      <c r="C1477" t="s">
        <v>110</v>
      </c>
    </row>
    <row r="1478" spans="1:3" x14ac:dyDescent="0.3">
      <c r="A1478">
        <v>68675992</v>
      </c>
      <c r="B1478" t="s">
        <v>1587</v>
      </c>
      <c r="C1478" t="s">
        <v>414</v>
      </c>
    </row>
    <row r="1479" spans="1:3" x14ac:dyDescent="0.3">
      <c r="A1479">
        <v>68676184</v>
      </c>
      <c r="B1479" t="s">
        <v>1588</v>
      </c>
      <c r="C1479" t="s">
        <v>131</v>
      </c>
    </row>
    <row r="1480" spans="1:3" x14ac:dyDescent="0.3">
      <c r="A1480">
        <v>68676186</v>
      </c>
      <c r="B1480" t="s">
        <v>1589</v>
      </c>
      <c r="C1480" t="s">
        <v>108</v>
      </c>
    </row>
    <row r="1481" spans="1:3" x14ac:dyDescent="0.3">
      <c r="A1481">
        <v>68676188</v>
      </c>
      <c r="B1481" t="s">
        <v>1590</v>
      </c>
      <c r="C1481" t="s">
        <v>131</v>
      </c>
    </row>
    <row r="1482" spans="1:3" x14ac:dyDescent="0.3">
      <c r="A1482">
        <v>68676190</v>
      </c>
      <c r="B1482" t="s">
        <v>1591</v>
      </c>
      <c r="C1482" t="s">
        <v>108</v>
      </c>
    </row>
    <row r="1483" spans="1:3" x14ac:dyDescent="0.3">
      <c r="A1483">
        <v>68677960</v>
      </c>
      <c r="B1483" t="s">
        <v>1592</v>
      </c>
      <c r="C1483" t="s">
        <v>129</v>
      </c>
    </row>
    <row r="1484" spans="1:3" x14ac:dyDescent="0.3">
      <c r="A1484">
        <v>68678091</v>
      </c>
      <c r="B1484" t="s">
        <v>1593</v>
      </c>
      <c r="C1484" t="s">
        <v>414</v>
      </c>
    </row>
    <row r="1485" spans="1:3" x14ac:dyDescent="0.3">
      <c r="A1485">
        <v>68678093</v>
      </c>
      <c r="B1485" t="s">
        <v>1594</v>
      </c>
      <c r="C1485" t="s">
        <v>414</v>
      </c>
    </row>
    <row r="1486" spans="1:3" x14ac:dyDescent="0.3">
      <c r="A1486">
        <v>68678095</v>
      </c>
      <c r="B1486" t="s">
        <v>1595</v>
      </c>
      <c r="C1486" t="s">
        <v>414</v>
      </c>
    </row>
    <row r="1487" spans="1:3" x14ac:dyDescent="0.3">
      <c r="A1487">
        <v>68678097</v>
      </c>
      <c r="B1487" t="s">
        <v>1596</v>
      </c>
      <c r="C1487" t="s">
        <v>414</v>
      </c>
    </row>
    <row r="1488" spans="1:3" x14ac:dyDescent="0.3">
      <c r="A1488">
        <v>68678103</v>
      </c>
      <c r="B1488" t="s">
        <v>1597</v>
      </c>
      <c r="C1488" t="s">
        <v>414</v>
      </c>
    </row>
    <row r="1489" spans="1:3" x14ac:dyDescent="0.3">
      <c r="A1489">
        <v>68678105</v>
      </c>
      <c r="B1489" t="s">
        <v>1598</v>
      </c>
      <c r="C1489" t="s">
        <v>414</v>
      </c>
    </row>
    <row r="1490" spans="1:3" x14ac:dyDescent="0.3">
      <c r="A1490">
        <v>68678107</v>
      </c>
      <c r="B1490" t="s">
        <v>1599</v>
      </c>
      <c r="C1490" t="s">
        <v>414</v>
      </c>
    </row>
    <row r="1491" spans="1:3" x14ac:dyDescent="0.3">
      <c r="A1491">
        <v>68681020</v>
      </c>
      <c r="B1491" t="s">
        <v>1600</v>
      </c>
      <c r="C1491" t="s">
        <v>336</v>
      </c>
    </row>
    <row r="1492" spans="1:3" x14ac:dyDescent="0.3">
      <c r="A1492">
        <v>68681022</v>
      </c>
      <c r="B1492" t="s">
        <v>1601</v>
      </c>
      <c r="C1492" t="s">
        <v>336</v>
      </c>
    </row>
    <row r="1493" spans="1:3" x14ac:dyDescent="0.3">
      <c r="A1493">
        <v>68681024</v>
      </c>
      <c r="B1493" t="s">
        <v>1602</v>
      </c>
      <c r="C1493" t="s">
        <v>336</v>
      </c>
    </row>
    <row r="1494" spans="1:3" x14ac:dyDescent="0.3">
      <c r="A1494">
        <v>68681295</v>
      </c>
      <c r="B1494" t="s">
        <v>1603</v>
      </c>
      <c r="C1494" t="s">
        <v>104</v>
      </c>
    </row>
    <row r="1495" spans="1:3" x14ac:dyDescent="0.3">
      <c r="A1495">
        <v>68683326</v>
      </c>
      <c r="B1495" t="s">
        <v>1604</v>
      </c>
      <c r="C1495" t="s">
        <v>318</v>
      </c>
    </row>
    <row r="1496" spans="1:3" x14ac:dyDescent="0.3">
      <c r="A1496">
        <v>68683327</v>
      </c>
      <c r="B1496" t="s">
        <v>1605</v>
      </c>
      <c r="C1496" t="s">
        <v>318</v>
      </c>
    </row>
    <row r="1497" spans="1:3" x14ac:dyDescent="0.3">
      <c r="A1497">
        <v>68683524</v>
      </c>
      <c r="B1497" t="s">
        <v>1606</v>
      </c>
      <c r="C1497" t="s">
        <v>120</v>
      </c>
    </row>
    <row r="1498" spans="1:3" x14ac:dyDescent="0.3">
      <c r="A1498">
        <v>68683528</v>
      </c>
      <c r="B1498" t="s">
        <v>316</v>
      </c>
      <c r="C1498" t="s">
        <v>120</v>
      </c>
    </row>
    <row r="1499" spans="1:3" x14ac:dyDescent="0.3">
      <c r="A1499">
        <v>68685548</v>
      </c>
      <c r="B1499" t="s">
        <v>1607</v>
      </c>
      <c r="C1499" t="s">
        <v>318</v>
      </c>
    </row>
    <row r="1500" spans="1:3" x14ac:dyDescent="0.3">
      <c r="A1500">
        <v>68685550</v>
      </c>
      <c r="B1500" t="s">
        <v>1608</v>
      </c>
      <c r="C1500" t="s">
        <v>318</v>
      </c>
    </row>
    <row r="1501" spans="1:3" x14ac:dyDescent="0.3">
      <c r="A1501">
        <v>68685552</v>
      </c>
      <c r="B1501" t="s">
        <v>1609</v>
      </c>
      <c r="C1501" t="s">
        <v>129</v>
      </c>
    </row>
    <row r="1502" spans="1:3" x14ac:dyDescent="0.3">
      <c r="A1502">
        <v>68685554</v>
      </c>
      <c r="B1502" t="s">
        <v>1610</v>
      </c>
      <c r="C1502" t="s">
        <v>129</v>
      </c>
    </row>
    <row r="1503" spans="1:3" x14ac:dyDescent="0.3">
      <c r="A1503">
        <v>68685702</v>
      </c>
      <c r="B1503" t="s">
        <v>1611</v>
      </c>
      <c r="C1503" t="s">
        <v>54</v>
      </c>
    </row>
    <row r="1504" spans="1:3" x14ac:dyDescent="0.3">
      <c r="A1504">
        <v>68685711</v>
      </c>
      <c r="B1504" t="s">
        <v>1612</v>
      </c>
      <c r="C1504" t="s">
        <v>54</v>
      </c>
    </row>
    <row r="1505" spans="1:3" x14ac:dyDescent="0.3">
      <c r="A1505" t="s">
        <v>1613</v>
      </c>
      <c r="B1505" t="s">
        <v>1614</v>
      </c>
      <c r="C1505" t="s">
        <v>54</v>
      </c>
    </row>
    <row r="1506" spans="1:3" x14ac:dyDescent="0.3">
      <c r="A1506">
        <v>68685713</v>
      </c>
      <c r="B1506" t="s">
        <v>1615</v>
      </c>
      <c r="C1506" t="s">
        <v>108</v>
      </c>
    </row>
    <row r="1507" spans="1:3" x14ac:dyDescent="0.3">
      <c r="A1507">
        <v>68685715</v>
      </c>
      <c r="B1507" t="s">
        <v>1616</v>
      </c>
      <c r="C1507" t="s">
        <v>108</v>
      </c>
    </row>
    <row r="1508" spans="1:3" x14ac:dyDescent="0.3">
      <c r="A1508">
        <v>68685874</v>
      </c>
      <c r="B1508" t="s">
        <v>1617</v>
      </c>
      <c r="C1508" t="s">
        <v>122</v>
      </c>
    </row>
    <row r="1509" spans="1:3" x14ac:dyDescent="0.3">
      <c r="A1509">
        <v>68685876</v>
      </c>
      <c r="B1509" t="s">
        <v>1618</v>
      </c>
      <c r="C1509" t="s">
        <v>336</v>
      </c>
    </row>
    <row r="1510" spans="1:3" x14ac:dyDescent="0.3">
      <c r="A1510">
        <v>68685878</v>
      </c>
      <c r="B1510" t="s">
        <v>1619</v>
      </c>
      <c r="C1510" t="s">
        <v>336</v>
      </c>
    </row>
    <row r="1511" spans="1:3" x14ac:dyDescent="0.3">
      <c r="A1511">
        <v>68685880</v>
      </c>
      <c r="B1511" t="s">
        <v>1620</v>
      </c>
      <c r="C1511" t="s">
        <v>122</v>
      </c>
    </row>
    <row r="1512" spans="1:3" x14ac:dyDescent="0.3">
      <c r="A1512">
        <v>68694641</v>
      </c>
      <c r="B1512" t="s">
        <v>1621</v>
      </c>
      <c r="C1512" t="s">
        <v>108</v>
      </c>
    </row>
    <row r="1513" spans="1:3" x14ac:dyDescent="0.3">
      <c r="A1513">
        <v>68695446</v>
      </c>
      <c r="B1513" t="s">
        <v>1622</v>
      </c>
      <c r="C1513" t="s">
        <v>991</v>
      </c>
    </row>
    <row r="1514" spans="1:3" x14ac:dyDescent="0.3">
      <c r="A1514">
        <v>68695447</v>
      </c>
      <c r="B1514" t="s">
        <v>1623</v>
      </c>
      <c r="C1514" t="s">
        <v>177</v>
      </c>
    </row>
    <row r="1515" spans="1:3" x14ac:dyDescent="0.3">
      <c r="A1515">
        <v>68695888</v>
      </c>
      <c r="B1515" t="s">
        <v>1624</v>
      </c>
      <c r="C1515" t="s">
        <v>108</v>
      </c>
    </row>
    <row r="1516" spans="1:3" x14ac:dyDescent="0.3">
      <c r="A1516">
        <v>68695889</v>
      </c>
      <c r="B1516" t="s">
        <v>1625</v>
      </c>
      <c r="C1516" t="s">
        <v>54</v>
      </c>
    </row>
    <row r="1517" spans="1:3" x14ac:dyDescent="0.3">
      <c r="A1517">
        <v>68695892</v>
      </c>
      <c r="B1517" t="s">
        <v>1626</v>
      </c>
      <c r="C1517" t="s">
        <v>122</v>
      </c>
    </row>
    <row r="1518" spans="1:3" x14ac:dyDescent="0.3">
      <c r="A1518">
        <v>68695894</v>
      </c>
      <c r="B1518" t="s">
        <v>1627</v>
      </c>
      <c r="C1518" t="s">
        <v>576</v>
      </c>
    </row>
    <row r="1519" spans="1:3" x14ac:dyDescent="0.3">
      <c r="A1519">
        <v>68695896</v>
      </c>
      <c r="B1519" t="s">
        <v>1628</v>
      </c>
      <c r="C1519" t="s">
        <v>122</v>
      </c>
    </row>
    <row r="1520" spans="1:3" x14ac:dyDescent="0.3">
      <c r="A1520">
        <v>68695897</v>
      </c>
      <c r="B1520" t="s">
        <v>1629</v>
      </c>
      <c r="C1520" t="s">
        <v>336</v>
      </c>
    </row>
    <row r="1521" spans="1:3" x14ac:dyDescent="0.3">
      <c r="A1521">
        <v>68695929</v>
      </c>
      <c r="B1521" t="s">
        <v>1630</v>
      </c>
      <c r="C1521" t="s">
        <v>54</v>
      </c>
    </row>
    <row r="1522" spans="1:3" x14ac:dyDescent="0.3">
      <c r="A1522">
        <v>68698598</v>
      </c>
      <c r="B1522" t="s">
        <v>1631</v>
      </c>
      <c r="C1522" t="s">
        <v>131</v>
      </c>
    </row>
    <row r="1523" spans="1:3" x14ac:dyDescent="0.3">
      <c r="A1523">
        <v>68698600</v>
      </c>
      <c r="B1523" t="s">
        <v>1632</v>
      </c>
      <c r="C1523" t="s">
        <v>131</v>
      </c>
    </row>
    <row r="1524" spans="1:3" x14ac:dyDescent="0.3">
      <c r="A1524">
        <v>68698602</v>
      </c>
      <c r="B1524" t="s">
        <v>1633</v>
      </c>
      <c r="C1524" t="s">
        <v>131</v>
      </c>
    </row>
    <row r="1525" spans="1:3" x14ac:dyDescent="0.3">
      <c r="A1525">
        <v>68700213</v>
      </c>
      <c r="B1525" t="s">
        <v>1634</v>
      </c>
      <c r="C1525" t="s">
        <v>53</v>
      </c>
    </row>
    <row r="1526" spans="1:3" x14ac:dyDescent="0.3">
      <c r="A1526">
        <v>68700215</v>
      </c>
      <c r="B1526" t="s">
        <v>1635</v>
      </c>
      <c r="C1526" t="s">
        <v>53</v>
      </c>
    </row>
    <row r="1527" spans="1:3" x14ac:dyDescent="0.3">
      <c r="A1527">
        <v>68700217</v>
      </c>
      <c r="B1527" t="s">
        <v>1636</v>
      </c>
      <c r="C1527" t="s">
        <v>53</v>
      </c>
    </row>
    <row r="1528" spans="1:3" x14ac:dyDescent="0.3">
      <c r="A1528">
        <v>68700219</v>
      </c>
      <c r="B1528" t="s">
        <v>1637</v>
      </c>
      <c r="C1528" t="s">
        <v>53</v>
      </c>
    </row>
    <row r="1529" spans="1:3" x14ac:dyDescent="0.3">
      <c r="A1529">
        <v>68700841</v>
      </c>
      <c r="B1529" t="s">
        <v>1638</v>
      </c>
      <c r="C1529" t="s">
        <v>110</v>
      </c>
    </row>
    <row r="1530" spans="1:3" x14ac:dyDescent="0.3">
      <c r="A1530">
        <v>68700843</v>
      </c>
      <c r="B1530" t="s">
        <v>1639</v>
      </c>
      <c r="C1530" t="s">
        <v>110</v>
      </c>
    </row>
    <row r="1531" spans="1:3" x14ac:dyDescent="0.3">
      <c r="A1531">
        <v>68700908</v>
      </c>
      <c r="B1531" t="s">
        <v>1640</v>
      </c>
      <c r="C1531" t="s">
        <v>246</v>
      </c>
    </row>
    <row r="1532" spans="1:3" x14ac:dyDescent="0.3">
      <c r="A1532">
        <v>68700910</v>
      </c>
      <c r="B1532" t="s">
        <v>1641</v>
      </c>
      <c r="C1532" t="s">
        <v>120</v>
      </c>
    </row>
    <row r="1533" spans="1:3" x14ac:dyDescent="0.3">
      <c r="A1533">
        <v>68701125</v>
      </c>
      <c r="B1533" t="s">
        <v>1642</v>
      </c>
      <c r="C1533" t="s">
        <v>54</v>
      </c>
    </row>
    <row r="1534" spans="1:3" x14ac:dyDescent="0.3">
      <c r="A1534" t="s">
        <v>1643</v>
      </c>
      <c r="B1534" t="s">
        <v>83</v>
      </c>
      <c r="C1534" t="s">
        <v>54</v>
      </c>
    </row>
    <row r="1535" spans="1:3" x14ac:dyDescent="0.3">
      <c r="A1535">
        <v>68702811</v>
      </c>
      <c r="B1535" t="s">
        <v>1644</v>
      </c>
      <c r="C1535" t="s">
        <v>54</v>
      </c>
    </row>
    <row r="1536" spans="1:3" x14ac:dyDescent="0.3">
      <c r="A1536">
        <v>68705125</v>
      </c>
      <c r="B1536" t="s">
        <v>1645</v>
      </c>
      <c r="C1536" t="s">
        <v>122</v>
      </c>
    </row>
    <row r="1537" spans="1:3" x14ac:dyDescent="0.3">
      <c r="A1537">
        <v>68705127</v>
      </c>
      <c r="B1537" t="s">
        <v>1646</v>
      </c>
      <c r="C1537" t="s">
        <v>414</v>
      </c>
    </row>
    <row r="1538" spans="1:3" x14ac:dyDescent="0.3">
      <c r="A1538">
        <v>68705129</v>
      </c>
      <c r="B1538" t="s">
        <v>1647</v>
      </c>
      <c r="C1538" t="s">
        <v>336</v>
      </c>
    </row>
    <row r="1539" spans="1:3" x14ac:dyDescent="0.3">
      <c r="A1539">
        <v>68705132</v>
      </c>
      <c r="B1539" t="s">
        <v>1648</v>
      </c>
      <c r="C1539" t="s">
        <v>122</v>
      </c>
    </row>
    <row r="1540" spans="1:3" x14ac:dyDescent="0.3">
      <c r="A1540">
        <v>68706146</v>
      </c>
      <c r="B1540" t="s">
        <v>1649</v>
      </c>
      <c r="C1540" t="s">
        <v>53</v>
      </c>
    </row>
    <row r="1541" spans="1:3" x14ac:dyDescent="0.3">
      <c r="A1541">
        <v>68706148</v>
      </c>
      <c r="B1541" t="s">
        <v>1650</v>
      </c>
      <c r="C1541" t="s">
        <v>53</v>
      </c>
    </row>
    <row r="1542" spans="1:3" x14ac:dyDescent="0.3">
      <c r="A1542">
        <v>68706395</v>
      </c>
      <c r="B1542" t="s">
        <v>1651</v>
      </c>
      <c r="C1542" t="s">
        <v>414</v>
      </c>
    </row>
    <row r="1543" spans="1:3" x14ac:dyDescent="0.3">
      <c r="A1543">
        <v>68706399</v>
      </c>
      <c r="B1543" t="s">
        <v>1652</v>
      </c>
      <c r="C1543" t="s">
        <v>53</v>
      </c>
    </row>
    <row r="1544" spans="1:3" x14ac:dyDescent="0.3">
      <c r="A1544">
        <v>68706401</v>
      </c>
      <c r="B1544" t="s">
        <v>1653</v>
      </c>
      <c r="C1544" t="s">
        <v>414</v>
      </c>
    </row>
    <row r="1545" spans="1:3" x14ac:dyDescent="0.3">
      <c r="A1545">
        <v>68706405</v>
      </c>
      <c r="B1545" t="s">
        <v>1654</v>
      </c>
      <c r="C1545" t="s">
        <v>53</v>
      </c>
    </row>
    <row r="1546" spans="1:3" x14ac:dyDescent="0.3">
      <c r="A1546">
        <v>68709327</v>
      </c>
      <c r="B1546" t="s">
        <v>1655</v>
      </c>
      <c r="C1546" t="s">
        <v>53</v>
      </c>
    </row>
    <row r="1547" spans="1:3" x14ac:dyDescent="0.3">
      <c r="A1547">
        <v>68709834</v>
      </c>
      <c r="B1547" t="s">
        <v>1656</v>
      </c>
      <c r="C1547" t="s">
        <v>120</v>
      </c>
    </row>
    <row r="1548" spans="1:3" x14ac:dyDescent="0.3">
      <c r="A1548">
        <v>68712954</v>
      </c>
      <c r="B1548" t="s">
        <v>1657</v>
      </c>
      <c r="C1548" t="s">
        <v>54</v>
      </c>
    </row>
    <row r="1549" spans="1:3" x14ac:dyDescent="0.3">
      <c r="A1549">
        <v>68712956</v>
      </c>
      <c r="B1549" t="s">
        <v>1658</v>
      </c>
      <c r="C1549" t="s">
        <v>54</v>
      </c>
    </row>
    <row r="1550" spans="1:3" x14ac:dyDescent="0.3">
      <c r="A1550">
        <v>68712958</v>
      </c>
      <c r="B1550" t="s">
        <v>1659</v>
      </c>
      <c r="C1550" t="s">
        <v>120</v>
      </c>
    </row>
    <row r="1551" spans="1:3" x14ac:dyDescent="0.3">
      <c r="A1551">
        <v>68713169</v>
      </c>
      <c r="B1551" t="s">
        <v>1660</v>
      </c>
      <c r="C1551" t="s">
        <v>110</v>
      </c>
    </row>
    <row r="1552" spans="1:3" x14ac:dyDescent="0.3">
      <c r="A1552">
        <v>68717855</v>
      </c>
      <c r="B1552" t="s">
        <v>1661</v>
      </c>
      <c r="C1552" t="s">
        <v>108</v>
      </c>
    </row>
    <row r="1553" spans="1:3" x14ac:dyDescent="0.3">
      <c r="A1553">
        <v>68717857</v>
      </c>
      <c r="B1553" t="s">
        <v>1662</v>
      </c>
      <c r="C1553" t="s">
        <v>318</v>
      </c>
    </row>
    <row r="1554" spans="1:3" x14ac:dyDescent="0.3">
      <c r="A1554">
        <v>68721204</v>
      </c>
      <c r="B1554" t="s">
        <v>1663</v>
      </c>
      <c r="C1554" t="s">
        <v>129</v>
      </c>
    </row>
    <row r="1555" spans="1:3" x14ac:dyDescent="0.3">
      <c r="A1555">
        <v>68721205</v>
      </c>
      <c r="B1555" t="s">
        <v>1664</v>
      </c>
      <c r="C1555" t="s">
        <v>110</v>
      </c>
    </row>
    <row r="1556" spans="1:3" x14ac:dyDescent="0.3">
      <c r="A1556">
        <v>68721217</v>
      </c>
      <c r="B1556" t="s">
        <v>1665</v>
      </c>
      <c r="C1556" t="s">
        <v>129</v>
      </c>
    </row>
    <row r="1557" spans="1:3" x14ac:dyDescent="0.3">
      <c r="A1557">
        <v>68724695</v>
      </c>
      <c r="B1557" t="s">
        <v>1666</v>
      </c>
      <c r="C1557" t="s">
        <v>318</v>
      </c>
    </row>
    <row r="1558" spans="1:3" x14ac:dyDescent="0.3">
      <c r="A1558">
        <v>68725004</v>
      </c>
      <c r="B1558" t="s">
        <v>1667</v>
      </c>
      <c r="C1558" t="s">
        <v>53</v>
      </c>
    </row>
    <row r="1559" spans="1:3" x14ac:dyDescent="0.3">
      <c r="A1559">
        <v>68725755</v>
      </c>
      <c r="B1559" t="s">
        <v>1668</v>
      </c>
      <c r="C1559" t="s">
        <v>539</v>
      </c>
    </row>
    <row r="1560" spans="1:3" x14ac:dyDescent="0.3">
      <c r="A1560">
        <v>68727727</v>
      </c>
      <c r="B1560" t="s">
        <v>1669</v>
      </c>
      <c r="C1560" t="s">
        <v>54</v>
      </c>
    </row>
    <row r="1561" spans="1:3" x14ac:dyDescent="0.3">
      <c r="A1561">
        <v>68727729</v>
      </c>
      <c r="B1561" t="s">
        <v>1670</v>
      </c>
      <c r="C1561" t="s">
        <v>54</v>
      </c>
    </row>
    <row r="1562" spans="1:3" x14ac:dyDescent="0.3">
      <c r="A1562">
        <v>68727733</v>
      </c>
      <c r="B1562" t="s">
        <v>1671</v>
      </c>
      <c r="C1562" t="s">
        <v>246</v>
      </c>
    </row>
    <row r="1563" spans="1:3" x14ac:dyDescent="0.3">
      <c r="A1563">
        <v>68727735</v>
      </c>
      <c r="B1563" t="s">
        <v>1672</v>
      </c>
      <c r="C1563" t="s">
        <v>120</v>
      </c>
    </row>
    <row r="1564" spans="1:3" x14ac:dyDescent="0.3">
      <c r="A1564">
        <v>68727929</v>
      </c>
      <c r="B1564" t="s">
        <v>1673</v>
      </c>
      <c r="C1564" t="s">
        <v>54</v>
      </c>
    </row>
    <row r="1565" spans="1:3" x14ac:dyDescent="0.3">
      <c r="A1565">
        <v>68727931</v>
      </c>
      <c r="B1565" t="s">
        <v>1674</v>
      </c>
      <c r="C1565" t="s">
        <v>54</v>
      </c>
    </row>
    <row r="1566" spans="1:3" x14ac:dyDescent="0.3">
      <c r="A1566">
        <v>68727933</v>
      </c>
      <c r="B1566" t="s">
        <v>1675</v>
      </c>
      <c r="C1566" t="s">
        <v>54</v>
      </c>
    </row>
    <row r="1567" spans="1:3" x14ac:dyDescent="0.3">
      <c r="A1567">
        <v>68727935</v>
      </c>
      <c r="B1567" t="s">
        <v>1676</v>
      </c>
      <c r="C1567" t="s">
        <v>120</v>
      </c>
    </row>
    <row r="1568" spans="1:3" x14ac:dyDescent="0.3">
      <c r="A1568">
        <v>68727938</v>
      </c>
      <c r="B1568" t="s">
        <v>1677</v>
      </c>
      <c r="C1568" t="s">
        <v>246</v>
      </c>
    </row>
    <row r="1569" spans="1:3" x14ac:dyDescent="0.3">
      <c r="A1569">
        <v>68727940</v>
      </c>
      <c r="B1569" t="s">
        <v>1678</v>
      </c>
      <c r="C1569" t="s">
        <v>246</v>
      </c>
    </row>
    <row r="1570" spans="1:3" x14ac:dyDescent="0.3">
      <c r="A1570">
        <v>68727942</v>
      </c>
      <c r="B1570" t="s">
        <v>1679</v>
      </c>
      <c r="C1570" t="s">
        <v>54</v>
      </c>
    </row>
    <row r="1571" spans="1:3" x14ac:dyDescent="0.3">
      <c r="A1571">
        <v>68727944</v>
      </c>
      <c r="B1571" t="s">
        <v>1680</v>
      </c>
      <c r="C1571" t="s">
        <v>54</v>
      </c>
    </row>
    <row r="1572" spans="1:3" x14ac:dyDescent="0.3">
      <c r="A1572">
        <v>68727947</v>
      </c>
      <c r="B1572" t="s">
        <v>1681</v>
      </c>
      <c r="C1572" t="s">
        <v>54</v>
      </c>
    </row>
    <row r="1573" spans="1:3" x14ac:dyDescent="0.3">
      <c r="A1573">
        <v>68728147</v>
      </c>
      <c r="B1573" t="s">
        <v>1682</v>
      </c>
      <c r="C1573" t="s">
        <v>122</v>
      </c>
    </row>
    <row r="1574" spans="1:3" x14ac:dyDescent="0.3">
      <c r="A1574">
        <v>68728149</v>
      </c>
      <c r="B1574" t="s">
        <v>1683</v>
      </c>
      <c r="C1574" t="s">
        <v>122</v>
      </c>
    </row>
    <row r="1575" spans="1:3" x14ac:dyDescent="0.3">
      <c r="A1575">
        <v>68728151</v>
      </c>
      <c r="B1575" t="s">
        <v>1684</v>
      </c>
      <c r="C1575" t="s">
        <v>122</v>
      </c>
    </row>
    <row r="1576" spans="1:3" x14ac:dyDescent="0.3">
      <c r="A1576">
        <v>68728153</v>
      </c>
      <c r="B1576" t="s">
        <v>1685</v>
      </c>
      <c r="C1576" t="s">
        <v>122</v>
      </c>
    </row>
    <row r="1577" spans="1:3" x14ac:dyDescent="0.3">
      <c r="A1577">
        <v>68729226</v>
      </c>
      <c r="B1577" t="s">
        <v>1686</v>
      </c>
      <c r="C1577" t="s">
        <v>106</v>
      </c>
    </row>
    <row r="1578" spans="1:3" x14ac:dyDescent="0.3">
      <c r="A1578">
        <v>68734582</v>
      </c>
      <c r="B1578" t="s">
        <v>1687</v>
      </c>
      <c r="C1578" t="s">
        <v>122</v>
      </c>
    </row>
    <row r="1579" spans="1:3" x14ac:dyDescent="0.3">
      <c r="A1579">
        <v>68734584</v>
      </c>
      <c r="B1579" t="s">
        <v>1688</v>
      </c>
      <c r="C1579" t="s">
        <v>122</v>
      </c>
    </row>
    <row r="1580" spans="1:3" x14ac:dyDescent="0.3">
      <c r="A1580">
        <v>68734588</v>
      </c>
      <c r="B1580" t="s">
        <v>1689</v>
      </c>
      <c r="C1580" t="s">
        <v>122</v>
      </c>
    </row>
    <row r="1581" spans="1:3" x14ac:dyDescent="0.3">
      <c r="A1581">
        <v>68734594</v>
      </c>
      <c r="B1581" t="s">
        <v>1690</v>
      </c>
      <c r="C1581" t="s">
        <v>122</v>
      </c>
    </row>
    <row r="1582" spans="1:3" x14ac:dyDescent="0.3">
      <c r="A1582">
        <v>68734598</v>
      </c>
      <c r="B1582" t="s">
        <v>1691</v>
      </c>
      <c r="C1582" t="s">
        <v>122</v>
      </c>
    </row>
    <row r="1583" spans="1:3" x14ac:dyDescent="0.3">
      <c r="A1583">
        <v>68734612</v>
      </c>
      <c r="B1583" t="s">
        <v>1692</v>
      </c>
      <c r="C1583" t="s">
        <v>122</v>
      </c>
    </row>
    <row r="1584" spans="1:3" x14ac:dyDescent="0.3">
      <c r="A1584">
        <v>68734614</v>
      </c>
      <c r="B1584" t="s">
        <v>1693</v>
      </c>
      <c r="C1584" t="s">
        <v>122</v>
      </c>
    </row>
    <row r="1585" spans="1:3" x14ac:dyDescent="0.3">
      <c r="A1585">
        <v>68734626</v>
      </c>
      <c r="B1585" t="s">
        <v>1694</v>
      </c>
      <c r="C1585" t="s">
        <v>122</v>
      </c>
    </row>
    <row r="1586" spans="1:3" x14ac:dyDescent="0.3">
      <c r="A1586">
        <v>68734632</v>
      </c>
      <c r="B1586" t="s">
        <v>1695</v>
      </c>
      <c r="C1586" t="s">
        <v>122</v>
      </c>
    </row>
    <row r="1587" spans="1:3" x14ac:dyDescent="0.3">
      <c r="A1587">
        <v>68735234</v>
      </c>
      <c r="B1587" t="s">
        <v>1696</v>
      </c>
      <c r="C1587" t="s">
        <v>318</v>
      </c>
    </row>
    <row r="1588" spans="1:3" x14ac:dyDescent="0.3">
      <c r="A1588">
        <v>68735235</v>
      </c>
      <c r="B1588" t="s">
        <v>1697</v>
      </c>
      <c r="C1588" t="s">
        <v>53</v>
      </c>
    </row>
    <row r="1589" spans="1:3" x14ac:dyDescent="0.3">
      <c r="A1589">
        <v>68735531</v>
      </c>
      <c r="B1589" t="s">
        <v>1698</v>
      </c>
      <c r="C1589" t="s">
        <v>54</v>
      </c>
    </row>
    <row r="1590" spans="1:3" x14ac:dyDescent="0.3">
      <c r="A1590">
        <v>68736994</v>
      </c>
      <c r="B1590" t="s">
        <v>1699</v>
      </c>
      <c r="C1590" t="s">
        <v>129</v>
      </c>
    </row>
    <row r="1591" spans="1:3" x14ac:dyDescent="0.3">
      <c r="A1591">
        <v>68736998</v>
      </c>
      <c r="B1591" t="s">
        <v>1700</v>
      </c>
      <c r="C1591" t="s">
        <v>679</v>
      </c>
    </row>
    <row r="1592" spans="1:3" x14ac:dyDescent="0.3">
      <c r="A1592">
        <v>68737006</v>
      </c>
      <c r="B1592" t="s">
        <v>1701</v>
      </c>
      <c r="C1592" t="s">
        <v>129</v>
      </c>
    </row>
    <row r="1593" spans="1:3" x14ac:dyDescent="0.3">
      <c r="A1593">
        <v>68737016</v>
      </c>
      <c r="B1593" t="s">
        <v>1702</v>
      </c>
      <c r="C1593" t="s">
        <v>129</v>
      </c>
    </row>
    <row r="1594" spans="1:3" x14ac:dyDescent="0.3">
      <c r="A1594">
        <v>68737018</v>
      </c>
      <c r="B1594" t="s">
        <v>1703</v>
      </c>
      <c r="C1594" t="s">
        <v>55</v>
      </c>
    </row>
    <row r="1595" spans="1:3" x14ac:dyDescent="0.3">
      <c r="A1595">
        <v>68737840</v>
      </c>
      <c r="B1595" t="s">
        <v>1704</v>
      </c>
      <c r="C1595" t="s">
        <v>54</v>
      </c>
    </row>
    <row r="1596" spans="1:3" x14ac:dyDescent="0.3">
      <c r="A1596">
        <v>68737842</v>
      </c>
      <c r="B1596" t="s">
        <v>1705</v>
      </c>
      <c r="C1596" t="s">
        <v>54</v>
      </c>
    </row>
    <row r="1597" spans="1:3" x14ac:dyDescent="0.3">
      <c r="A1597">
        <v>68740433</v>
      </c>
      <c r="B1597" t="s">
        <v>1706</v>
      </c>
      <c r="C1597" t="s">
        <v>120</v>
      </c>
    </row>
    <row r="1598" spans="1:3" x14ac:dyDescent="0.3">
      <c r="A1598">
        <v>68740435</v>
      </c>
      <c r="B1598" t="s">
        <v>1707</v>
      </c>
      <c r="C1598" t="s">
        <v>120</v>
      </c>
    </row>
    <row r="1599" spans="1:3" x14ac:dyDescent="0.3">
      <c r="A1599">
        <v>68740437</v>
      </c>
      <c r="B1599" t="s">
        <v>1708</v>
      </c>
      <c r="C1599" t="s">
        <v>54</v>
      </c>
    </row>
    <row r="1600" spans="1:3" x14ac:dyDescent="0.3">
      <c r="A1600">
        <v>68741747</v>
      </c>
      <c r="B1600" t="s">
        <v>1709</v>
      </c>
      <c r="C1600" t="s">
        <v>56</v>
      </c>
    </row>
    <row r="1601" spans="1:3" x14ac:dyDescent="0.3">
      <c r="A1601">
        <v>68741749</v>
      </c>
      <c r="B1601" t="s">
        <v>1710</v>
      </c>
      <c r="C1601" t="s">
        <v>56</v>
      </c>
    </row>
    <row r="1602" spans="1:3" x14ac:dyDescent="0.3">
      <c r="A1602">
        <v>68742329</v>
      </c>
      <c r="B1602" t="s">
        <v>1711</v>
      </c>
      <c r="C1602" t="s">
        <v>56</v>
      </c>
    </row>
    <row r="1603" spans="1:3" x14ac:dyDescent="0.3">
      <c r="A1603">
        <v>68742331</v>
      </c>
      <c r="B1603" t="s">
        <v>1712</v>
      </c>
      <c r="C1603" t="s">
        <v>56</v>
      </c>
    </row>
    <row r="1604" spans="1:3" x14ac:dyDescent="0.3">
      <c r="A1604">
        <v>68753824</v>
      </c>
      <c r="B1604" t="s">
        <v>1713</v>
      </c>
      <c r="C1604" t="s">
        <v>54</v>
      </c>
    </row>
    <row r="1605" spans="1:3" x14ac:dyDescent="0.3">
      <c r="A1605">
        <v>68755995</v>
      </c>
      <c r="B1605" t="s">
        <v>1714</v>
      </c>
      <c r="C1605" t="s">
        <v>54</v>
      </c>
    </row>
    <row r="1606" spans="1:3" x14ac:dyDescent="0.3">
      <c r="A1606">
        <v>68755997</v>
      </c>
      <c r="B1606" t="s">
        <v>1715</v>
      </c>
      <c r="C1606" t="s">
        <v>54</v>
      </c>
    </row>
    <row r="1607" spans="1:3" x14ac:dyDescent="0.3">
      <c r="A1607">
        <v>68755999</v>
      </c>
      <c r="B1607" t="s">
        <v>1716</v>
      </c>
      <c r="C1607" t="s">
        <v>54</v>
      </c>
    </row>
    <row r="1608" spans="1:3" x14ac:dyDescent="0.3">
      <c r="A1608">
        <v>68757365</v>
      </c>
      <c r="B1608" t="s">
        <v>1717</v>
      </c>
      <c r="C1608" t="s">
        <v>54</v>
      </c>
    </row>
    <row r="1609" spans="1:3" x14ac:dyDescent="0.3">
      <c r="A1609">
        <v>68757367</v>
      </c>
      <c r="B1609" t="s">
        <v>1718</v>
      </c>
      <c r="C1609" t="s">
        <v>54</v>
      </c>
    </row>
    <row r="1610" spans="1:3" x14ac:dyDescent="0.3">
      <c r="A1610">
        <v>68757507</v>
      </c>
      <c r="B1610" t="s">
        <v>1719</v>
      </c>
      <c r="C1610" t="s">
        <v>181</v>
      </c>
    </row>
    <row r="1611" spans="1:3" x14ac:dyDescent="0.3">
      <c r="A1611">
        <v>68757509</v>
      </c>
      <c r="B1611" t="s">
        <v>1720</v>
      </c>
      <c r="C1611" t="s">
        <v>53</v>
      </c>
    </row>
    <row r="1612" spans="1:3" x14ac:dyDescent="0.3">
      <c r="A1612">
        <v>68757511</v>
      </c>
      <c r="B1612" t="s">
        <v>1721</v>
      </c>
      <c r="C1612" t="s">
        <v>181</v>
      </c>
    </row>
    <row r="1613" spans="1:3" x14ac:dyDescent="0.3">
      <c r="A1613">
        <v>68757513</v>
      </c>
      <c r="B1613" t="s">
        <v>1722</v>
      </c>
      <c r="C1613" t="s">
        <v>53</v>
      </c>
    </row>
    <row r="1614" spans="1:3" x14ac:dyDescent="0.3">
      <c r="A1614">
        <v>68758562</v>
      </c>
      <c r="B1614" t="s">
        <v>1723</v>
      </c>
      <c r="C1614" t="s">
        <v>53</v>
      </c>
    </row>
    <row r="1615" spans="1:3" x14ac:dyDescent="0.3">
      <c r="A1615">
        <v>68758566</v>
      </c>
      <c r="B1615" t="s">
        <v>1724</v>
      </c>
      <c r="C1615" t="s">
        <v>54</v>
      </c>
    </row>
    <row r="1616" spans="1:3" x14ac:dyDescent="0.3">
      <c r="A1616">
        <v>68758568</v>
      </c>
      <c r="B1616" t="s">
        <v>1725</v>
      </c>
      <c r="C1616" t="s">
        <v>108</v>
      </c>
    </row>
    <row r="1617" spans="1:3" x14ac:dyDescent="0.3">
      <c r="A1617">
        <v>68760135</v>
      </c>
      <c r="B1617" t="s">
        <v>1726</v>
      </c>
      <c r="C1617" t="s">
        <v>129</v>
      </c>
    </row>
    <row r="1618" spans="1:3" x14ac:dyDescent="0.3">
      <c r="A1618">
        <v>68764585</v>
      </c>
      <c r="B1618" t="s">
        <v>1727</v>
      </c>
      <c r="C1618" t="s">
        <v>679</v>
      </c>
    </row>
    <row r="1619" spans="1:3" x14ac:dyDescent="0.3">
      <c r="A1619">
        <v>68766608</v>
      </c>
      <c r="B1619" t="s">
        <v>1728</v>
      </c>
      <c r="C1619" t="s">
        <v>54</v>
      </c>
    </row>
    <row r="1620" spans="1:3" x14ac:dyDescent="0.3">
      <c r="A1620">
        <v>68769864</v>
      </c>
      <c r="B1620" t="s">
        <v>1729</v>
      </c>
      <c r="C1620" t="s">
        <v>54</v>
      </c>
    </row>
    <row r="1621" spans="1:3" x14ac:dyDescent="0.3">
      <c r="A1621">
        <v>68779397</v>
      </c>
      <c r="B1621" t="s">
        <v>1730</v>
      </c>
      <c r="C1621" t="s">
        <v>129</v>
      </c>
    </row>
    <row r="1622" spans="1:3" x14ac:dyDescent="0.3">
      <c r="A1622">
        <v>68779399</v>
      </c>
      <c r="B1622" t="s">
        <v>1731</v>
      </c>
      <c r="C1622" t="s">
        <v>129</v>
      </c>
    </row>
    <row r="1623" spans="1:3" x14ac:dyDescent="0.3">
      <c r="A1623">
        <v>68782495</v>
      </c>
      <c r="B1623" t="s">
        <v>1732</v>
      </c>
      <c r="C1623" t="s">
        <v>473</v>
      </c>
    </row>
    <row r="1624" spans="1:3" x14ac:dyDescent="0.3">
      <c r="A1624">
        <v>68786677</v>
      </c>
      <c r="B1624" t="s">
        <v>1733</v>
      </c>
      <c r="C1624" t="s">
        <v>120</v>
      </c>
    </row>
    <row r="1625" spans="1:3" x14ac:dyDescent="0.3">
      <c r="A1625">
        <v>68786679</v>
      </c>
      <c r="B1625" t="s">
        <v>1734</v>
      </c>
      <c r="C1625" t="s">
        <v>120</v>
      </c>
    </row>
    <row r="1626" spans="1:3" x14ac:dyDescent="0.3">
      <c r="A1626">
        <v>68786681</v>
      </c>
      <c r="B1626" t="s">
        <v>1735</v>
      </c>
      <c r="C1626" t="s">
        <v>54</v>
      </c>
    </row>
    <row r="1627" spans="1:3" x14ac:dyDescent="0.3">
      <c r="A1627">
        <v>68790415</v>
      </c>
      <c r="B1627" t="s">
        <v>1736</v>
      </c>
      <c r="C1627" t="s">
        <v>53</v>
      </c>
    </row>
    <row r="1628" spans="1:3" x14ac:dyDescent="0.3">
      <c r="A1628">
        <v>68790417</v>
      </c>
      <c r="B1628" t="s">
        <v>1737</v>
      </c>
      <c r="C1628" t="s">
        <v>53</v>
      </c>
    </row>
    <row r="1629" spans="1:3" x14ac:dyDescent="0.3">
      <c r="A1629">
        <v>68791625</v>
      </c>
      <c r="B1629" t="s">
        <v>1738</v>
      </c>
      <c r="C1629" t="s">
        <v>129</v>
      </c>
    </row>
    <row r="1630" spans="1:3" x14ac:dyDescent="0.3">
      <c r="A1630">
        <v>68791626</v>
      </c>
      <c r="B1630" t="s">
        <v>1739</v>
      </c>
      <c r="C1630" t="s">
        <v>129</v>
      </c>
    </row>
    <row r="1631" spans="1:3" x14ac:dyDescent="0.3">
      <c r="A1631">
        <v>68794730</v>
      </c>
      <c r="B1631" t="s">
        <v>1740</v>
      </c>
      <c r="C1631" t="s">
        <v>54</v>
      </c>
    </row>
    <row r="1632" spans="1:3" x14ac:dyDescent="0.3">
      <c r="A1632">
        <v>68795892</v>
      </c>
      <c r="B1632" t="s">
        <v>1741</v>
      </c>
      <c r="C1632" t="s">
        <v>129</v>
      </c>
    </row>
    <row r="1633" spans="1:3" x14ac:dyDescent="0.3">
      <c r="A1633">
        <v>68795894</v>
      </c>
      <c r="B1633" t="s">
        <v>1312</v>
      </c>
      <c r="C1633" t="s">
        <v>129</v>
      </c>
    </row>
    <row r="1634" spans="1:3" x14ac:dyDescent="0.3">
      <c r="A1634">
        <v>68795897</v>
      </c>
      <c r="B1634" t="s">
        <v>1742</v>
      </c>
      <c r="C1634" t="s">
        <v>129</v>
      </c>
    </row>
    <row r="1635" spans="1:3" x14ac:dyDescent="0.3">
      <c r="A1635">
        <v>68802233</v>
      </c>
      <c r="B1635" t="s">
        <v>1743</v>
      </c>
      <c r="C1635" t="s">
        <v>53</v>
      </c>
    </row>
    <row r="1636" spans="1:3" x14ac:dyDescent="0.3">
      <c r="A1636">
        <v>68802289</v>
      </c>
      <c r="B1636" t="s">
        <v>1744</v>
      </c>
      <c r="C1636" t="s">
        <v>188</v>
      </c>
    </row>
    <row r="1637" spans="1:3" x14ac:dyDescent="0.3">
      <c r="A1637">
        <v>68802291</v>
      </c>
      <c r="B1637" t="s">
        <v>1745</v>
      </c>
      <c r="C1637" t="s">
        <v>188</v>
      </c>
    </row>
    <row r="1638" spans="1:3" x14ac:dyDescent="0.3">
      <c r="A1638">
        <v>68802295</v>
      </c>
      <c r="B1638" t="s">
        <v>1746</v>
      </c>
      <c r="C1638" t="s">
        <v>679</v>
      </c>
    </row>
    <row r="1639" spans="1:3" x14ac:dyDescent="0.3">
      <c r="A1639">
        <v>68802301</v>
      </c>
      <c r="B1639" t="s">
        <v>1747</v>
      </c>
      <c r="C1639" t="s">
        <v>188</v>
      </c>
    </row>
    <row r="1640" spans="1:3" x14ac:dyDescent="0.3">
      <c r="A1640">
        <v>68805301</v>
      </c>
      <c r="B1640" t="s">
        <v>1748</v>
      </c>
      <c r="C1640" t="s">
        <v>120</v>
      </c>
    </row>
    <row r="1641" spans="1:3" x14ac:dyDescent="0.3">
      <c r="A1641">
        <v>68806797</v>
      </c>
      <c r="B1641" t="s">
        <v>1749</v>
      </c>
      <c r="C1641" t="s">
        <v>53</v>
      </c>
    </row>
    <row r="1642" spans="1:3" x14ac:dyDescent="0.3">
      <c r="A1642">
        <v>68806798</v>
      </c>
      <c r="B1642" t="s">
        <v>1750</v>
      </c>
      <c r="C1642" t="s">
        <v>53</v>
      </c>
    </row>
    <row r="1643" spans="1:3" x14ac:dyDescent="0.3">
      <c r="A1643">
        <v>68806801</v>
      </c>
      <c r="B1643" t="s">
        <v>1751</v>
      </c>
      <c r="C1643" t="s">
        <v>181</v>
      </c>
    </row>
    <row r="1644" spans="1:3" x14ac:dyDescent="0.3">
      <c r="A1644">
        <v>68806804</v>
      </c>
      <c r="B1644" t="s">
        <v>1752</v>
      </c>
      <c r="C1644" t="s">
        <v>181</v>
      </c>
    </row>
    <row r="1645" spans="1:3" x14ac:dyDescent="0.3">
      <c r="A1645">
        <v>68808631</v>
      </c>
      <c r="B1645" t="s">
        <v>1753</v>
      </c>
      <c r="C1645" t="s">
        <v>181</v>
      </c>
    </row>
    <row r="1646" spans="1:3" x14ac:dyDescent="0.3">
      <c r="A1646">
        <v>68813672</v>
      </c>
      <c r="B1646" t="s">
        <v>1754</v>
      </c>
      <c r="C1646" t="s">
        <v>129</v>
      </c>
    </row>
    <row r="1647" spans="1:3" x14ac:dyDescent="0.3">
      <c r="A1647">
        <v>68813674</v>
      </c>
      <c r="B1647" t="s">
        <v>1755</v>
      </c>
      <c r="C1647" t="s">
        <v>129</v>
      </c>
    </row>
    <row r="1648" spans="1:3" x14ac:dyDescent="0.3">
      <c r="A1648">
        <v>68815021</v>
      </c>
      <c r="B1648" t="s">
        <v>1756</v>
      </c>
      <c r="C1648" t="s">
        <v>129</v>
      </c>
    </row>
    <row r="1649" spans="1:3" x14ac:dyDescent="0.3">
      <c r="A1649">
        <v>68815023</v>
      </c>
      <c r="B1649" t="s">
        <v>1757</v>
      </c>
      <c r="C1649" t="s">
        <v>129</v>
      </c>
    </row>
    <row r="1650" spans="1:3" x14ac:dyDescent="0.3">
      <c r="A1650">
        <v>68823016</v>
      </c>
      <c r="B1650" t="s">
        <v>1758</v>
      </c>
      <c r="C1650" t="s">
        <v>53</v>
      </c>
    </row>
    <row r="1651" spans="1:3" x14ac:dyDescent="0.3">
      <c r="A1651">
        <v>68823018</v>
      </c>
      <c r="B1651" t="s">
        <v>1759</v>
      </c>
      <c r="C1651" t="s">
        <v>53</v>
      </c>
    </row>
    <row r="1652" spans="1:3" x14ac:dyDescent="0.3">
      <c r="A1652">
        <v>68823020</v>
      </c>
      <c r="B1652" t="s">
        <v>1760</v>
      </c>
      <c r="C1652" t="s">
        <v>53</v>
      </c>
    </row>
    <row r="1653" spans="1:3" x14ac:dyDescent="0.3">
      <c r="A1653">
        <v>68823394</v>
      </c>
      <c r="B1653" t="s">
        <v>1761</v>
      </c>
      <c r="C1653" t="s">
        <v>129</v>
      </c>
    </row>
    <row r="1654" spans="1:3" x14ac:dyDescent="0.3">
      <c r="A1654">
        <v>68827846</v>
      </c>
      <c r="B1654" t="s">
        <v>1762</v>
      </c>
      <c r="C1654" t="s">
        <v>129</v>
      </c>
    </row>
    <row r="1655" spans="1:3" x14ac:dyDescent="0.3">
      <c r="A1655" t="s">
        <v>1763</v>
      </c>
      <c r="B1655" t="s">
        <v>1764</v>
      </c>
      <c r="C1655" t="s">
        <v>55</v>
      </c>
    </row>
    <row r="1656" spans="1:3" x14ac:dyDescent="0.3">
      <c r="A1656">
        <v>68827848</v>
      </c>
      <c r="B1656" t="s">
        <v>1765</v>
      </c>
      <c r="C1656" t="s">
        <v>55</v>
      </c>
    </row>
    <row r="1657" spans="1:3" x14ac:dyDescent="0.3">
      <c r="A1657">
        <v>68827850</v>
      </c>
      <c r="B1657" t="s">
        <v>1766</v>
      </c>
      <c r="C1657" t="s">
        <v>55</v>
      </c>
    </row>
    <row r="1658" spans="1:3" x14ac:dyDescent="0.3">
      <c r="A1658" t="s">
        <v>1767</v>
      </c>
      <c r="B1658" t="s">
        <v>1768</v>
      </c>
      <c r="C1658" t="s">
        <v>55</v>
      </c>
    </row>
    <row r="1659" spans="1:3" x14ac:dyDescent="0.3">
      <c r="A1659">
        <v>68827854</v>
      </c>
      <c r="B1659" t="s">
        <v>1769</v>
      </c>
      <c r="C1659" t="s">
        <v>318</v>
      </c>
    </row>
    <row r="1660" spans="1:3" x14ac:dyDescent="0.3">
      <c r="A1660">
        <v>68827856</v>
      </c>
      <c r="B1660" t="s">
        <v>1770</v>
      </c>
      <c r="C1660" t="s">
        <v>55</v>
      </c>
    </row>
    <row r="1661" spans="1:3" x14ac:dyDescent="0.3">
      <c r="A1661" t="s">
        <v>1771</v>
      </c>
      <c r="B1661" t="s">
        <v>1770</v>
      </c>
      <c r="C1661" t="s">
        <v>55</v>
      </c>
    </row>
    <row r="1662" spans="1:3" x14ac:dyDescent="0.3">
      <c r="A1662">
        <v>68827858</v>
      </c>
      <c r="B1662" t="s">
        <v>1772</v>
      </c>
      <c r="C1662" t="s">
        <v>55</v>
      </c>
    </row>
    <row r="1663" spans="1:3" x14ac:dyDescent="0.3">
      <c r="A1663">
        <v>68827862</v>
      </c>
      <c r="B1663" t="s">
        <v>1773</v>
      </c>
      <c r="C1663" t="s">
        <v>129</v>
      </c>
    </row>
    <row r="1664" spans="1:3" x14ac:dyDescent="0.3">
      <c r="A1664">
        <v>68827950</v>
      </c>
      <c r="B1664" t="s">
        <v>1774</v>
      </c>
      <c r="C1664" t="s">
        <v>122</v>
      </c>
    </row>
    <row r="1665" spans="1:3" x14ac:dyDescent="0.3">
      <c r="A1665">
        <v>68827951</v>
      </c>
      <c r="B1665" t="s">
        <v>1775</v>
      </c>
      <c r="C1665" t="s">
        <v>336</v>
      </c>
    </row>
    <row r="1666" spans="1:3" x14ac:dyDescent="0.3">
      <c r="A1666">
        <v>68827952</v>
      </c>
      <c r="B1666" t="s">
        <v>1776</v>
      </c>
      <c r="C1666" t="s">
        <v>318</v>
      </c>
    </row>
    <row r="1667" spans="1:3" x14ac:dyDescent="0.3">
      <c r="A1667">
        <v>68827953</v>
      </c>
      <c r="B1667" t="s">
        <v>1777</v>
      </c>
      <c r="C1667" t="s">
        <v>539</v>
      </c>
    </row>
    <row r="1668" spans="1:3" x14ac:dyDescent="0.3">
      <c r="A1668">
        <v>68827959</v>
      </c>
      <c r="B1668" t="s">
        <v>1778</v>
      </c>
      <c r="C1668" t="s">
        <v>122</v>
      </c>
    </row>
    <row r="1669" spans="1:3" x14ac:dyDescent="0.3">
      <c r="A1669">
        <v>68827960</v>
      </c>
      <c r="B1669" t="s">
        <v>1779</v>
      </c>
      <c r="C1669" t="s">
        <v>539</v>
      </c>
    </row>
    <row r="1670" spans="1:3" x14ac:dyDescent="0.3">
      <c r="A1670">
        <v>68830395</v>
      </c>
      <c r="B1670" t="s">
        <v>1780</v>
      </c>
      <c r="C1670" t="s">
        <v>131</v>
      </c>
    </row>
    <row r="1671" spans="1:3" x14ac:dyDescent="0.3">
      <c r="A1671">
        <v>68830397</v>
      </c>
      <c r="B1671" t="s">
        <v>1781</v>
      </c>
      <c r="C1671" t="s">
        <v>131</v>
      </c>
    </row>
    <row r="1672" spans="1:3" x14ac:dyDescent="0.3">
      <c r="A1672">
        <v>68830399</v>
      </c>
      <c r="B1672" t="s">
        <v>1782</v>
      </c>
      <c r="C1672" t="s">
        <v>131</v>
      </c>
    </row>
    <row r="1673" spans="1:3" x14ac:dyDescent="0.3">
      <c r="A1673">
        <v>68830404</v>
      </c>
      <c r="B1673" t="s">
        <v>1783</v>
      </c>
      <c r="C1673" t="s">
        <v>131</v>
      </c>
    </row>
    <row r="1674" spans="1:3" x14ac:dyDescent="0.3">
      <c r="A1674">
        <v>68830406</v>
      </c>
      <c r="B1674" t="s">
        <v>1784</v>
      </c>
      <c r="C1674" t="s">
        <v>131</v>
      </c>
    </row>
    <row r="1675" spans="1:3" x14ac:dyDescent="0.3">
      <c r="A1675">
        <v>68830408</v>
      </c>
      <c r="B1675" t="s">
        <v>1785</v>
      </c>
      <c r="C1675" t="s">
        <v>131</v>
      </c>
    </row>
    <row r="1676" spans="1:3" x14ac:dyDescent="0.3">
      <c r="A1676">
        <v>68830410</v>
      </c>
      <c r="B1676" t="s">
        <v>1786</v>
      </c>
      <c r="C1676" t="s">
        <v>131</v>
      </c>
    </row>
    <row r="1677" spans="1:3" x14ac:dyDescent="0.3">
      <c r="A1677">
        <v>68830412</v>
      </c>
      <c r="B1677" t="s">
        <v>1787</v>
      </c>
      <c r="C1677" t="s">
        <v>131</v>
      </c>
    </row>
    <row r="1678" spans="1:3" x14ac:dyDescent="0.3">
      <c r="A1678">
        <v>68830415</v>
      </c>
      <c r="B1678" t="s">
        <v>1788</v>
      </c>
      <c r="C1678" t="s">
        <v>131</v>
      </c>
    </row>
    <row r="1679" spans="1:3" x14ac:dyDescent="0.3">
      <c r="A1679">
        <v>68830417</v>
      </c>
      <c r="B1679" t="s">
        <v>1789</v>
      </c>
      <c r="C1679" t="s">
        <v>131</v>
      </c>
    </row>
    <row r="1680" spans="1:3" x14ac:dyDescent="0.3">
      <c r="A1680">
        <v>68831685</v>
      </c>
      <c r="B1680" t="s">
        <v>1790</v>
      </c>
      <c r="C1680" t="s">
        <v>54</v>
      </c>
    </row>
    <row r="1681" spans="1:3" x14ac:dyDescent="0.3">
      <c r="A1681">
        <v>68831687</v>
      </c>
      <c r="B1681" t="s">
        <v>1791</v>
      </c>
      <c r="C1681" t="s">
        <v>54</v>
      </c>
    </row>
    <row r="1682" spans="1:3" x14ac:dyDescent="0.3">
      <c r="A1682">
        <v>68834054</v>
      </c>
      <c r="B1682" t="s">
        <v>1792</v>
      </c>
      <c r="C1682" t="s">
        <v>108</v>
      </c>
    </row>
    <row r="1683" spans="1:3" x14ac:dyDescent="0.3">
      <c r="A1683">
        <v>68834056</v>
      </c>
      <c r="B1683" t="s">
        <v>1793</v>
      </c>
      <c r="C1683" t="s">
        <v>54</v>
      </c>
    </row>
    <row r="1684" spans="1:3" x14ac:dyDescent="0.3">
      <c r="A1684">
        <v>68840615</v>
      </c>
      <c r="B1684" t="s">
        <v>1794</v>
      </c>
      <c r="C1684" t="s">
        <v>120</v>
      </c>
    </row>
    <row r="1685" spans="1:3" x14ac:dyDescent="0.3">
      <c r="A1685">
        <v>68840627</v>
      </c>
      <c r="B1685" t="s">
        <v>1795</v>
      </c>
      <c r="C1685" t="s">
        <v>104</v>
      </c>
    </row>
    <row r="1686" spans="1:3" x14ac:dyDescent="0.3">
      <c r="A1686">
        <v>68840638</v>
      </c>
      <c r="B1686" t="s">
        <v>1796</v>
      </c>
      <c r="C1686" t="s">
        <v>122</v>
      </c>
    </row>
    <row r="1687" spans="1:3" x14ac:dyDescent="0.3">
      <c r="A1687">
        <v>68840642</v>
      </c>
      <c r="B1687" t="s">
        <v>1797</v>
      </c>
      <c r="C1687" t="s">
        <v>539</v>
      </c>
    </row>
    <row r="1688" spans="1:3" x14ac:dyDescent="0.3">
      <c r="A1688">
        <v>68840650</v>
      </c>
      <c r="B1688" t="s">
        <v>1798</v>
      </c>
      <c r="C1688" t="s">
        <v>539</v>
      </c>
    </row>
    <row r="1689" spans="1:3" x14ac:dyDescent="0.3">
      <c r="A1689">
        <v>68840656</v>
      </c>
      <c r="B1689" t="s">
        <v>1799</v>
      </c>
      <c r="C1689" t="s">
        <v>181</v>
      </c>
    </row>
    <row r="1690" spans="1:3" x14ac:dyDescent="0.3">
      <c r="A1690">
        <v>68840660</v>
      </c>
      <c r="B1690" t="s">
        <v>1800</v>
      </c>
      <c r="C1690" t="s">
        <v>54</v>
      </c>
    </row>
    <row r="1691" spans="1:3" x14ac:dyDescent="0.3">
      <c r="A1691">
        <v>68840669</v>
      </c>
      <c r="B1691" t="s">
        <v>1801</v>
      </c>
      <c r="C1691" t="s">
        <v>246</v>
      </c>
    </row>
    <row r="1692" spans="1:3" x14ac:dyDescent="0.3">
      <c r="A1692">
        <v>68840671</v>
      </c>
      <c r="B1692" t="s">
        <v>1802</v>
      </c>
      <c r="C1692" t="s">
        <v>122</v>
      </c>
    </row>
    <row r="1693" spans="1:3" x14ac:dyDescent="0.3">
      <c r="A1693">
        <v>68843081</v>
      </c>
      <c r="B1693" t="s">
        <v>1803</v>
      </c>
      <c r="C1693" t="s">
        <v>129</v>
      </c>
    </row>
    <row r="1694" spans="1:3" x14ac:dyDescent="0.3">
      <c r="A1694">
        <v>68844243</v>
      </c>
      <c r="B1694" t="s">
        <v>1804</v>
      </c>
      <c r="C1694" t="s">
        <v>131</v>
      </c>
    </row>
    <row r="1695" spans="1:3" x14ac:dyDescent="0.3">
      <c r="A1695">
        <v>68845230</v>
      </c>
      <c r="B1695" t="s">
        <v>1805</v>
      </c>
      <c r="C1695" t="s">
        <v>131</v>
      </c>
    </row>
    <row r="1696" spans="1:3" x14ac:dyDescent="0.3">
      <c r="A1696">
        <v>68845232</v>
      </c>
      <c r="B1696" t="s">
        <v>1806</v>
      </c>
      <c r="C1696" t="s">
        <v>131</v>
      </c>
    </row>
    <row r="1697" spans="1:3" x14ac:dyDescent="0.3">
      <c r="A1697">
        <v>68845234</v>
      </c>
      <c r="B1697" t="s">
        <v>1807</v>
      </c>
      <c r="C1697" t="s">
        <v>131</v>
      </c>
    </row>
    <row r="1698" spans="1:3" x14ac:dyDescent="0.3">
      <c r="A1698">
        <v>68850196</v>
      </c>
      <c r="B1698" t="s">
        <v>1808</v>
      </c>
      <c r="C1698" t="s">
        <v>53</v>
      </c>
    </row>
    <row r="1699" spans="1:3" x14ac:dyDescent="0.3">
      <c r="A1699">
        <v>68850200</v>
      </c>
      <c r="B1699" t="s">
        <v>1809</v>
      </c>
      <c r="C1699" t="s">
        <v>53</v>
      </c>
    </row>
    <row r="1700" spans="1:3" x14ac:dyDescent="0.3">
      <c r="A1700">
        <v>68860477</v>
      </c>
      <c r="B1700" t="s">
        <v>1810</v>
      </c>
      <c r="C1700" t="s">
        <v>188</v>
      </c>
    </row>
    <row r="1701" spans="1:3" x14ac:dyDescent="0.3">
      <c r="A1701">
        <v>68860479</v>
      </c>
      <c r="B1701" t="s">
        <v>1811</v>
      </c>
      <c r="C1701" t="s">
        <v>1812</v>
      </c>
    </row>
    <row r="1702" spans="1:3" x14ac:dyDescent="0.3">
      <c r="A1702">
        <v>68860489</v>
      </c>
      <c r="B1702" t="s">
        <v>1813</v>
      </c>
      <c r="C1702" t="s">
        <v>1814</v>
      </c>
    </row>
    <row r="1703" spans="1:3" x14ac:dyDescent="0.3">
      <c r="A1703">
        <v>68864821</v>
      </c>
      <c r="B1703" t="s">
        <v>1815</v>
      </c>
      <c r="C1703" t="s">
        <v>54</v>
      </c>
    </row>
    <row r="1704" spans="1:3" x14ac:dyDescent="0.3">
      <c r="A1704">
        <v>68864825</v>
      </c>
      <c r="B1704" t="s">
        <v>1816</v>
      </c>
      <c r="C1704" t="s">
        <v>54</v>
      </c>
    </row>
    <row r="1705" spans="1:3" x14ac:dyDescent="0.3">
      <c r="A1705" t="s">
        <v>1817</v>
      </c>
      <c r="B1705" t="s">
        <v>1816</v>
      </c>
      <c r="C1705" t="s">
        <v>54</v>
      </c>
    </row>
    <row r="1706" spans="1:3" x14ac:dyDescent="0.3">
      <c r="A1706">
        <v>68864828</v>
      </c>
      <c r="B1706" t="s">
        <v>1818</v>
      </c>
      <c r="C1706" t="s">
        <v>54</v>
      </c>
    </row>
    <row r="1707" spans="1:3" x14ac:dyDescent="0.3">
      <c r="A1707" t="s">
        <v>1819</v>
      </c>
      <c r="B1707" t="s">
        <v>1818</v>
      </c>
      <c r="C1707" t="s">
        <v>54</v>
      </c>
    </row>
    <row r="1708" spans="1:3" x14ac:dyDescent="0.3">
      <c r="A1708">
        <v>68864830</v>
      </c>
      <c r="B1708" t="s">
        <v>1820</v>
      </c>
      <c r="C1708" t="s">
        <v>54</v>
      </c>
    </row>
    <row r="1709" spans="1:3" x14ac:dyDescent="0.3">
      <c r="A1709">
        <v>68864834</v>
      </c>
      <c r="B1709" t="s">
        <v>1821</v>
      </c>
      <c r="C1709" t="s">
        <v>54</v>
      </c>
    </row>
    <row r="1710" spans="1:3" x14ac:dyDescent="0.3">
      <c r="A1710">
        <v>68867009</v>
      </c>
      <c r="B1710" t="s">
        <v>1822</v>
      </c>
      <c r="C1710" t="s">
        <v>181</v>
      </c>
    </row>
    <row r="1711" spans="1:3" x14ac:dyDescent="0.3">
      <c r="A1711">
        <v>68867011</v>
      </c>
      <c r="B1711" t="s">
        <v>1823</v>
      </c>
      <c r="C1711" t="s">
        <v>181</v>
      </c>
    </row>
    <row r="1712" spans="1:3" x14ac:dyDescent="0.3">
      <c r="A1712">
        <v>68867013</v>
      </c>
      <c r="B1712" t="s">
        <v>1824</v>
      </c>
      <c r="C1712" t="s">
        <v>181</v>
      </c>
    </row>
    <row r="1713" spans="1:3" x14ac:dyDescent="0.3">
      <c r="A1713">
        <v>68867015</v>
      </c>
      <c r="B1713" t="s">
        <v>1825</v>
      </c>
      <c r="C1713" t="s">
        <v>181</v>
      </c>
    </row>
    <row r="1714" spans="1:3" x14ac:dyDescent="0.3">
      <c r="A1714">
        <v>68871641</v>
      </c>
      <c r="B1714" t="s">
        <v>1826</v>
      </c>
      <c r="C1714" t="s">
        <v>131</v>
      </c>
    </row>
    <row r="1715" spans="1:3" x14ac:dyDescent="0.3">
      <c r="A1715">
        <v>68871643</v>
      </c>
      <c r="B1715" t="s">
        <v>1827</v>
      </c>
      <c r="C1715" t="s">
        <v>131</v>
      </c>
    </row>
    <row r="1716" spans="1:3" x14ac:dyDescent="0.3">
      <c r="A1716">
        <v>68871645</v>
      </c>
      <c r="B1716" t="s">
        <v>1828</v>
      </c>
      <c r="C1716" t="s">
        <v>131</v>
      </c>
    </row>
    <row r="1717" spans="1:3" x14ac:dyDescent="0.3">
      <c r="A1717">
        <v>68871647</v>
      </c>
      <c r="B1717" t="s">
        <v>1829</v>
      </c>
      <c r="C1717" t="s">
        <v>131</v>
      </c>
    </row>
    <row r="1718" spans="1:3" x14ac:dyDescent="0.3">
      <c r="A1718">
        <v>68875655</v>
      </c>
      <c r="B1718" t="s">
        <v>1830</v>
      </c>
      <c r="C1718" t="s">
        <v>54</v>
      </c>
    </row>
    <row r="1719" spans="1:3" x14ac:dyDescent="0.3">
      <c r="A1719">
        <v>68875668</v>
      </c>
      <c r="B1719" t="s">
        <v>1831</v>
      </c>
      <c r="C1719" t="s">
        <v>56</v>
      </c>
    </row>
    <row r="1720" spans="1:3" x14ac:dyDescent="0.3">
      <c r="A1720">
        <v>68875670</v>
      </c>
      <c r="B1720" t="s">
        <v>1832</v>
      </c>
      <c r="C1720" t="s">
        <v>318</v>
      </c>
    </row>
    <row r="1721" spans="1:3" x14ac:dyDescent="0.3">
      <c r="A1721">
        <v>68875672</v>
      </c>
      <c r="B1721" t="s">
        <v>1833</v>
      </c>
      <c r="C1721" t="s">
        <v>318</v>
      </c>
    </row>
    <row r="1722" spans="1:3" x14ac:dyDescent="0.3">
      <c r="A1722">
        <v>68875674</v>
      </c>
      <c r="B1722" t="s">
        <v>1834</v>
      </c>
      <c r="C1722" t="s">
        <v>318</v>
      </c>
    </row>
    <row r="1723" spans="1:3" x14ac:dyDescent="0.3">
      <c r="A1723">
        <v>68875676</v>
      </c>
      <c r="B1723" t="s">
        <v>1835</v>
      </c>
      <c r="C1723" t="s">
        <v>318</v>
      </c>
    </row>
    <row r="1724" spans="1:3" x14ac:dyDescent="0.3">
      <c r="A1724">
        <v>68875679</v>
      </c>
      <c r="B1724" t="s">
        <v>1836</v>
      </c>
      <c r="C1724" t="s">
        <v>318</v>
      </c>
    </row>
    <row r="1725" spans="1:3" x14ac:dyDescent="0.3">
      <c r="A1725">
        <v>68878309</v>
      </c>
      <c r="B1725" t="s">
        <v>1837</v>
      </c>
      <c r="C1725" t="s">
        <v>106</v>
      </c>
    </row>
    <row r="1726" spans="1:3" x14ac:dyDescent="0.3">
      <c r="A1726">
        <v>68878313</v>
      </c>
      <c r="B1726" t="s">
        <v>1838</v>
      </c>
      <c r="C1726" t="s">
        <v>181</v>
      </c>
    </row>
    <row r="1727" spans="1:3" x14ac:dyDescent="0.3">
      <c r="A1727">
        <v>68878615</v>
      </c>
      <c r="B1727" t="s">
        <v>1839</v>
      </c>
      <c r="C1727" t="s">
        <v>54</v>
      </c>
    </row>
    <row r="1728" spans="1:3" x14ac:dyDescent="0.3">
      <c r="A1728">
        <v>68878750</v>
      </c>
      <c r="B1728" t="s">
        <v>1840</v>
      </c>
      <c r="C1728" t="s">
        <v>129</v>
      </c>
    </row>
    <row r="1729" spans="1:3" x14ac:dyDescent="0.3">
      <c r="A1729">
        <v>68878752</v>
      </c>
      <c r="B1729" t="s">
        <v>1841</v>
      </c>
      <c r="C1729" t="s">
        <v>129</v>
      </c>
    </row>
    <row r="1730" spans="1:3" x14ac:dyDescent="0.3">
      <c r="A1730">
        <v>68878778</v>
      </c>
      <c r="B1730" t="s">
        <v>1842</v>
      </c>
      <c r="C1730" t="s">
        <v>679</v>
      </c>
    </row>
    <row r="1731" spans="1:3" x14ac:dyDescent="0.3">
      <c r="A1731">
        <v>68878782</v>
      </c>
      <c r="B1731" t="s">
        <v>1843</v>
      </c>
      <c r="C1731" t="s">
        <v>679</v>
      </c>
    </row>
    <row r="1732" spans="1:3" x14ac:dyDescent="0.3">
      <c r="A1732">
        <v>68887114</v>
      </c>
      <c r="B1732" t="s">
        <v>1844</v>
      </c>
      <c r="C1732" t="s">
        <v>120</v>
      </c>
    </row>
    <row r="1733" spans="1:3" x14ac:dyDescent="0.3">
      <c r="A1733">
        <v>68887130</v>
      </c>
      <c r="B1733" t="s">
        <v>1845</v>
      </c>
      <c r="C1733" t="s">
        <v>54</v>
      </c>
    </row>
    <row r="1734" spans="1:3" x14ac:dyDescent="0.3">
      <c r="A1734">
        <v>68890073</v>
      </c>
      <c r="B1734" t="s">
        <v>1846</v>
      </c>
      <c r="C1734" t="s">
        <v>129</v>
      </c>
    </row>
    <row r="1735" spans="1:3" x14ac:dyDescent="0.3">
      <c r="A1735">
        <v>68890075</v>
      </c>
      <c r="B1735" t="s">
        <v>1847</v>
      </c>
      <c r="C1735" t="s">
        <v>55</v>
      </c>
    </row>
    <row r="1736" spans="1:3" x14ac:dyDescent="0.3">
      <c r="A1736">
        <v>68891319</v>
      </c>
      <c r="B1736" t="s">
        <v>139</v>
      </c>
      <c r="C1736" t="s">
        <v>108</v>
      </c>
    </row>
    <row r="1737" spans="1:3" x14ac:dyDescent="0.3">
      <c r="A1737">
        <v>68891321</v>
      </c>
      <c r="B1737" t="s">
        <v>1848</v>
      </c>
      <c r="C1737" t="s">
        <v>53</v>
      </c>
    </row>
    <row r="1738" spans="1:3" x14ac:dyDescent="0.3">
      <c r="A1738">
        <v>68891325</v>
      </c>
      <c r="B1738" t="s">
        <v>1849</v>
      </c>
      <c r="C1738" t="s">
        <v>54</v>
      </c>
    </row>
    <row r="1739" spans="1:3" x14ac:dyDescent="0.3">
      <c r="A1739" t="s">
        <v>1850</v>
      </c>
      <c r="B1739" t="s">
        <v>1849</v>
      </c>
      <c r="C1739" t="s">
        <v>54</v>
      </c>
    </row>
    <row r="1740" spans="1:3" x14ac:dyDescent="0.3">
      <c r="A1740">
        <v>68891327</v>
      </c>
      <c r="B1740" t="s">
        <v>1851</v>
      </c>
      <c r="C1740" t="s">
        <v>54</v>
      </c>
    </row>
    <row r="1741" spans="1:3" x14ac:dyDescent="0.3">
      <c r="A1741">
        <v>68891330</v>
      </c>
      <c r="B1741" t="s">
        <v>1852</v>
      </c>
      <c r="C1741" t="s">
        <v>54</v>
      </c>
    </row>
    <row r="1742" spans="1:3" x14ac:dyDescent="0.3">
      <c r="A1742">
        <v>68891332</v>
      </c>
      <c r="B1742" t="s">
        <v>1853</v>
      </c>
      <c r="C1742" t="s">
        <v>53</v>
      </c>
    </row>
    <row r="1743" spans="1:3" x14ac:dyDescent="0.3">
      <c r="A1743">
        <v>68891336</v>
      </c>
      <c r="B1743" t="s">
        <v>1854</v>
      </c>
      <c r="C1743" t="s">
        <v>539</v>
      </c>
    </row>
    <row r="1744" spans="1:3" x14ac:dyDescent="0.3">
      <c r="A1744">
        <v>68891341</v>
      </c>
      <c r="B1744" t="s">
        <v>1855</v>
      </c>
      <c r="C1744" t="s">
        <v>108</v>
      </c>
    </row>
    <row r="1745" spans="1:3" x14ac:dyDescent="0.3">
      <c r="A1745">
        <v>68891343</v>
      </c>
      <c r="B1745" t="s">
        <v>1856</v>
      </c>
      <c r="C1745" t="s">
        <v>122</v>
      </c>
    </row>
    <row r="1746" spans="1:3" x14ac:dyDescent="0.3">
      <c r="A1746">
        <v>68894603</v>
      </c>
      <c r="B1746" t="s">
        <v>1857</v>
      </c>
      <c r="C1746" t="s">
        <v>53</v>
      </c>
    </row>
    <row r="1747" spans="1:3" x14ac:dyDescent="0.3">
      <c r="A1747">
        <v>68894606</v>
      </c>
      <c r="B1747" t="s">
        <v>1858</v>
      </c>
      <c r="C1747" t="s">
        <v>53</v>
      </c>
    </row>
    <row r="1748" spans="1:3" x14ac:dyDescent="0.3">
      <c r="A1748">
        <v>68894610</v>
      </c>
      <c r="B1748" t="s">
        <v>1859</v>
      </c>
      <c r="C1748" t="s">
        <v>53</v>
      </c>
    </row>
    <row r="1749" spans="1:3" x14ac:dyDescent="0.3">
      <c r="A1749">
        <v>68894612</v>
      </c>
      <c r="B1749" t="s">
        <v>1860</v>
      </c>
      <c r="C1749" t="s">
        <v>54</v>
      </c>
    </row>
    <row r="1750" spans="1:3" x14ac:dyDescent="0.3">
      <c r="A1750">
        <v>68898899</v>
      </c>
      <c r="B1750" t="s">
        <v>1861</v>
      </c>
      <c r="C1750" t="s">
        <v>131</v>
      </c>
    </row>
    <row r="1751" spans="1:3" x14ac:dyDescent="0.3">
      <c r="A1751">
        <v>68898901</v>
      </c>
      <c r="B1751" t="s">
        <v>1862</v>
      </c>
      <c r="C1751" t="s">
        <v>679</v>
      </c>
    </row>
    <row r="1752" spans="1:3" x14ac:dyDescent="0.3">
      <c r="A1752">
        <v>68902595</v>
      </c>
      <c r="B1752" t="s">
        <v>1863</v>
      </c>
      <c r="C1752" t="s">
        <v>108</v>
      </c>
    </row>
    <row r="1753" spans="1:3" x14ac:dyDescent="0.3">
      <c r="A1753">
        <v>68902599</v>
      </c>
      <c r="B1753" t="s">
        <v>1864</v>
      </c>
      <c r="C1753" t="s">
        <v>54</v>
      </c>
    </row>
    <row r="1754" spans="1:3" x14ac:dyDescent="0.3">
      <c r="A1754">
        <v>68902605</v>
      </c>
      <c r="B1754" t="s">
        <v>1865</v>
      </c>
      <c r="C1754" t="s">
        <v>54</v>
      </c>
    </row>
    <row r="1755" spans="1:3" x14ac:dyDescent="0.3">
      <c r="A1755">
        <v>68902607</v>
      </c>
      <c r="B1755" t="s">
        <v>1866</v>
      </c>
      <c r="C1755" t="s">
        <v>54</v>
      </c>
    </row>
    <row r="1756" spans="1:3" x14ac:dyDescent="0.3">
      <c r="A1756">
        <v>68902611</v>
      </c>
      <c r="B1756" t="s">
        <v>1867</v>
      </c>
      <c r="C1756" t="s">
        <v>54</v>
      </c>
    </row>
    <row r="1757" spans="1:3" x14ac:dyDescent="0.3">
      <c r="A1757">
        <v>68902615</v>
      </c>
      <c r="B1757" t="s">
        <v>1868</v>
      </c>
      <c r="C1757" t="s">
        <v>54</v>
      </c>
    </row>
    <row r="1758" spans="1:3" x14ac:dyDescent="0.3">
      <c r="A1758">
        <v>68902619</v>
      </c>
      <c r="B1758" t="s">
        <v>1869</v>
      </c>
      <c r="C1758" t="s">
        <v>54</v>
      </c>
    </row>
    <row r="1759" spans="1:3" x14ac:dyDescent="0.3">
      <c r="A1759">
        <v>68902623</v>
      </c>
      <c r="B1759" t="s">
        <v>1870</v>
      </c>
      <c r="C1759" t="s">
        <v>54</v>
      </c>
    </row>
    <row r="1760" spans="1:3" x14ac:dyDescent="0.3">
      <c r="A1760">
        <v>68902627</v>
      </c>
      <c r="B1760" t="s">
        <v>1871</v>
      </c>
      <c r="C1760" t="s">
        <v>54</v>
      </c>
    </row>
    <row r="1761" spans="1:3" x14ac:dyDescent="0.3">
      <c r="A1761">
        <v>68902629</v>
      </c>
      <c r="B1761" t="s">
        <v>1872</v>
      </c>
      <c r="C1761" t="s">
        <v>54</v>
      </c>
    </row>
    <row r="1762" spans="1:3" x14ac:dyDescent="0.3">
      <c r="A1762">
        <v>68902832</v>
      </c>
      <c r="B1762" t="s">
        <v>1873</v>
      </c>
      <c r="C1762" t="s">
        <v>129</v>
      </c>
    </row>
    <row r="1763" spans="1:3" x14ac:dyDescent="0.3">
      <c r="A1763">
        <v>68903322</v>
      </c>
      <c r="B1763" t="s">
        <v>1874</v>
      </c>
      <c r="C1763" t="s">
        <v>131</v>
      </c>
    </row>
    <row r="1764" spans="1:3" x14ac:dyDescent="0.3">
      <c r="A1764">
        <v>68906776</v>
      </c>
      <c r="B1764" t="s">
        <v>1875</v>
      </c>
      <c r="C1764" t="s">
        <v>679</v>
      </c>
    </row>
    <row r="1765" spans="1:3" x14ac:dyDescent="0.3">
      <c r="A1765">
        <v>68906778</v>
      </c>
      <c r="B1765" t="s">
        <v>1876</v>
      </c>
      <c r="C1765" t="s">
        <v>679</v>
      </c>
    </row>
    <row r="1766" spans="1:3" x14ac:dyDescent="0.3">
      <c r="A1766">
        <v>68906805</v>
      </c>
      <c r="B1766" t="s">
        <v>1877</v>
      </c>
      <c r="C1766" t="s">
        <v>53</v>
      </c>
    </row>
    <row r="1767" spans="1:3" x14ac:dyDescent="0.3">
      <c r="A1767">
        <v>68906806</v>
      </c>
      <c r="B1767" t="s">
        <v>1878</v>
      </c>
      <c r="C1767" t="s">
        <v>53</v>
      </c>
    </row>
    <row r="1768" spans="1:3" x14ac:dyDescent="0.3">
      <c r="A1768">
        <v>68906816</v>
      </c>
      <c r="B1768" t="s">
        <v>1879</v>
      </c>
      <c r="C1768" t="s">
        <v>53</v>
      </c>
    </row>
    <row r="1769" spans="1:3" x14ac:dyDescent="0.3">
      <c r="A1769">
        <v>68906817</v>
      </c>
      <c r="B1769" t="s">
        <v>1880</v>
      </c>
      <c r="C1769" t="s">
        <v>53</v>
      </c>
    </row>
    <row r="1770" spans="1:3" x14ac:dyDescent="0.3">
      <c r="A1770">
        <v>68906818</v>
      </c>
      <c r="B1770" t="s">
        <v>1881</v>
      </c>
      <c r="C1770" t="s">
        <v>53</v>
      </c>
    </row>
    <row r="1771" spans="1:3" x14ac:dyDescent="0.3">
      <c r="A1771">
        <v>68906819</v>
      </c>
      <c r="B1771" t="s">
        <v>1882</v>
      </c>
      <c r="C1771" t="s">
        <v>53</v>
      </c>
    </row>
    <row r="1772" spans="1:3" x14ac:dyDescent="0.3">
      <c r="A1772">
        <v>68906820</v>
      </c>
      <c r="B1772" t="s">
        <v>1883</v>
      </c>
      <c r="C1772" t="s">
        <v>53</v>
      </c>
    </row>
    <row r="1773" spans="1:3" x14ac:dyDescent="0.3">
      <c r="A1773">
        <v>68906821</v>
      </c>
      <c r="B1773" t="s">
        <v>1884</v>
      </c>
      <c r="C1773" t="s">
        <v>53</v>
      </c>
    </row>
    <row r="1774" spans="1:3" x14ac:dyDescent="0.3">
      <c r="A1774">
        <v>68906834</v>
      </c>
      <c r="B1774" t="s">
        <v>1885</v>
      </c>
      <c r="C1774" t="s">
        <v>53</v>
      </c>
    </row>
    <row r="1775" spans="1:3" x14ac:dyDescent="0.3">
      <c r="A1775">
        <v>68906835</v>
      </c>
      <c r="B1775" t="s">
        <v>1886</v>
      </c>
      <c r="C1775" t="s">
        <v>53</v>
      </c>
    </row>
    <row r="1776" spans="1:3" x14ac:dyDescent="0.3">
      <c r="A1776">
        <v>68906837</v>
      </c>
      <c r="B1776" t="s">
        <v>1887</v>
      </c>
      <c r="C1776" t="s">
        <v>1582</v>
      </c>
    </row>
    <row r="1777" spans="1:3" x14ac:dyDescent="0.3">
      <c r="A1777">
        <v>68906838</v>
      </c>
      <c r="B1777" t="s">
        <v>1888</v>
      </c>
      <c r="C1777" t="s">
        <v>53</v>
      </c>
    </row>
    <row r="1778" spans="1:3" x14ac:dyDescent="0.3">
      <c r="A1778">
        <v>68906839</v>
      </c>
      <c r="B1778" t="s">
        <v>1889</v>
      </c>
      <c r="C1778" t="s">
        <v>53</v>
      </c>
    </row>
    <row r="1779" spans="1:3" x14ac:dyDescent="0.3">
      <c r="A1779">
        <v>68906840</v>
      </c>
      <c r="B1779" t="s">
        <v>1890</v>
      </c>
      <c r="C1779" t="s">
        <v>53</v>
      </c>
    </row>
    <row r="1780" spans="1:3" x14ac:dyDescent="0.3">
      <c r="A1780">
        <v>68906841</v>
      </c>
      <c r="B1780" t="s">
        <v>1891</v>
      </c>
      <c r="C1780" t="s">
        <v>53</v>
      </c>
    </row>
    <row r="1781" spans="1:3" x14ac:dyDescent="0.3">
      <c r="A1781">
        <v>68908112</v>
      </c>
      <c r="B1781" t="s">
        <v>1892</v>
      </c>
      <c r="C1781" t="s">
        <v>55</v>
      </c>
    </row>
    <row r="1782" spans="1:3" x14ac:dyDescent="0.3">
      <c r="A1782">
        <v>68908114</v>
      </c>
      <c r="B1782" t="s">
        <v>1893</v>
      </c>
      <c r="C1782" t="s">
        <v>55</v>
      </c>
    </row>
    <row r="1783" spans="1:3" x14ac:dyDescent="0.3">
      <c r="A1783">
        <v>68908118</v>
      </c>
      <c r="B1783" t="s">
        <v>1894</v>
      </c>
      <c r="C1783" t="s">
        <v>129</v>
      </c>
    </row>
    <row r="1784" spans="1:3" x14ac:dyDescent="0.3">
      <c r="A1784" t="s">
        <v>1895</v>
      </c>
      <c r="B1784" t="s">
        <v>1896</v>
      </c>
      <c r="C1784" t="s">
        <v>55</v>
      </c>
    </row>
    <row r="1785" spans="1:3" x14ac:dyDescent="0.3">
      <c r="A1785">
        <v>68908120</v>
      </c>
      <c r="B1785" t="s">
        <v>1897</v>
      </c>
      <c r="C1785" t="s">
        <v>55</v>
      </c>
    </row>
    <row r="1786" spans="1:3" x14ac:dyDescent="0.3">
      <c r="A1786">
        <v>68908122</v>
      </c>
      <c r="B1786" t="s">
        <v>1898</v>
      </c>
      <c r="C1786" t="s">
        <v>129</v>
      </c>
    </row>
    <row r="1787" spans="1:3" x14ac:dyDescent="0.3">
      <c r="A1787" t="s">
        <v>1899</v>
      </c>
      <c r="B1787" t="s">
        <v>1900</v>
      </c>
      <c r="C1787" t="s">
        <v>55</v>
      </c>
    </row>
    <row r="1788" spans="1:3" x14ac:dyDescent="0.3">
      <c r="A1788">
        <v>68909046</v>
      </c>
      <c r="B1788" t="s">
        <v>1901</v>
      </c>
      <c r="C1788" t="s">
        <v>122</v>
      </c>
    </row>
    <row r="1789" spans="1:3" x14ac:dyDescent="0.3">
      <c r="A1789">
        <v>68909047</v>
      </c>
      <c r="B1789" t="s">
        <v>1902</v>
      </c>
      <c r="C1789" t="s">
        <v>122</v>
      </c>
    </row>
    <row r="1790" spans="1:3" x14ac:dyDescent="0.3">
      <c r="A1790">
        <v>68909068</v>
      </c>
      <c r="B1790" t="s">
        <v>1903</v>
      </c>
      <c r="C1790" t="s">
        <v>122</v>
      </c>
    </row>
    <row r="1791" spans="1:3" x14ac:dyDescent="0.3">
      <c r="A1791">
        <v>68909069</v>
      </c>
      <c r="B1791" t="s">
        <v>1904</v>
      </c>
      <c r="C1791" t="s">
        <v>158</v>
      </c>
    </row>
    <row r="1792" spans="1:3" x14ac:dyDescent="0.3">
      <c r="A1792">
        <v>68909070</v>
      </c>
      <c r="B1792" t="s">
        <v>1905</v>
      </c>
      <c r="C1792" t="s">
        <v>122</v>
      </c>
    </row>
    <row r="1793" spans="1:3" x14ac:dyDescent="0.3">
      <c r="A1793">
        <v>68909071</v>
      </c>
      <c r="B1793" t="s">
        <v>1906</v>
      </c>
      <c r="C1793" t="s">
        <v>122</v>
      </c>
    </row>
    <row r="1794" spans="1:3" x14ac:dyDescent="0.3">
      <c r="A1794">
        <v>68909198</v>
      </c>
      <c r="B1794" t="s">
        <v>1907</v>
      </c>
      <c r="C1794" t="s">
        <v>120</v>
      </c>
    </row>
    <row r="1795" spans="1:3" x14ac:dyDescent="0.3">
      <c r="A1795">
        <v>68910534</v>
      </c>
      <c r="B1795" t="s">
        <v>1908</v>
      </c>
      <c r="C1795" t="s">
        <v>54</v>
      </c>
    </row>
    <row r="1796" spans="1:3" x14ac:dyDescent="0.3">
      <c r="A1796">
        <v>68910536</v>
      </c>
      <c r="B1796" t="s">
        <v>1909</v>
      </c>
      <c r="C1796" t="s">
        <v>54</v>
      </c>
    </row>
    <row r="1797" spans="1:3" x14ac:dyDescent="0.3">
      <c r="A1797">
        <v>68911475</v>
      </c>
      <c r="B1797" t="s">
        <v>1910</v>
      </c>
      <c r="C1797" t="s">
        <v>318</v>
      </c>
    </row>
    <row r="1798" spans="1:3" x14ac:dyDescent="0.3">
      <c r="A1798">
        <v>68911477</v>
      </c>
      <c r="B1798" t="s">
        <v>1911</v>
      </c>
      <c r="C1798" t="s">
        <v>129</v>
      </c>
    </row>
    <row r="1799" spans="1:3" x14ac:dyDescent="0.3">
      <c r="A1799">
        <v>68911479</v>
      </c>
      <c r="B1799" t="s">
        <v>1912</v>
      </c>
      <c r="C1799" t="s">
        <v>129</v>
      </c>
    </row>
    <row r="1800" spans="1:3" x14ac:dyDescent="0.3">
      <c r="A1800">
        <v>68911481</v>
      </c>
      <c r="B1800" t="s">
        <v>1913</v>
      </c>
      <c r="C1800" t="s">
        <v>129</v>
      </c>
    </row>
    <row r="1801" spans="1:3" x14ac:dyDescent="0.3">
      <c r="A1801">
        <v>68911483</v>
      </c>
      <c r="B1801" t="s">
        <v>1914</v>
      </c>
      <c r="C1801" t="s">
        <v>56</v>
      </c>
    </row>
    <row r="1802" spans="1:3" x14ac:dyDescent="0.3">
      <c r="A1802">
        <v>68911485</v>
      </c>
      <c r="B1802" t="s">
        <v>1915</v>
      </c>
      <c r="C1802" t="s">
        <v>414</v>
      </c>
    </row>
    <row r="1803" spans="1:3" x14ac:dyDescent="0.3">
      <c r="A1803">
        <v>68912624</v>
      </c>
      <c r="B1803" t="s">
        <v>1916</v>
      </c>
      <c r="C1803" t="s">
        <v>53</v>
      </c>
    </row>
    <row r="1804" spans="1:3" x14ac:dyDescent="0.3">
      <c r="A1804">
        <v>68912626</v>
      </c>
      <c r="B1804" t="s">
        <v>1917</v>
      </c>
      <c r="C1804" t="s">
        <v>54</v>
      </c>
    </row>
    <row r="1805" spans="1:3" x14ac:dyDescent="0.3">
      <c r="A1805">
        <v>68912630</v>
      </c>
      <c r="B1805" t="s">
        <v>1918</v>
      </c>
      <c r="C1805" t="s">
        <v>679</v>
      </c>
    </row>
    <row r="1806" spans="1:3" x14ac:dyDescent="0.3">
      <c r="A1806">
        <v>68912695</v>
      </c>
      <c r="B1806" t="s">
        <v>1919</v>
      </c>
      <c r="C1806" t="s">
        <v>54</v>
      </c>
    </row>
    <row r="1807" spans="1:3" x14ac:dyDescent="0.3">
      <c r="A1807">
        <v>68912697</v>
      </c>
      <c r="B1807" t="s">
        <v>1920</v>
      </c>
      <c r="C1807" t="s">
        <v>54</v>
      </c>
    </row>
    <row r="1808" spans="1:3" x14ac:dyDescent="0.3">
      <c r="A1808">
        <v>68912972</v>
      </c>
      <c r="B1808" t="s">
        <v>1921</v>
      </c>
      <c r="C1808" t="s">
        <v>54</v>
      </c>
    </row>
    <row r="1809" spans="1:3" x14ac:dyDescent="0.3">
      <c r="A1809">
        <v>68912973</v>
      </c>
      <c r="B1809" t="s">
        <v>1922</v>
      </c>
      <c r="C1809" t="s">
        <v>122</v>
      </c>
    </row>
    <row r="1810" spans="1:3" x14ac:dyDescent="0.3">
      <c r="A1810">
        <v>68913731</v>
      </c>
      <c r="B1810" t="s">
        <v>1923</v>
      </c>
      <c r="C1810" t="s">
        <v>54</v>
      </c>
    </row>
    <row r="1811" spans="1:3" x14ac:dyDescent="0.3">
      <c r="A1811">
        <v>68913733</v>
      </c>
      <c r="B1811" t="s">
        <v>1924</v>
      </c>
      <c r="C1811" t="s">
        <v>54</v>
      </c>
    </row>
    <row r="1812" spans="1:3" x14ac:dyDescent="0.3">
      <c r="A1812">
        <v>68918401</v>
      </c>
      <c r="B1812" t="s">
        <v>1925</v>
      </c>
      <c r="C1812" t="s">
        <v>129</v>
      </c>
    </row>
    <row r="1813" spans="1:3" x14ac:dyDescent="0.3">
      <c r="A1813">
        <v>68918564</v>
      </c>
      <c r="B1813" t="s">
        <v>1926</v>
      </c>
      <c r="C1813" t="s">
        <v>53</v>
      </c>
    </row>
    <row r="1814" spans="1:3" x14ac:dyDescent="0.3">
      <c r="A1814">
        <v>68930196</v>
      </c>
      <c r="B1814" t="s">
        <v>1927</v>
      </c>
      <c r="C1814" t="s">
        <v>679</v>
      </c>
    </row>
    <row r="1815" spans="1:3" x14ac:dyDescent="0.3">
      <c r="A1815">
        <v>68930198</v>
      </c>
      <c r="B1815" t="s">
        <v>1928</v>
      </c>
      <c r="C1815" t="s">
        <v>131</v>
      </c>
    </row>
    <row r="1816" spans="1:3" x14ac:dyDescent="0.3">
      <c r="A1816">
        <v>68930200</v>
      </c>
      <c r="B1816" t="s">
        <v>1929</v>
      </c>
      <c r="C1816" t="s">
        <v>131</v>
      </c>
    </row>
    <row r="1817" spans="1:3" x14ac:dyDescent="0.3">
      <c r="A1817">
        <v>68930202</v>
      </c>
      <c r="B1817" t="s">
        <v>1930</v>
      </c>
      <c r="C1817" t="s">
        <v>131</v>
      </c>
    </row>
    <row r="1818" spans="1:3" x14ac:dyDescent="0.3">
      <c r="A1818">
        <v>68930204</v>
      </c>
      <c r="B1818" t="s">
        <v>1931</v>
      </c>
      <c r="C1818" t="s">
        <v>131</v>
      </c>
    </row>
    <row r="1819" spans="1:3" x14ac:dyDescent="0.3">
      <c r="A1819">
        <v>68930206</v>
      </c>
      <c r="B1819" t="s">
        <v>1932</v>
      </c>
      <c r="C1819" t="s">
        <v>53</v>
      </c>
    </row>
    <row r="1820" spans="1:3" x14ac:dyDescent="0.3">
      <c r="A1820">
        <v>68930475</v>
      </c>
      <c r="B1820" t="s">
        <v>1933</v>
      </c>
      <c r="C1820" t="s">
        <v>284</v>
      </c>
    </row>
    <row r="1821" spans="1:3" x14ac:dyDescent="0.3">
      <c r="A1821">
        <v>68930477</v>
      </c>
      <c r="B1821" t="s">
        <v>1934</v>
      </c>
      <c r="C1821" t="s">
        <v>284</v>
      </c>
    </row>
    <row r="1822" spans="1:3" x14ac:dyDescent="0.3">
      <c r="A1822">
        <v>68932174</v>
      </c>
      <c r="B1822" t="s">
        <v>1935</v>
      </c>
      <c r="C1822" t="s">
        <v>131</v>
      </c>
    </row>
    <row r="1823" spans="1:3" x14ac:dyDescent="0.3">
      <c r="A1823">
        <v>68932176</v>
      </c>
      <c r="B1823" t="s">
        <v>1936</v>
      </c>
      <c r="C1823" t="s">
        <v>131</v>
      </c>
    </row>
    <row r="1824" spans="1:3" x14ac:dyDescent="0.3">
      <c r="A1824">
        <v>68933413</v>
      </c>
      <c r="B1824" t="s">
        <v>1937</v>
      </c>
      <c r="C1824" t="s">
        <v>54</v>
      </c>
    </row>
    <row r="1825" spans="1:3" x14ac:dyDescent="0.3">
      <c r="A1825">
        <v>68933415</v>
      </c>
      <c r="B1825" t="s">
        <v>1938</v>
      </c>
      <c r="C1825" t="s">
        <v>54</v>
      </c>
    </row>
    <row r="1826" spans="1:3" x14ac:dyDescent="0.3">
      <c r="A1826">
        <v>68933417</v>
      </c>
      <c r="B1826" t="s">
        <v>1939</v>
      </c>
      <c r="C1826" t="s">
        <v>54</v>
      </c>
    </row>
    <row r="1827" spans="1:3" x14ac:dyDescent="0.3">
      <c r="A1827">
        <v>68933421</v>
      </c>
      <c r="B1827" t="s">
        <v>1940</v>
      </c>
      <c r="C1827" t="s">
        <v>54</v>
      </c>
    </row>
    <row r="1828" spans="1:3" x14ac:dyDescent="0.3">
      <c r="A1828">
        <v>68933423</v>
      </c>
      <c r="B1828" t="s">
        <v>1941</v>
      </c>
      <c r="C1828" t="s">
        <v>54</v>
      </c>
    </row>
    <row r="1829" spans="1:3" x14ac:dyDescent="0.3">
      <c r="A1829">
        <v>68933431</v>
      </c>
      <c r="B1829" t="s">
        <v>1942</v>
      </c>
      <c r="C1829" t="s">
        <v>131</v>
      </c>
    </row>
    <row r="1830" spans="1:3" x14ac:dyDescent="0.3">
      <c r="A1830">
        <v>68933433</v>
      </c>
      <c r="B1830" t="s">
        <v>1943</v>
      </c>
      <c r="C1830" t="s">
        <v>131</v>
      </c>
    </row>
    <row r="1831" spans="1:3" x14ac:dyDescent="0.3">
      <c r="A1831">
        <v>68936507</v>
      </c>
      <c r="B1831" t="s">
        <v>1944</v>
      </c>
      <c r="C1831" t="s">
        <v>120</v>
      </c>
    </row>
    <row r="1832" spans="1:3" x14ac:dyDescent="0.3">
      <c r="A1832">
        <v>68936511</v>
      </c>
      <c r="B1832" t="s">
        <v>1945</v>
      </c>
      <c r="C1832" t="s">
        <v>120</v>
      </c>
    </row>
    <row r="1833" spans="1:3" x14ac:dyDescent="0.3">
      <c r="A1833">
        <v>68936513</v>
      </c>
      <c r="B1833" t="s">
        <v>1946</v>
      </c>
      <c r="C1833" t="s">
        <v>120</v>
      </c>
    </row>
    <row r="1834" spans="1:3" x14ac:dyDescent="0.3">
      <c r="A1834">
        <v>68936521</v>
      </c>
      <c r="B1834" t="s">
        <v>1947</v>
      </c>
      <c r="C1834" t="s">
        <v>120</v>
      </c>
    </row>
    <row r="1835" spans="1:3" x14ac:dyDescent="0.3">
      <c r="A1835">
        <v>68938318</v>
      </c>
      <c r="B1835" t="s">
        <v>1948</v>
      </c>
      <c r="C1835" t="s">
        <v>679</v>
      </c>
    </row>
    <row r="1836" spans="1:3" x14ac:dyDescent="0.3">
      <c r="A1836">
        <v>68938320</v>
      </c>
      <c r="B1836" t="s">
        <v>1949</v>
      </c>
      <c r="C1836" t="s">
        <v>131</v>
      </c>
    </row>
    <row r="1837" spans="1:3" x14ac:dyDescent="0.3">
      <c r="A1837">
        <v>68938322</v>
      </c>
      <c r="B1837" t="s">
        <v>1950</v>
      </c>
      <c r="C1837" t="s">
        <v>131</v>
      </c>
    </row>
    <row r="1838" spans="1:3" x14ac:dyDescent="0.3">
      <c r="A1838">
        <v>68938866</v>
      </c>
      <c r="B1838" t="s">
        <v>1951</v>
      </c>
      <c r="C1838" t="s">
        <v>131</v>
      </c>
    </row>
    <row r="1839" spans="1:3" x14ac:dyDescent="0.3">
      <c r="A1839">
        <v>68938868</v>
      </c>
      <c r="B1839" t="s">
        <v>1952</v>
      </c>
      <c r="C1839" t="s">
        <v>131</v>
      </c>
    </row>
    <row r="1840" spans="1:3" x14ac:dyDescent="0.3">
      <c r="A1840">
        <v>68940327</v>
      </c>
      <c r="B1840" t="s">
        <v>1953</v>
      </c>
      <c r="C1840" t="s">
        <v>54</v>
      </c>
    </row>
    <row r="1841" spans="1:3" x14ac:dyDescent="0.3">
      <c r="A1841">
        <v>68940329</v>
      </c>
      <c r="B1841" t="s">
        <v>1954</v>
      </c>
      <c r="C1841" t="s">
        <v>54</v>
      </c>
    </row>
    <row r="1842" spans="1:3" x14ac:dyDescent="0.3">
      <c r="A1842">
        <v>68940331</v>
      </c>
      <c r="B1842" t="s">
        <v>1955</v>
      </c>
      <c r="C1842" t="s">
        <v>131</v>
      </c>
    </row>
    <row r="1843" spans="1:3" x14ac:dyDescent="0.3">
      <c r="A1843">
        <v>68940333</v>
      </c>
      <c r="B1843" t="s">
        <v>1956</v>
      </c>
      <c r="C1843" t="s">
        <v>54</v>
      </c>
    </row>
    <row r="1844" spans="1:3" x14ac:dyDescent="0.3">
      <c r="A1844">
        <v>68940335</v>
      </c>
      <c r="B1844" t="s">
        <v>1957</v>
      </c>
      <c r="C1844" t="s">
        <v>122</v>
      </c>
    </row>
    <row r="1845" spans="1:3" x14ac:dyDescent="0.3">
      <c r="A1845">
        <v>68940337</v>
      </c>
      <c r="B1845" t="s">
        <v>1958</v>
      </c>
      <c r="C1845" t="s">
        <v>122</v>
      </c>
    </row>
    <row r="1846" spans="1:3" x14ac:dyDescent="0.3">
      <c r="A1846">
        <v>68940339</v>
      </c>
      <c r="B1846" t="s">
        <v>1959</v>
      </c>
      <c r="C1846" t="s">
        <v>336</v>
      </c>
    </row>
    <row r="1847" spans="1:3" x14ac:dyDescent="0.3">
      <c r="A1847">
        <v>68940341</v>
      </c>
      <c r="B1847" t="s">
        <v>1960</v>
      </c>
      <c r="C1847" t="s">
        <v>54</v>
      </c>
    </row>
    <row r="1848" spans="1:3" x14ac:dyDescent="0.3">
      <c r="A1848">
        <v>68940348</v>
      </c>
      <c r="B1848" t="s">
        <v>1961</v>
      </c>
      <c r="C1848" t="s">
        <v>122</v>
      </c>
    </row>
    <row r="1849" spans="1:3" x14ac:dyDescent="0.3">
      <c r="A1849">
        <v>68940353</v>
      </c>
      <c r="B1849" t="s">
        <v>1962</v>
      </c>
      <c r="C1849" t="s">
        <v>539</v>
      </c>
    </row>
    <row r="1850" spans="1:3" x14ac:dyDescent="0.3">
      <c r="A1850">
        <v>68940358</v>
      </c>
      <c r="B1850" t="s">
        <v>1963</v>
      </c>
      <c r="C1850" t="s">
        <v>122</v>
      </c>
    </row>
    <row r="1851" spans="1:3" x14ac:dyDescent="0.3">
      <c r="A1851">
        <v>68942952</v>
      </c>
      <c r="B1851" t="s">
        <v>1964</v>
      </c>
      <c r="C1851" t="s">
        <v>181</v>
      </c>
    </row>
    <row r="1852" spans="1:3" x14ac:dyDescent="0.3">
      <c r="A1852">
        <v>68942954</v>
      </c>
      <c r="B1852" t="s">
        <v>1965</v>
      </c>
      <c r="C1852" t="s">
        <v>120</v>
      </c>
    </row>
    <row r="1853" spans="1:3" x14ac:dyDescent="0.3">
      <c r="A1853">
        <v>68942956</v>
      </c>
      <c r="B1853" t="s">
        <v>1966</v>
      </c>
      <c r="C1853" t="s">
        <v>120</v>
      </c>
    </row>
    <row r="1854" spans="1:3" x14ac:dyDescent="0.3">
      <c r="A1854">
        <v>68942958</v>
      </c>
      <c r="B1854" t="s">
        <v>1967</v>
      </c>
      <c r="C1854" t="s">
        <v>120</v>
      </c>
    </row>
    <row r="1855" spans="1:3" x14ac:dyDescent="0.3">
      <c r="A1855" t="s">
        <v>1968</v>
      </c>
      <c r="B1855" t="s">
        <v>1969</v>
      </c>
      <c r="C1855" t="s">
        <v>54</v>
      </c>
    </row>
    <row r="1856" spans="1:3" x14ac:dyDescent="0.3">
      <c r="A1856">
        <v>68942960</v>
      </c>
      <c r="B1856" t="s">
        <v>1970</v>
      </c>
      <c r="C1856" t="s">
        <v>54</v>
      </c>
    </row>
    <row r="1857" spans="1:3" x14ac:dyDescent="0.3">
      <c r="A1857">
        <v>69549339</v>
      </c>
      <c r="B1857" t="s">
        <v>1971</v>
      </c>
      <c r="C1857" t="s">
        <v>679</v>
      </c>
    </row>
    <row r="1858" spans="1:3" x14ac:dyDescent="0.3">
      <c r="A1858">
        <v>69549341</v>
      </c>
      <c r="B1858" t="s">
        <v>1972</v>
      </c>
      <c r="C1858" t="s">
        <v>679</v>
      </c>
    </row>
    <row r="1859" spans="1:3" x14ac:dyDescent="0.3">
      <c r="A1859">
        <v>69551947</v>
      </c>
      <c r="B1859" t="s">
        <v>1973</v>
      </c>
      <c r="C1859" t="s">
        <v>120</v>
      </c>
    </row>
    <row r="1860" spans="1:3" x14ac:dyDescent="0.3">
      <c r="A1860">
        <v>69551949</v>
      </c>
      <c r="B1860" t="s">
        <v>1974</v>
      </c>
      <c r="C1860" t="s">
        <v>120</v>
      </c>
    </row>
    <row r="1861" spans="1:3" x14ac:dyDescent="0.3">
      <c r="A1861">
        <v>69551951</v>
      </c>
      <c r="B1861" t="s">
        <v>1975</v>
      </c>
      <c r="C1861" t="s">
        <v>120</v>
      </c>
    </row>
    <row r="1862" spans="1:3" x14ac:dyDescent="0.3">
      <c r="A1862">
        <v>69551953</v>
      </c>
      <c r="B1862" t="s">
        <v>1976</v>
      </c>
      <c r="C1862" t="s">
        <v>120</v>
      </c>
    </row>
    <row r="1863" spans="1:3" x14ac:dyDescent="0.3">
      <c r="A1863">
        <v>69553869</v>
      </c>
      <c r="B1863" t="s">
        <v>1977</v>
      </c>
      <c r="C1863" t="s">
        <v>120</v>
      </c>
    </row>
    <row r="1864" spans="1:3" x14ac:dyDescent="0.3">
      <c r="A1864">
        <v>69555764</v>
      </c>
      <c r="B1864" t="s">
        <v>1978</v>
      </c>
      <c r="C1864" t="s">
        <v>104</v>
      </c>
    </row>
    <row r="1865" spans="1:3" x14ac:dyDescent="0.3">
      <c r="A1865">
        <v>69555766</v>
      </c>
      <c r="B1865" t="s">
        <v>1979</v>
      </c>
      <c r="C1865" t="s">
        <v>181</v>
      </c>
    </row>
    <row r="1866" spans="1:3" x14ac:dyDescent="0.3">
      <c r="A1866">
        <v>69555768</v>
      </c>
      <c r="B1866" t="s">
        <v>1980</v>
      </c>
      <c r="C1866" t="s">
        <v>181</v>
      </c>
    </row>
    <row r="1867" spans="1:3" x14ac:dyDescent="0.3">
      <c r="A1867">
        <v>69555770</v>
      </c>
      <c r="B1867" t="s">
        <v>1981</v>
      </c>
      <c r="C1867" t="s">
        <v>181</v>
      </c>
    </row>
    <row r="1868" spans="1:3" x14ac:dyDescent="0.3">
      <c r="A1868">
        <v>69555957</v>
      </c>
      <c r="B1868" t="s">
        <v>1982</v>
      </c>
      <c r="C1868" t="s">
        <v>129</v>
      </c>
    </row>
    <row r="1869" spans="1:3" x14ac:dyDescent="0.3">
      <c r="A1869">
        <v>69555959</v>
      </c>
      <c r="B1869" t="s">
        <v>1983</v>
      </c>
      <c r="C1869" t="s">
        <v>56</v>
      </c>
    </row>
    <row r="1870" spans="1:3" x14ac:dyDescent="0.3">
      <c r="A1870">
        <v>69555961</v>
      </c>
      <c r="B1870" t="s">
        <v>1984</v>
      </c>
      <c r="C1870" t="s">
        <v>129</v>
      </c>
    </row>
    <row r="1871" spans="1:3" x14ac:dyDescent="0.3">
      <c r="A1871">
        <v>69556807</v>
      </c>
      <c r="B1871" t="s">
        <v>1985</v>
      </c>
      <c r="C1871" t="s">
        <v>122</v>
      </c>
    </row>
    <row r="1872" spans="1:3" x14ac:dyDescent="0.3">
      <c r="A1872">
        <v>69556808</v>
      </c>
      <c r="B1872" t="s">
        <v>1986</v>
      </c>
      <c r="C1872" t="s">
        <v>122</v>
      </c>
    </row>
    <row r="1873" spans="1:3" x14ac:dyDescent="0.3">
      <c r="A1873">
        <v>69556809</v>
      </c>
      <c r="B1873" t="s">
        <v>1987</v>
      </c>
      <c r="C1873" t="s">
        <v>122</v>
      </c>
    </row>
    <row r="1874" spans="1:3" x14ac:dyDescent="0.3">
      <c r="A1874">
        <v>69556810</v>
      </c>
      <c r="B1874" t="s">
        <v>1988</v>
      </c>
      <c r="C1874" t="s">
        <v>122</v>
      </c>
    </row>
    <row r="1875" spans="1:3" x14ac:dyDescent="0.3">
      <c r="A1875">
        <v>69556811</v>
      </c>
      <c r="B1875" t="s">
        <v>1989</v>
      </c>
      <c r="C1875" t="s">
        <v>122</v>
      </c>
    </row>
    <row r="1876" spans="1:3" x14ac:dyDescent="0.3">
      <c r="A1876">
        <v>69556812</v>
      </c>
      <c r="B1876" t="s">
        <v>1990</v>
      </c>
      <c r="C1876" t="s">
        <v>54</v>
      </c>
    </row>
    <row r="1877" spans="1:3" x14ac:dyDescent="0.3">
      <c r="A1877">
        <v>69556838</v>
      </c>
      <c r="B1877" t="s">
        <v>1991</v>
      </c>
      <c r="C1877" t="s">
        <v>54</v>
      </c>
    </row>
    <row r="1878" spans="1:3" x14ac:dyDescent="0.3">
      <c r="A1878">
        <v>69557154</v>
      </c>
      <c r="B1878" t="s">
        <v>1992</v>
      </c>
      <c r="C1878" t="s">
        <v>110</v>
      </c>
    </row>
    <row r="1879" spans="1:3" x14ac:dyDescent="0.3">
      <c r="A1879">
        <v>69557735</v>
      </c>
      <c r="B1879" t="s">
        <v>1993</v>
      </c>
      <c r="C1879" t="s">
        <v>54</v>
      </c>
    </row>
    <row r="1880" spans="1:3" x14ac:dyDescent="0.3">
      <c r="A1880">
        <v>69557737</v>
      </c>
      <c r="B1880" t="s">
        <v>1994</v>
      </c>
      <c r="C1880" t="s">
        <v>120</v>
      </c>
    </row>
    <row r="1881" spans="1:3" x14ac:dyDescent="0.3">
      <c r="A1881">
        <v>69557739</v>
      </c>
      <c r="B1881" t="s">
        <v>1995</v>
      </c>
      <c r="C1881" t="s">
        <v>120</v>
      </c>
    </row>
    <row r="1882" spans="1:3" x14ac:dyDescent="0.3">
      <c r="A1882">
        <v>69557741</v>
      </c>
      <c r="B1882" t="s">
        <v>1996</v>
      </c>
      <c r="C1882" t="s">
        <v>120</v>
      </c>
    </row>
    <row r="1883" spans="1:3" x14ac:dyDescent="0.3">
      <c r="A1883">
        <v>69560559</v>
      </c>
      <c r="B1883" t="s">
        <v>1997</v>
      </c>
      <c r="C1883" t="s">
        <v>1998</v>
      </c>
    </row>
    <row r="1884" spans="1:3" x14ac:dyDescent="0.3">
      <c r="A1884">
        <v>69560751</v>
      </c>
      <c r="B1884" t="s">
        <v>1999</v>
      </c>
      <c r="C1884" t="s">
        <v>177</v>
      </c>
    </row>
    <row r="1885" spans="1:3" x14ac:dyDescent="0.3">
      <c r="A1885">
        <v>69560753</v>
      </c>
      <c r="B1885" t="s">
        <v>2000</v>
      </c>
      <c r="C1885" t="s">
        <v>177</v>
      </c>
    </row>
    <row r="1886" spans="1:3" x14ac:dyDescent="0.3">
      <c r="A1886">
        <v>69562818</v>
      </c>
      <c r="B1886" t="s">
        <v>2001</v>
      </c>
      <c r="C1886" t="s">
        <v>131</v>
      </c>
    </row>
    <row r="1887" spans="1:3" x14ac:dyDescent="0.3">
      <c r="A1887">
        <v>69562822</v>
      </c>
      <c r="B1887" t="s">
        <v>2002</v>
      </c>
      <c r="C1887" t="s">
        <v>131</v>
      </c>
    </row>
    <row r="1888" spans="1:3" x14ac:dyDescent="0.3">
      <c r="A1888">
        <v>69567986</v>
      </c>
      <c r="B1888" t="s">
        <v>2003</v>
      </c>
      <c r="C1888" t="s">
        <v>695</v>
      </c>
    </row>
    <row r="1889" spans="1:3" x14ac:dyDescent="0.3">
      <c r="A1889">
        <v>69567988</v>
      </c>
      <c r="B1889" t="s">
        <v>2004</v>
      </c>
      <c r="C1889" t="s">
        <v>695</v>
      </c>
    </row>
    <row r="1890" spans="1:3" x14ac:dyDescent="0.3">
      <c r="A1890">
        <v>69569175</v>
      </c>
      <c r="B1890" t="s">
        <v>2005</v>
      </c>
      <c r="C1890" t="s">
        <v>131</v>
      </c>
    </row>
    <row r="1891" spans="1:3" x14ac:dyDescent="0.3">
      <c r="A1891">
        <v>69570771</v>
      </c>
      <c r="B1891" t="s">
        <v>2006</v>
      </c>
      <c r="C1891" t="s">
        <v>129</v>
      </c>
    </row>
    <row r="1892" spans="1:3" x14ac:dyDescent="0.3">
      <c r="A1892">
        <v>69570856</v>
      </c>
      <c r="B1892" t="s">
        <v>2007</v>
      </c>
      <c r="C1892" t="s">
        <v>318</v>
      </c>
    </row>
    <row r="1893" spans="1:3" x14ac:dyDescent="0.3">
      <c r="A1893">
        <v>69570860</v>
      </c>
      <c r="B1893" t="s">
        <v>2008</v>
      </c>
      <c r="C1893" t="s">
        <v>318</v>
      </c>
    </row>
    <row r="1894" spans="1:3" x14ac:dyDescent="0.3">
      <c r="A1894">
        <v>69571561</v>
      </c>
      <c r="B1894" t="s">
        <v>2009</v>
      </c>
      <c r="C1894" t="s">
        <v>53</v>
      </c>
    </row>
    <row r="1895" spans="1:3" x14ac:dyDescent="0.3">
      <c r="A1895">
        <v>69571687</v>
      </c>
      <c r="B1895" t="s">
        <v>2010</v>
      </c>
      <c r="C1895" t="s">
        <v>54</v>
      </c>
    </row>
    <row r="1896" spans="1:3" x14ac:dyDescent="0.3">
      <c r="A1896">
        <v>69571690</v>
      </c>
      <c r="B1896" t="s">
        <v>2011</v>
      </c>
      <c r="C1896" t="s">
        <v>54</v>
      </c>
    </row>
    <row r="1897" spans="1:3" x14ac:dyDescent="0.3">
      <c r="A1897">
        <v>69571960</v>
      </c>
      <c r="B1897" t="s">
        <v>2012</v>
      </c>
      <c r="C1897" t="s">
        <v>1998</v>
      </c>
    </row>
    <row r="1898" spans="1:3" x14ac:dyDescent="0.3">
      <c r="A1898">
        <v>69579795</v>
      </c>
      <c r="B1898" t="s">
        <v>2013</v>
      </c>
      <c r="C1898" t="s">
        <v>318</v>
      </c>
    </row>
    <row r="1899" spans="1:3" x14ac:dyDescent="0.3">
      <c r="A1899">
        <v>69579799</v>
      </c>
      <c r="B1899" t="s">
        <v>2014</v>
      </c>
      <c r="C1899" t="s">
        <v>318</v>
      </c>
    </row>
    <row r="1900" spans="1:3" x14ac:dyDescent="0.3">
      <c r="A1900">
        <v>69580370</v>
      </c>
      <c r="B1900" t="s">
        <v>2015</v>
      </c>
      <c r="C1900" t="s">
        <v>181</v>
      </c>
    </row>
    <row r="1901" spans="1:3" x14ac:dyDescent="0.3">
      <c r="A1901">
        <v>69580371</v>
      </c>
      <c r="B1901" t="s">
        <v>2016</v>
      </c>
      <c r="C1901" t="s">
        <v>181</v>
      </c>
    </row>
    <row r="1902" spans="1:3" x14ac:dyDescent="0.3">
      <c r="A1902">
        <v>69580390</v>
      </c>
      <c r="B1902" t="s">
        <v>2017</v>
      </c>
      <c r="C1902" t="s">
        <v>120</v>
      </c>
    </row>
    <row r="1903" spans="1:3" x14ac:dyDescent="0.3">
      <c r="A1903">
        <v>69580392</v>
      </c>
      <c r="B1903" t="s">
        <v>2018</v>
      </c>
      <c r="C1903" t="s">
        <v>54</v>
      </c>
    </row>
    <row r="1904" spans="1:3" x14ac:dyDescent="0.3">
      <c r="A1904">
        <v>69580394</v>
      </c>
      <c r="B1904" t="s">
        <v>2019</v>
      </c>
      <c r="C1904" t="s">
        <v>54</v>
      </c>
    </row>
    <row r="1905" spans="1:3" x14ac:dyDescent="0.3">
      <c r="A1905">
        <v>69585427</v>
      </c>
      <c r="B1905" t="s">
        <v>2020</v>
      </c>
      <c r="C1905" t="s">
        <v>246</v>
      </c>
    </row>
    <row r="1906" spans="1:3" x14ac:dyDescent="0.3">
      <c r="A1906">
        <v>69586944</v>
      </c>
      <c r="B1906" t="s">
        <v>2021</v>
      </c>
      <c r="C1906" t="s">
        <v>1582</v>
      </c>
    </row>
    <row r="1907" spans="1:3" x14ac:dyDescent="0.3">
      <c r="A1907">
        <v>69587309</v>
      </c>
      <c r="B1907" t="s">
        <v>2022</v>
      </c>
      <c r="C1907" t="s">
        <v>1582</v>
      </c>
    </row>
    <row r="1908" spans="1:3" x14ac:dyDescent="0.3">
      <c r="A1908">
        <v>69598963</v>
      </c>
      <c r="B1908" t="s">
        <v>2023</v>
      </c>
      <c r="C1908" t="s">
        <v>53</v>
      </c>
    </row>
    <row r="1909" spans="1:3" x14ac:dyDescent="0.3">
      <c r="A1909">
        <v>69598965</v>
      </c>
      <c r="B1909" t="s">
        <v>2024</v>
      </c>
      <c r="C1909" t="s">
        <v>53</v>
      </c>
    </row>
    <row r="1910" spans="1:3" x14ac:dyDescent="0.3">
      <c r="A1910">
        <v>69598967</v>
      </c>
      <c r="B1910" t="s">
        <v>2025</v>
      </c>
      <c r="C1910" t="s">
        <v>54</v>
      </c>
    </row>
    <row r="1911" spans="1:3" x14ac:dyDescent="0.3">
      <c r="A1911">
        <v>69598969</v>
      </c>
      <c r="B1911" t="s">
        <v>2026</v>
      </c>
      <c r="C1911" t="s">
        <v>54</v>
      </c>
    </row>
    <row r="1912" spans="1:3" x14ac:dyDescent="0.3">
      <c r="A1912">
        <v>69598971</v>
      </c>
      <c r="B1912" t="s">
        <v>2027</v>
      </c>
      <c r="C1912" t="s">
        <v>53</v>
      </c>
    </row>
    <row r="1913" spans="1:3" x14ac:dyDescent="0.3">
      <c r="A1913">
        <v>69598973</v>
      </c>
      <c r="B1913" t="s">
        <v>2028</v>
      </c>
      <c r="C1913" t="s">
        <v>53</v>
      </c>
    </row>
    <row r="1914" spans="1:3" x14ac:dyDescent="0.3">
      <c r="A1914">
        <v>69598975</v>
      </c>
      <c r="B1914" t="s">
        <v>2029</v>
      </c>
      <c r="C1914" t="s">
        <v>53</v>
      </c>
    </row>
    <row r="1915" spans="1:3" x14ac:dyDescent="0.3">
      <c r="A1915">
        <v>69598977</v>
      </c>
      <c r="B1915" t="s">
        <v>2030</v>
      </c>
      <c r="C1915" t="s">
        <v>54</v>
      </c>
    </row>
    <row r="1916" spans="1:3" x14ac:dyDescent="0.3">
      <c r="A1916">
        <v>69598979</v>
      </c>
      <c r="B1916" t="s">
        <v>2031</v>
      </c>
      <c r="C1916" t="s">
        <v>53</v>
      </c>
    </row>
    <row r="1917" spans="1:3" x14ac:dyDescent="0.3">
      <c r="A1917">
        <v>69598982</v>
      </c>
      <c r="B1917" t="s">
        <v>2032</v>
      </c>
      <c r="C1917" t="s">
        <v>53</v>
      </c>
    </row>
    <row r="1918" spans="1:3" x14ac:dyDescent="0.3">
      <c r="A1918">
        <v>69598984</v>
      </c>
      <c r="B1918" t="s">
        <v>2033</v>
      </c>
      <c r="C1918" t="s">
        <v>53</v>
      </c>
    </row>
    <row r="1919" spans="1:3" x14ac:dyDescent="0.3">
      <c r="A1919">
        <v>69598986</v>
      </c>
      <c r="B1919" t="s">
        <v>2034</v>
      </c>
      <c r="C1919" t="s">
        <v>54</v>
      </c>
    </row>
    <row r="1920" spans="1:3" x14ac:dyDescent="0.3">
      <c r="A1920">
        <v>69598988</v>
      </c>
      <c r="B1920" t="s">
        <v>2035</v>
      </c>
      <c r="C1920" t="s">
        <v>53</v>
      </c>
    </row>
    <row r="1921" spans="1:3" x14ac:dyDescent="0.3">
      <c r="A1921">
        <v>69598990</v>
      </c>
      <c r="B1921" t="s">
        <v>2036</v>
      </c>
      <c r="C1921" t="s">
        <v>53</v>
      </c>
    </row>
    <row r="1922" spans="1:3" x14ac:dyDescent="0.3">
      <c r="A1922">
        <v>69598992</v>
      </c>
      <c r="B1922" t="s">
        <v>2037</v>
      </c>
      <c r="C1922" t="s">
        <v>54</v>
      </c>
    </row>
    <row r="1923" spans="1:3" x14ac:dyDescent="0.3">
      <c r="A1923">
        <v>69598994</v>
      </c>
      <c r="B1923" t="s">
        <v>2038</v>
      </c>
      <c r="C1923" t="s">
        <v>54</v>
      </c>
    </row>
    <row r="1924" spans="1:3" x14ac:dyDescent="0.3">
      <c r="A1924">
        <v>69600551</v>
      </c>
      <c r="B1924" t="s">
        <v>2039</v>
      </c>
      <c r="C1924" t="s">
        <v>54</v>
      </c>
    </row>
    <row r="1925" spans="1:3" x14ac:dyDescent="0.3">
      <c r="A1925">
        <v>69600553</v>
      </c>
      <c r="B1925" t="s">
        <v>2040</v>
      </c>
      <c r="C1925" t="s">
        <v>129</v>
      </c>
    </row>
    <row r="1926" spans="1:3" x14ac:dyDescent="0.3">
      <c r="A1926">
        <v>69603882</v>
      </c>
      <c r="B1926" t="s">
        <v>2041</v>
      </c>
      <c r="C1926" t="s">
        <v>246</v>
      </c>
    </row>
    <row r="1927" spans="1:3" x14ac:dyDescent="0.3">
      <c r="A1927">
        <v>69603884</v>
      </c>
      <c r="B1927" t="s">
        <v>2042</v>
      </c>
      <c r="C1927" t="s">
        <v>246</v>
      </c>
    </row>
    <row r="1928" spans="1:3" x14ac:dyDescent="0.3">
      <c r="A1928">
        <v>69603886</v>
      </c>
      <c r="B1928" t="s">
        <v>2043</v>
      </c>
      <c r="C1928" t="s">
        <v>246</v>
      </c>
    </row>
    <row r="1929" spans="1:3" x14ac:dyDescent="0.3">
      <c r="A1929">
        <v>69604514</v>
      </c>
      <c r="B1929" t="s">
        <v>2044</v>
      </c>
      <c r="C1929" t="s">
        <v>54</v>
      </c>
    </row>
    <row r="1930" spans="1:3" x14ac:dyDescent="0.3">
      <c r="A1930">
        <v>69604516</v>
      </c>
      <c r="B1930" t="s">
        <v>2045</v>
      </c>
      <c r="C1930" t="s">
        <v>54</v>
      </c>
    </row>
    <row r="1931" spans="1:3" x14ac:dyDescent="0.3">
      <c r="A1931">
        <v>69604518</v>
      </c>
      <c r="B1931" t="s">
        <v>2046</v>
      </c>
      <c r="C1931" t="s">
        <v>54</v>
      </c>
    </row>
    <row r="1932" spans="1:3" x14ac:dyDescent="0.3">
      <c r="A1932">
        <v>69604520</v>
      </c>
      <c r="B1932" t="s">
        <v>2047</v>
      </c>
      <c r="C1932" t="s">
        <v>120</v>
      </c>
    </row>
    <row r="1933" spans="1:3" x14ac:dyDescent="0.3">
      <c r="A1933">
        <v>69604522</v>
      </c>
      <c r="B1933" t="s">
        <v>2048</v>
      </c>
      <c r="C1933" t="s">
        <v>120</v>
      </c>
    </row>
    <row r="1934" spans="1:3" x14ac:dyDescent="0.3">
      <c r="A1934">
        <v>69604524</v>
      </c>
      <c r="B1934" t="s">
        <v>2049</v>
      </c>
      <c r="C1934" t="s">
        <v>120</v>
      </c>
    </row>
    <row r="1935" spans="1:3" x14ac:dyDescent="0.3">
      <c r="A1935">
        <v>69604526</v>
      </c>
      <c r="B1935" t="s">
        <v>2050</v>
      </c>
      <c r="C1935" t="s">
        <v>120</v>
      </c>
    </row>
    <row r="1936" spans="1:3" x14ac:dyDescent="0.3">
      <c r="A1936">
        <v>69604530</v>
      </c>
      <c r="B1936" t="s">
        <v>2051</v>
      </c>
      <c r="C1936" t="s">
        <v>120</v>
      </c>
    </row>
    <row r="1937" spans="1:3" x14ac:dyDescent="0.3">
      <c r="A1937">
        <v>69605242</v>
      </c>
      <c r="B1937" t="s">
        <v>2052</v>
      </c>
      <c r="C1937" t="s">
        <v>131</v>
      </c>
    </row>
    <row r="1938" spans="1:3" x14ac:dyDescent="0.3">
      <c r="A1938">
        <v>69605244</v>
      </c>
      <c r="B1938" t="s">
        <v>2053</v>
      </c>
      <c r="C1938" t="s">
        <v>131</v>
      </c>
    </row>
    <row r="1939" spans="1:3" x14ac:dyDescent="0.3">
      <c r="A1939">
        <v>69605275</v>
      </c>
      <c r="B1939" t="s">
        <v>2054</v>
      </c>
      <c r="C1939" t="s">
        <v>131</v>
      </c>
    </row>
    <row r="1940" spans="1:3" x14ac:dyDescent="0.3">
      <c r="A1940">
        <v>69605277</v>
      </c>
      <c r="B1940" t="s">
        <v>2055</v>
      </c>
      <c r="C1940" t="s">
        <v>131</v>
      </c>
    </row>
    <row r="1941" spans="1:3" x14ac:dyDescent="0.3">
      <c r="A1941">
        <v>69605279</v>
      </c>
      <c r="B1941" t="s">
        <v>2056</v>
      </c>
      <c r="C1941" t="s">
        <v>131</v>
      </c>
    </row>
    <row r="1942" spans="1:3" x14ac:dyDescent="0.3">
      <c r="A1942">
        <v>69605281</v>
      </c>
      <c r="B1942" t="s">
        <v>2057</v>
      </c>
      <c r="C1942" t="s">
        <v>131</v>
      </c>
    </row>
    <row r="1943" spans="1:3" x14ac:dyDescent="0.3">
      <c r="A1943">
        <v>69605283</v>
      </c>
      <c r="B1943" t="s">
        <v>2058</v>
      </c>
      <c r="C1943" t="s">
        <v>131</v>
      </c>
    </row>
    <row r="1944" spans="1:3" x14ac:dyDescent="0.3">
      <c r="A1944">
        <v>69605285</v>
      </c>
      <c r="B1944" t="s">
        <v>2059</v>
      </c>
      <c r="C1944" t="s">
        <v>131</v>
      </c>
    </row>
    <row r="1945" spans="1:3" x14ac:dyDescent="0.3">
      <c r="A1945">
        <v>69605287</v>
      </c>
      <c r="B1945" t="s">
        <v>2060</v>
      </c>
      <c r="C1945" t="s">
        <v>131</v>
      </c>
    </row>
    <row r="1946" spans="1:3" x14ac:dyDescent="0.3">
      <c r="A1946">
        <v>69605289</v>
      </c>
      <c r="B1946" t="s">
        <v>2061</v>
      </c>
      <c r="C1946" t="s">
        <v>131</v>
      </c>
    </row>
    <row r="1947" spans="1:3" x14ac:dyDescent="0.3">
      <c r="A1947">
        <v>69605291</v>
      </c>
      <c r="B1947" t="s">
        <v>2062</v>
      </c>
      <c r="C1947" t="s">
        <v>131</v>
      </c>
    </row>
    <row r="1948" spans="1:3" x14ac:dyDescent="0.3">
      <c r="A1948">
        <v>69605293</v>
      </c>
      <c r="B1948" t="s">
        <v>2063</v>
      </c>
      <c r="C1948" t="s">
        <v>131</v>
      </c>
    </row>
    <row r="1949" spans="1:3" x14ac:dyDescent="0.3">
      <c r="A1949">
        <v>69605295</v>
      </c>
      <c r="B1949" t="s">
        <v>2064</v>
      </c>
      <c r="C1949" t="s">
        <v>131</v>
      </c>
    </row>
    <row r="1950" spans="1:3" x14ac:dyDescent="0.3">
      <c r="A1950">
        <v>69605927</v>
      </c>
      <c r="B1950" t="s">
        <v>2065</v>
      </c>
      <c r="C1950" t="s">
        <v>318</v>
      </c>
    </row>
    <row r="1951" spans="1:3" x14ac:dyDescent="0.3">
      <c r="A1951">
        <v>69605929</v>
      </c>
      <c r="B1951" t="s">
        <v>2066</v>
      </c>
      <c r="C1951" t="s">
        <v>318</v>
      </c>
    </row>
    <row r="1952" spans="1:3" x14ac:dyDescent="0.3">
      <c r="A1952">
        <v>69608134</v>
      </c>
      <c r="B1952" t="s">
        <v>2067</v>
      </c>
      <c r="C1952" t="s">
        <v>54</v>
      </c>
    </row>
    <row r="1953" spans="1:3" x14ac:dyDescent="0.3">
      <c r="A1953">
        <v>69608172</v>
      </c>
      <c r="B1953" t="s">
        <v>2068</v>
      </c>
      <c r="C1953" t="s">
        <v>53</v>
      </c>
    </row>
    <row r="1954" spans="1:3" x14ac:dyDescent="0.3">
      <c r="A1954">
        <v>69610543</v>
      </c>
      <c r="B1954" t="s">
        <v>2069</v>
      </c>
      <c r="C1954" t="s">
        <v>120</v>
      </c>
    </row>
    <row r="1955" spans="1:3" x14ac:dyDescent="0.3">
      <c r="A1955">
        <v>69611449</v>
      </c>
      <c r="B1955" t="s">
        <v>2070</v>
      </c>
      <c r="C1955" t="s">
        <v>54</v>
      </c>
    </row>
    <row r="1956" spans="1:3" x14ac:dyDescent="0.3">
      <c r="A1956">
        <v>69611451</v>
      </c>
      <c r="B1956" t="s">
        <v>2071</v>
      </c>
      <c r="C1956" t="s">
        <v>54</v>
      </c>
    </row>
    <row r="1957" spans="1:3" x14ac:dyDescent="0.3">
      <c r="A1957">
        <v>69616399</v>
      </c>
      <c r="B1957" t="s">
        <v>2072</v>
      </c>
      <c r="C1957" t="s">
        <v>129</v>
      </c>
    </row>
    <row r="1958" spans="1:3" x14ac:dyDescent="0.3">
      <c r="A1958">
        <v>69616743</v>
      </c>
      <c r="B1958" t="s">
        <v>2073</v>
      </c>
      <c r="C1958" t="s">
        <v>53</v>
      </c>
    </row>
    <row r="1959" spans="1:3" x14ac:dyDescent="0.3">
      <c r="A1959">
        <v>69620416</v>
      </c>
      <c r="B1959" t="s">
        <v>2074</v>
      </c>
      <c r="C1959" t="s">
        <v>53</v>
      </c>
    </row>
    <row r="1960" spans="1:3" x14ac:dyDescent="0.3">
      <c r="A1960">
        <v>69620604</v>
      </c>
      <c r="B1960" t="s">
        <v>2075</v>
      </c>
      <c r="C1960" t="s">
        <v>1582</v>
      </c>
    </row>
    <row r="1961" spans="1:3" x14ac:dyDescent="0.3">
      <c r="A1961">
        <v>69620606</v>
      </c>
      <c r="B1961" t="s">
        <v>2076</v>
      </c>
      <c r="C1961" t="s">
        <v>1582</v>
      </c>
    </row>
    <row r="1962" spans="1:3" x14ac:dyDescent="0.3">
      <c r="A1962">
        <v>69620608</v>
      </c>
      <c r="B1962" t="s">
        <v>2077</v>
      </c>
      <c r="C1962" t="s">
        <v>53</v>
      </c>
    </row>
    <row r="1963" spans="1:3" x14ac:dyDescent="0.3">
      <c r="A1963">
        <v>69622311</v>
      </c>
      <c r="B1963" t="s">
        <v>2078</v>
      </c>
      <c r="C1963" t="s">
        <v>181</v>
      </c>
    </row>
    <row r="1964" spans="1:3" x14ac:dyDescent="0.3">
      <c r="A1964">
        <v>69622318</v>
      </c>
      <c r="B1964" t="s">
        <v>2079</v>
      </c>
      <c r="C1964" t="s">
        <v>181</v>
      </c>
    </row>
    <row r="1965" spans="1:3" x14ac:dyDescent="0.3">
      <c r="A1965">
        <v>69624320</v>
      </c>
      <c r="B1965" t="s">
        <v>2080</v>
      </c>
      <c r="C1965" t="s">
        <v>54</v>
      </c>
    </row>
    <row r="1966" spans="1:3" x14ac:dyDescent="0.3">
      <c r="A1966">
        <v>69624324</v>
      </c>
      <c r="B1966" t="s">
        <v>2081</v>
      </c>
      <c r="C1966" t="s">
        <v>54</v>
      </c>
    </row>
    <row r="1967" spans="1:3" x14ac:dyDescent="0.3">
      <c r="A1967">
        <v>69624361</v>
      </c>
      <c r="B1967" t="s">
        <v>2082</v>
      </c>
      <c r="C1967" t="s">
        <v>181</v>
      </c>
    </row>
    <row r="1968" spans="1:3" x14ac:dyDescent="0.3">
      <c r="A1968">
        <v>69624363</v>
      </c>
      <c r="B1968" t="s">
        <v>2083</v>
      </c>
      <c r="C1968" t="s">
        <v>106</v>
      </c>
    </row>
    <row r="1969" spans="1:3" x14ac:dyDescent="0.3">
      <c r="A1969">
        <v>69624543</v>
      </c>
      <c r="B1969" t="s">
        <v>2084</v>
      </c>
      <c r="C1969" t="s">
        <v>54</v>
      </c>
    </row>
    <row r="1970" spans="1:3" x14ac:dyDescent="0.3">
      <c r="A1970">
        <v>69624544</v>
      </c>
      <c r="B1970" t="s">
        <v>2085</v>
      </c>
      <c r="C1970" t="s">
        <v>54</v>
      </c>
    </row>
    <row r="1971" spans="1:3" x14ac:dyDescent="0.3">
      <c r="A1971">
        <v>69626484</v>
      </c>
      <c r="B1971" t="s">
        <v>2086</v>
      </c>
      <c r="C1971" t="s">
        <v>54</v>
      </c>
    </row>
    <row r="1972" spans="1:3" x14ac:dyDescent="0.3">
      <c r="A1972">
        <v>69626593</v>
      </c>
      <c r="B1972" t="s">
        <v>2087</v>
      </c>
      <c r="C1972" t="s">
        <v>54</v>
      </c>
    </row>
    <row r="1973" spans="1:3" x14ac:dyDescent="0.3">
      <c r="A1973">
        <v>69634454</v>
      </c>
      <c r="B1973" t="s">
        <v>2088</v>
      </c>
      <c r="C1973" t="s">
        <v>54</v>
      </c>
    </row>
    <row r="1974" spans="1:3" x14ac:dyDescent="0.3">
      <c r="A1974">
        <v>69634458</v>
      </c>
      <c r="B1974" t="s">
        <v>2089</v>
      </c>
      <c r="C1974" t="s">
        <v>54</v>
      </c>
    </row>
    <row r="1975" spans="1:3" x14ac:dyDescent="0.3">
      <c r="A1975">
        <v>69634464</v>
      </c>
      <c r="B1975" t="s">
        <v>2090</v>
      </c>
      <c r="C1975" t="s">
        <v>54</v>
      </c>
    </row>
    <row r="1976" spans="1:3" x14ac:dyDescent="0.3">
      <c r="A1976">
        <v>69635429</v>
      </c>
      <c r="B1976" t="s">
        <v>2091</v>
      </c>
      <c r="C1976" t="s">
        <v>53</v>
      </c>
    </row>
    <row r="1977" spans="1:3" x14ac:dyDescent="0.3">
      <c r="A1977">
        <v>69635430</v>
      </c>
      <c r="B1977" t="s">
        <v>2092</v>
      </c>
      <c r="C1977" t="s">
        <v>53</v>
      </c>
    </row>
    <row r="1978" spans="1:3" x14ac:dyDescent="0.3">
      <c r="A1978">
        <v>69635432</v>
      </c>
      <c r="B1978" t="s">
        <v>2093</v>
      </c>
      <c r="C1978" t="s">
        <v>53</v>
      </c>
    </row>
    <row r="1979" spans="1:3" x14ac:dyDescent="0.3">
      <c r="A1979">
        <v>69635636</v>
      </c>
      <c r="B1979" t="s">
        <v>2094</v>
      </c>
      <c r="C1979" t="s">
        <v>53</v>
      </c>
    </row>
    <row r="1980" spans="1:3" x14ac:dyDescent="0.3">
      <c r="A1980">
        <v>69635637</v>
      </c>
      <c r="B1980" t="s">
        <v>2095</v>
      </c>
      <c r="C1980" t="s">
        <v>53</v>
      </c>
    </row>
    <row r="1981" spans="1:3" x14ac:dyDescent="0.3">
      <c r="A1981">
        <v>69635638</v>
      </c>
      <c r="B1981" t="s">
        <v>2096</v>
      </c>
      <c r="C1981" t="s">
        <v>53</v>
      </c>
    </row>
    <row r="1982" spans="1:3" x14ac:dyDescent="0.3">
      <c r="A1982">
        <v>69641192</v>
      </c>
      <c r="B1982" t="s">
        <v>2097</v>
      </c>
      <c r="C1982" t="s">
        <v>122</v>
      </c>
    </row>
    <row r="1983" spans="1:3" x14ac:dyDescent="0.3">
      <c r="A1983">
        <v>69641194</v>
      </c>
      <c r="B1983" t="s">
        <v>2098</v>
      </c>
      <c r="C1983" t="s">
        <v>122</v>
      </c>
    </row>
    <row r="1984" spans="1:3" x14ac:dyDescent="0.3">
      <c r="A1984">
        <v>69641196</v>
      </c>
      <c r="B1984" t="s">
        <v>2099</v>
      </c>
      <c r="C1984" t="s">
        <v>122</v>
      </c>
    </row>
    <row r="1985" spans="1:3" x14ac:dyDescent="0.3">
      <c r="A1985">
        <v>69642194</v>
      </c>
      <c r="B1985" t="s">
        <v>2100</v>
      </c>
      <c r="C1985" t="s">
        <v>120</v>
      </c>
    </row>
    <row r="1986" spans="1:3" x14ac:dyDescent="0.3">
      <c r="A1986">
        <v>69642196</v>
      </c>
      <c r="B1986" t="s">
        <v>2101</v>
      </c>
      <c r="C1986" t="s">
        <v>120</v>
      </c>
    </row>
    <row r="1987" spans="1:3" x14ac:dyDescent="0.3">
      <c r="A1987">
        <v>69643038</v>
      </c>
      <c r="B1987" t="s">
        <v>2102</v>
      </c>
      <c r="C1987" t="s">
        <v>53</v>
      </c>
    </row>
    <row r="1988" spans="1:3" x14ac:dyDescent="0.3">
      <c r="A1988">
        <v>69643041</v>
      </c>
      <c r="B1988" t="s">
        <v>2103</v>
      </c>
      <c r="C1988" t="s">
        <v>54</v>
      </c>
    </row>
    <row r="1989" spans="1:3" x14ac:dyDescent="0.3">
      <c r="A1989">
        <v>69643043</v>
      </c>
      <c r="B1989" t="s">
        <v>2104</v>
      </c>
      <c r="C1989" t="s">
        <v>54</v>
      </c>
    </row>
    <row r="1990" spans="1:3" x14ac:dyDescent="0.3">
      <c r="A1990">
        <v>69647249</v>
      </c>
      <c r="B1990" t="s">
        <v>2105</v>
      </c>
      <c r="C1990" t="s">
        <v>108</v>
      </c>
    </row>
    <row r="1991" spans="1:3" x14ac:dyDescent="0.3">
      <c r="A1991">
        <v>69647251</v>
      </c>
      <c r="B1991" t="s">
        <v>2106</v>
      </c>
      <c r="C1991" t="s">
        <v>122</v>
      </c>
    </row>
    <row r="1992" spans="1:3" x14ac:dyDescent="0.3">
      <c r="A1992">
        <v>69647255</v>
      </c>
      <c r="B1992" t="s">
        <v>2107</v>
      </c>
      <c r="C1992" t="s">
        <v>54</v>
      </c>
    </row>
    <row r="1993" spans="1:3" x14ac:dyDescent="0.3">
      <c r="A1993">
        <v>69647677</v>
      </c>
      <c r="B1993" t="s">
        <v>2108</v>
      </c>
      <c r="C1993" t="s">
        <v>1582</v>
      </c>
    </row>
    <row r="1994" spans="1:3" x14ac:dyDescent="0.3">
      <c r="A1994">
        <v>69648029</v>
      </c>
      <c r="B1994" t="s">
        <v>2109</v>
      </c>
      <c r="C1994" t="s">
        <v>120</v>
      </c>
    </row>
    <row r="1995" spans="1:3" x14ac:dyDescent="0.3">
      <c r="A1995">
        <v>69651050</v>
      </c>
      <c r="B1995" t="s">
        <v>2110</v>
      </c>
      <c r="C1995" t="s">
        <v>54</v>
      </c>
    </row>
    <row r="1996" spans="1:3" x14ac:dyDescent="0.3">
      <c r="A1996">
        <v>69651052</v>
      </c>
      <c r="B1996" t="s">
        <v>2111</v>
      </c>
      <c r="C1996" t="s">
        <v>54</v>
      </c>
    </row>
    <row r="1997" spans="1:3" x14ac:dyDescent="0.3">
      <c r="A1997">
        <v>69651054</v>
      </c>
      <c r="B1997" t="s">
        <v>2112</v>
      </c>
      <c r="C1997" t="s">
        <v>54</v>
      </c>
    </row>
    <row r="1998" spans="1:3" x14ac:dyDescent="0.3">
      <c r="A1998">
        <v>69651056</v>
      </c>
      <c r="B1998" t="s">
        <v>2113</v>
      </c>
      <c r="C1998" t="s">
        <v>54</v>
      </c>
    </row>
    <row r="1999" spans="1:3" x14ac:dyDescent="0.3">
      <c r="A1999">
        <v>69652437</v>
      </c>
      <c r="B1999" t="s">
        <v>2114</v>
      </c>
      <c r="C1999" t="s">
        <v>1582</v>
      </c>
    </row>
    <row r="2000" spans="1:3" x14ac:dyDescent="0.3">
      <c r="A2000">
        <v>69652439</v>
      </c>
      <c r="B2000" t="s">
        <v>2115</v>
      </c>
      <c r="C2000" t="s">
        <v>54</v>
      </c>
    </row>
    <row r="2001" spans="1:3" x14ac:dyDescent="0.3">
      <c r="A2001" t="s">
        <v>2116</v>
      </c>
      <c r="B2001" t="s">
        <v>2117</v>
      </c>
      <c r="C2001" t="s">
        <v>54</v>
      </c>
    </row>
    <row r="2002" spans="1:3" x14ac:dyDescent="0.3">
      <c r="A2002">
        <v>69656849</v>
      </c>
      <c r="B2002" t="s">
        <v>2118</v>
      </c>
      <c r="C2002" t="s">
        <v>131</v>
      </c>
    </row>
    <row r="2003" spans="1:3" x14ac:dyDescent="0.3">
      <c r="A2003">
        <v>69656851</v>
      </c>
      <c r="B2003" t="s">
        <v>2119</v>
      </c>
      <c r="C2003" t="s">
        <v>131</v>
      </c>
    </row>
    <row r="2004" spans="1:3" x14ac:dyDescent="0.3">
      <c r="A2004">
        <v>69656853</v>
      </c>
      <c r="B2004" t="s">
        <v>2120</v>
      </c>
      <c r="C2004" t="s">
        <v>131</v>
      </c>
    </row>
    <row r="2005" spans="1:3" x14ac:dyDescent="0.3">
      <c r="A2005">
        <v>69659380</v>
      </c>
      <c r="B2005" t="s">
        <v>2121</v>
      </c>
      <c r="C2005" t="s">
        <v>53</v>
      </c>
    </row>
    <row r="2006" spans="1:3" x14ac:dyDescent="0.3">
      <c r="A2006">
        <v>69659382</v>
      </c>
      <c r="B2006" t="s">
        <v>2122</v>
      </c>
      <c r="C2006" t="s">
        <v>54</v>
      </c>
    </row>
    <row r="2007" spans="1:3" x14ac:dyDescent="0.3">
      <c r="A2007">
        <v>69663452</v>
      </c>
      <c r="B2007" t="s">
        <v>2123</v>
      </c>
      <c r="C2007" t="s">
        <v>54</v>
      </c>
    </row>
    <row r="2008" spans="1:3" x14ac:dyDescent="0.3">
      <c r="A2008">
        <v>69663454</v>
      </c>
      <c r="B2008" t="s">
        <v>2124</v>
      </c>
      <c r="C2008" t="s">
        <v>54</v>
      </c>
    </row>
    <row r="2009" spans="1:3" x14ac:dyDescent="0.3">
      <c r="A2009">
        <v>69663456</v>
      </c>
      <c r="B2009" t="s">
        <v>2125</v>
      </c>
      <c r="C2009" t="s">
        <v>54</v>
      </c>
    </row>
    <row r="2010" spans="1:3" x14ac:dyDescent="0.3">
      <c r="A2010">
        <v>69663458</v>
      </c>
      <c r="B2010" t="s">
        <v>2126</v>
      </c>
      <c r="C2010" t="s">
        <v>54</v>
      </c>
    </row>
    <row r="2011" spans="1:3" x14ac:dyDescent="0.3">
      <c r="A2011">
        <v>69663460</v>
      </c>
      <c r="B2011" t="s">
        <v>2127</v>
      </c>
      <c r="C2011" t="s">
        <v>54</v>
      </c>
    </row>
    <row r="2012" spans="1:3" x14ac:dyDescent="0.3">
      <c r="A2012">
        <v>69663462</v>
      </c>
      <c r="B2012" t="s">
        <v>2128</v>
      </c>
      <c r="C2012" t="s">
        <v>54</v>
      </c>
    </row>
    <row r="2013" spans="1:3" x14ac:dyDescent="0.3">
      <c r="A2013">
        <v>69663464</v>
      </c>
      <c r="B2013" t="s">
        <v>2129</v>
      </c>
      <c r="C2013" t="s">
        <v>54</v>
      </c>
    </row>
    <row r="2014" spans="1:3" x14ac:dyDescent="0.3">
      <c r="A2014">
        <v>69663466</v>
      </c>
      <c r="B2014" t="s">
        <v>2130</v>
      </c>
      <c r="C2014" t="s">
        <v>54</v>
      </c>
    </row>
    <row r="2015" spans="1:3" x14ac:dyDescent="0.3">
      <c r="A2015">
        <v>69664127</v>
      </c>
      <c r="B2015" t="s">
        <v>2131</v>
      </c>
      <c r="C2015" t="s">
        <v>2132</v>
      </c>
    </row>
    <row r="2016" spans="1:3" x14ac:dyDescent="0.3">
      <c r="A2016">
        <v>69664128</v>
      </c>
      <c r="B2016" t="s">
        <v>2133</v>
      </c>
      <c r="C2016" t="s">
        <v>53</v>
      </c>
    </row>
    <row r="2017" spans="1:3" x14ac:dyDescent="0.3">
      <c r="A2017">
        <v>69666927</v>
      </c>
      <c r="B2017" t="s">
        <v>2134</v>
      </c>
      <c r="C2017" t="s">
        <v>122</v>
      </c>
    </row>
    <row r="2018" spans="1:3" x14ac:dyDescent="0.3">
      <c r="A2018">
        <v>69666929</v>
      </c>
      <c r="B2018" t="s">
        <v>2135</v>
      </c>
      <c r="C2018" t="s">
        <v>122</v>
      </c>
    </row>
    <row r="2019" spans="1:3" x14ac:dyDescent="0.3">
      <c r="A2019">
        <v>69670674</v>
      </c>
      <c r="B2019" t="s">
        <v>2136</v>
      </c>
      <c r="C2019" t="s">
        <v>129</v>
      </c>
    </row>
    <row r="2020" spans="1:3" x14ac:dyDescent="0.3">
      <c r="A2020">
        <v>69671706</v>
      </c>
      <c r="B2020" t="s">
        <v>2137</v>
      </c>
      <c r="C2020" t="s">
        <v>54</v>
      </c>
    </row>
    <row r="2021" spans="1:3" x14ac:dyDescent="0.3">
      <c r="A2021">
        <v>69671708</v>
      </c>
      <c r="B2021" t="s">
        <v>2138</v>
      </c>
      <c r="C2021" t="s">
        <v>54</v>
      </c>
    </row>
    <row r="2022" spans="1:3" x14ac:dyDescent="0.3">
      <c r="A2022">
        <v>69671710</v>
      </c>
      <c r="B2022" t="s">
        <v>2139</v>
      </c>
      <c r="C2022" t="s">
        <v>54</v>
      </c>
    </row>
    <row r="2023" spans="1:3" x14ac:dyDescent="0.3">
      <c r="A2023">
        <v>69671713</v>
      </c>
      <c r="B2023" t="s">
        <v>2140</v>
      </c>
      <c r="C2023" t="s">
        <v>54</v>
      </c>
    </row>
    <row r="2024" spans="1:3" x14ac:dyDescent="0.3">
      <c r="A2024">
        <v>69671715</v>
      </c>
      <c r="B2024" t="s">
        <v>2141</v>
      </c>
      <c r="C2024" t="s">
        <v>54</v>
      </c>
    </row>
    <row r="2025" spans="1:3" x14ac:dyDescent="0.3">
      <c r="A2025">
        <v>69672199</v>
      </c>
      <c r="B2025" t="s">
        <v>2142</v>
      </c>
      <c r="C2025" t="s">
        <v>54</v>
      </c>
    </row>
    <row r="2026" spans="1:3" x14ac:dyDescent="0.3">
      <c r="A2026">
        <v>69672201</v>
      </c>
      <c r="B2026" t="s">
        <v>2143</v>
      </c>
      <c r="C2026" t="s">
        <v>54</v>
      </c>
    </row>
    <row r="2027" spans="1:3" x14ac:dyDescent="0.3">
      <c r="A2027">
        <v>69672203</v>
      </c>
      <c r="B2027" t="s">
        <v>2144</v>
      </c>
      <c r="C2027" t="s">
        <v>54</v>
      </c>
    </row>
    <row r="2028" spans="1:3" x14ac:dyDescent="0.3">
      <c r="A2028">
        <v>69677241</v>
      </c>
      <c r="B2028" t="s">
        <v>2145</v>
      </c>
      <c r="C2028" t="s">
        <v>53</v>
      </c>
    </row>
    <row r="2029" spans="1:3" x14ac:dyDescent="0.3">
      <c r="A2029">
        <v>69677243</v>
      </c>
      <c r="B2029" t="s">
        <v>2146</v>
      </c>
      <c r="C2029" t="s">
        <v>53</v>
      </c>
    </row>
    <row r="2030" spans="1:3" x14ac:dyDescent="0.3">
      <c r="A2030">
        <v>69677245</v>
      </c>
      <c r="B2030" t="s">
        <v>2147</v>
      </c>
      <c r="C2030" t="s">
        <v>53</v>
      </c>
    </row>
    <row r="2031" spans="1:3" x14ac:dyDescent="0.3">
      <c r="A2031">
        <v>69683329</v>
      </c>
      <c r="B2031" t="s">
        <v>2148</v>
      </c>
      <c r="C2031" t="s">
        <v>129</v>
      </c>
    </row>
    <row r="2032" spans="1:3" x14ac:dyDescent="0.3">
      <c r="A2032">
        <v>69683331</v>
      </c>
      <c r="B2032" t="s">
        <v>2149</v>
      </c>
      <c r="C2032" t="s">
        <v>129</v>
      </c>
    </row>
    <row r="2033" spans="1:3" x14ac:dyDescent="0.3">
      <c r="A2033">
        <v>69693584</v>
      </c>
      <c r="B2033" t="s">
        <v>2150</v>
      </c>
      <c r="C2033" t="s">
        <v>122</v>
      </c>
    </row>
    <row r="2034" spans="1:3" x14ac:dyDescent="0.3">
      <c r="A2034">
        <v>69693586</v>
      </c>
      <c r="B2034" t="s">
        <v>2151</v>
      </c>
      <c r="C2034" t="s">
        <v>122</v>
      </c>
    </row>
    <row r="2035" spans="1:3" x14ac:dyDescent="0.3">
      <c r="A2035">
        <v>69693588</v>
      </c>
      <c r="B2035" t="s">
        <v>2152</v>
      </c>
      <c r="C2035" t="s">
        <v>122</v>
      </c>
    </row>
    <row r="2036" spans="1:3" x14ac:dyDescent="0.3">
      <c r="A2036">
        <v>69693590</v>
      </c>
      <c r="B2036" t="s">
        <v>2153</v>
      </c>
      <c r="C2036" t="s">
        <v>122</v>
      </c>
    </row>
    <row r="2037" spans="1:3" x14ac:dyDescent="0.3">
      <c r="A2037">
        <v>69693592</v>
      </c>
      <c r="B2037" t="s">
        <v>2154</v>
      </c>
      <c r="C2037" t="s">
        <v>122</v>
      </c>
    </row>
    <row r="2038" spans="1:3" x14ac:dyDescent="0.3">
      <c r="A2038">
        <v>69693594</v>
      </c>
      <c r="B2038" t="s">
        <v>2155</v>
      </c>
      <c r="C2038" t="s">
        <v>122</v>
      </c>
    </row>
    <row r="2039" spans="1:3" x14ac:dyDescent="0.3">
      <c r="A2039">
        <v>69693596</v>
      </c>
      <c r="B2039" t="s">
        <v>2156</v>
      </c>
      <c r="C2039" t="s">
        <v>122</v>
      </c>
    </row>
    <row r="2040" spans="1:3" x14ac:dyDescent="0.3">
      <c r="A2040">
        <v>69693598</v>
      </c>
      <c r="B2040" t="s">
        <v>2157</v>
      </c>
      <c r="C2040" t="s">
        <v>122</v>
      </c>
    </row>
    <row r="2041" spans="1:3" x14ac:dyDescent="0.3">
      <c r="A2041">
        <v>69693632</v>
      </c>
      <c r="B2041" t="s">
        <v>2158</v>
      </c>
      <c r="C2041" t="s">
        <v>122</v>
      </c>
    </row>
    <row r="2042" spans="1:3" x14ac:dyDescent="0.3">
      <c r="A2042">
        <v>69693634</v>
      </c>
      <c r="B2042" t="s">
        <v>2159</v>
      </c>
      <c r="C2042" t="s">
        <v>122</v>
      </c>
    </row>
    <row r="2043" spans="1:3" x14ac:dyDescent="0.3">
      <c r="A2043">
        <v>69693640</v>
      </c>
      <c r="B2043" t="s">
        <v>2160</v>
      </c>
      <c r="C2043" t="s">
        <v>122</v>
      </c>
    </row>
    <row r="2044" spans="1:3" x14ac:dyDescent="0.3">
      <c r="A2044">
        <v>69693644</v>
      </c>
      <c r="B2044" t="s">
        <v>2161</v>
      </c>
      <c r="C2044" t="s">
        <v>122</v>
      </c>
    </row>
    <row r="2045" spans="1:3" x14ac:dyDescent="0.3">
      <c r="A2045">
        <v>69693646</v>
      </c>
      <c r="B2045" t="s">
        <v>2162</v>
      </c>
      <c r="C2045" t="s">
        <v>122</v>
      </c>
    </row>
    <row r="2046" spans="1:3" x14ac:dyDescent="0.3">
      <c r="A2046">
        <v>69693650</v>
      </c>
      <c r="B2046" t="s">
        <v>2163</v>
      </c>
      <c r="C2046" t="s">
        <v>122</v>
      </c>
    </row>
    <row r="2047" spans="1:3" x14ac:dyDescent="0.3">
      <c r="A2047">
        <v>69693671</v>
      </c>
      <c r="B2047" t="s">
        <v>2164</v>
      </c>
      <c r="C2047" t="s">
        <v>122</v>
      </c>
    </row>
    <row r="2048" spans="1:3" x14ac:dyDescent="0.3">
      <c r="A2048">
        <v>69694551</v>
      </c>
      <c r="B2048" t="s">
        <v>2165</v>
      </c>
      <c r="C2048" t="s">
        <v>54</v>
      </c>
    </row>
    <row r="2049" spans="1:3" x14ac:dyDescent="0.3">
      <c r="A2049">
        <v>69694553</v>
      </c>
      <c r="B2049" t="s">
        <v>2166</v>
      </c>
      <c r="C2049" t="s">
        <v>108</v>
      </c>
    </row>
    <row r="2050" spans="1:3" x14ac:dyDescent="0.3">
      <c r="A2050">
        <v>69694557</v>
      </c>
      <c r="B2050" t="s">
        <v>2167</v>
      </c>
      <c r="C2050" t="s">
        <v>54</v>
      </c>
    </row>
    <row r="2051" spans="1:3" x14ac:dyDescent="0.3">
      <c r="A2051">
        <v>69694559</v>
      </c>
      <c r="B2051" t="s">
        <v>2168</v>
      </c>
      <c r="C2051" t="s">
        <v>246</v>
      </c>
    </row>
    <row r="2052" spans="1:3" x14ac:dyDescent="0.3">
      <c r="A2052">
        <v>69694561</v>
      </c>
      <c r="B2052" t="s">
        <v>2169</v>
      </c>
      <c r="C2052" t="s">
        <v>122</v>
      </c>
    </row>
    <row r="2053" spans="1:3" x14ac:dyDescent="0.3">
      <c r="A2053">
        <v>69694568</v>
      </c>
      <c r="B2053" t="s">
        <v>2170</v>
      </c>
      <c r="C2053" t="s">
        <v>122</v>
      </c>
    </row>
    <row r="2054" spans="1:3" x14ac:dyDescent="0.3">
      <c r="A2054">
        <v>69694570</v>
      </c>
      <c r="B2054" t="s">
        <v>2171</v>
      </c>
      <c r="C2054" t="s">
        <v>336</v>
      </c>
    </row>
    <row r="2055" spans="1:3" x14ac:dyDescent="0.3">
      <c r="A2055">
        <v>69694572</v>
      </c>
      <c r="B2055" t="s">
        <v>2172</v>
      </c>
      <c r="C2055" t="s">
        <v>336</v>
      </c>
    </row>
    <row r="2056" spans="1:3" x14ac:dyDescent="0.3">
      <c r="A2056">
        <v>69694574</v>
      </c>
      <c r="B2056" t="s">
        <v>2173</v>
      </c>
      <c r="C2056" t="s">
        <v>246</v>
      </c>
    </row>
    <row r="2057" spans="1:3" x14ac:dyDescent="0.3">
      <c r="A2057">
        <v>69700716</v>
      </c>
      <c r="B2057" t="s">
        <v>2174</v>
      </c>
      <c r="C2057" t="s">
        <v>54</v>
      </c>
    </row>
    <row r="2058" spans="1:3" x14ac:dyDescent="0.3">
      <c r="A2058">
        <v>69702342</v>
      </c>
      <c r="B2058" t="s">
        <v>2175</v>
      </c>
      <c r="C2058" t="s">
        <v>129</v>
      </c>
    </row>
    <row r="2059" spans="1:3" x14ac:dyDescent="0.3">
      <c r="A2059">
        <v>69702344</v>
      </c>
      <c r="B2059" t="s">
        <v>2176</v>
      </c>
      <c r="C2059" t="s">
        <v>129</v>
      </c>
    </row>
    <row r="2060" spans="1:3" x14ac:dyDescent="0.3">
      <c r="A2060">
        <v>69704319</v>
      </c>
      <c r="B2060" t="s">
        <v>2177</v>
      </c>
      <c r="C2060" t="s">
        <v>54</v>
      </c>
    </row>
    <row r="2061" spans="1:3" x14ac:dyDescent="0.3">
      <c r="A2061">
        <v>69704321</v>
      </c>
      <c r="B2061" t="s">
        <v>2178</v>
      </c>
      <c r="C2061" t="s">
        <v>54</v>
      </c>
    </row>
    <row r="2062" spans="1:3" x14ac:dyDescent="0.3">
      <c r="A2062">
        <v>69704323</v>
      </c>
      <c r="B2062" t="s">
        <v>2179</v>
      </c>
      <c r="C2062" t="s">
        <v>122</v>
      </c>
    </row>
    <row r="2063" spans="1:3" x14ac:dyDescent="0.3">
      <c r="A2063">
        <v>69704329</v>
      </c>
      <c r="B2063" t="s">
        <v>2180</v>
      </c>
      <c r="C2063" t="s">
        <v>54</v>
      </c>
    </row>
    <row r="2064" spans="1:3" x14ac:dyDescent="0.3">
      <c r="A2064">
        <v>69704331</v>
      </c>
      <c r="B2064" t="s">
        <v>2181</v>
      </c>
      <c r="C2064" t="s">
        <v>54</v>
      </c>
    </row>
    <row r="2065" spans="1:3" x14ac:dyDescent="0.3">
      <c r="A2065">
        <v>69708462</v>
      </c>
      <c r="B2065" t="s">
        <v>2182</v>
      </c>
      <c r="C2065" t="s">
        <v>122</v>
      </c>
    </row>
    <row r="2066" spans="1:3" x14ac:dyDescent="0.3">
      <c r="A2066">
        <v>69708464</v>
      </c>
      <c r="B2066" t="s">
        <v>2183</v>
      </c>
      <c r="C2066" t="s">
        <v>122</v>
      </c>
    </row>
    <row r="2067" spans="1:3" x14ac:dyDescent="0.3">
      <c r="A2067">
        <v>69708468</v>
      </c>
      <c r="B2067" t="s">
        <v>2184</v>
      </c>
      <c r="C2067" t="s">
        <v>181</v>
      </c>
    </row>
    <row r="2068" spans="1:3" x14ac:dyDescent="0.3">
      <c r="A2068">
        <v>69708470</v>
      </c>
      <c r="B2068" t="s">
        <v>2185</v>
      </c>
      <c r="C2068" t="s">
        <v>122</v>
      </c>
    </row>
    <row r="2069" spans="1:3" x14ac:dyDescent="0.3">
      <c r="A2069">
        <v>69708476</v>
      </c>
      <c r="B2069" t="s">
        <v>2186</v>
      </c>
      <c r="C2069" t="s">
        <v>122</v>
      </c>
    </row>
    <row r="2070" spans="1:3" x14ac:dyDescent="0.3">
      <c r="A2070">
        <v>69708480</v>
      </c>
      <c r="B2070" t="s">
        <v>2187</v>
      </c>
      <c r="C2070" t="s">
        <v>106</v>
      </c>
    </row>
    <row r="2071" spans="1:3" x14ac:dyDescent="0.3">
      <c r="A2071">
        <v>69709131</v>
      </c>
      <c r="B2071" t="s">
        <v>2188</v>
      </c>
      <c r="C2071" t="s">
        <v>414</v>
      </c>
    </row>
    <row r="2072" spans="1:3" x14ac:dyDescent="0.3">
      <c r="A2072">
        <v>69709133</v>
      </c>
      <c r="B2072" t="s">
        <v>2189</v>
      </c>
      <c r="C2072" t="s">
        <v>54</v>
      </c>
    </row>
    <row r="2073" spans="1:3" x14ac:dyDescent="0.3">
      <c r="A2073">
        <v>69712746</v>
      </c>
      <c r="B2073" t="s">
        <v>2190</v>
      </c>
      <c r="C2073" t="s">
        <v>129</v>
      </c>
    </row>
    <row r="2074" spans="1:3" x14ac:dyDescent="0.3">
      <c r="A2074">
        <v>69712748</v>
      </c>
      <c r="B2074" t="s">
        <v>2191</v>
      </c>
      <c r="C2074" t="s">
        <v>54</v>
      </c>
    </row>
    <row r="2075" spans="1:3" x14ac:dyDescent="0.3">
      <c r="A2075">
        <v>69712750</v>
      </c>
      <c r="B2075" t="s">
        <v>2192</v>
      </c>
      <c r="C2075" t="s">
        <v>54</v>
      </c>
    </row>
    <row r="2076" spans="1:3" x14ac:dyDescent="0.3">
      <c r="A2076">
        <v>69712752</v>
      </c>
      <c r="B2076" t="s">
        <v>2193</v>
      </c>
      <c r="C2076" t="s">
        <v>54</v>
      </c>
    </row>
    <row r="2077" spans="1:3" x14ac:dyDescent="0.3">
      <c r="A2077">
        <v>69712754</v>
      </c>
      <c r="B2077" t="s">
        <v>2194</v>
      </c>
      <c r="C2077" t="s">
        <v>54</v>
      </c>
    </row>
    <row r="2078" spans="1:3" x14ac:dyDescent="0.3">
      <c r="A2078">
        <v>69712756</v>
      </c>
      <c r="B2078" t="s">
        <v>2195</v>
      </c>
      <c r="C2078" t="s">
        <v>54</v>
      </c>
    </row>
    <row r="2079" spans="1:3" x14ac:dyDescent="0.3">
      <c r="A2079">
        <v>69715426</v>
      </c>
      <c r="B2079" t="s">
        <v>2196</v>
      </c>
      <c r="C2079" t="s">
        <v>54</v>
      </c>
    </row>
    <row r="2080" spans="1:3" x14ac:dyDescent="0.3">
      <c r="A2080">
        <v>69715428</v>
      </c>
      <c r="B2080" t="s">
        <v>2197</v>
      </c>
      <c r="C2080" t="s">
        <v>54</v>
      </c>
    </row>
    <row r="2081" spans="1:3" x14ac:dyDescent="0.3">
      <c r="A2081">
        <v>69716307</v>
      </c>
      <c r="B2081" t="s">
        <v>2198</v>
      </c>
      <c r="C2081" t="s">
        <v>54</v>
      </c>
    </row>
    <row r="2082" spans="1:3" x14ac:dyDescent="0.3">
      <c r="A2082">
        <v>69716309</v>
      </c>
      <c r="B2082" t="s">
        <v>2199</v>
      </c>
      <c r="C2082" t="s">
        <v>54</v>
      </c>
    </row>
    <row r="2083" spans="1:3" x14ac:dyDescent="0.3">
      <c r="A2083">
        <v>69716311</v>
      </c>
      <c r="B2083" t="s">
        <v>2200</v>
      </c>
      <c r="C2083" t="s">
        <v>108</v>
      </c>
    </row>
    <row r="2084" spans="1:3" x14ac:dyDescent="0.3">
      <c r="A2084">
        <v>69716623</v>
      </c>
      <c r="B2084" t="s">
        <v>2201</v>
      </c>
      <c r="C2084" t="s">
        <v>122</v>
      </c>
    </row>
    <row r="2085" spans="1:3" x14ac:dyDescent="0.3">
      <c r="A2085">
        <v>69716625</v>
      </c>
      <c r="B2085" t="s">
        <v>2202</v>
      </c>
      <c r="C2085" t="s">
        <v>122</v>
      </c>
    </row>
    <row r="2086" spans="1:3" x14ac:dyDescent="0.3">
      <c r="A2086">
        <v>69716627</v>
      </c>
      <c r="B2086" t="s">
        <v>2203</v>
      </c>
      <c r="C2086" t="s">
        <v>54</v>
      </c>
    </row>
    <row r="2087" spans="1:3" x14ac:dyDescent="0.3">
      <c r="A2087">
        <v>69716629</v>
      </c>
      <c r="B2087" t="s">
        <v>2204</v>
      </c>
      <c r="C2087" t="s">
        <v>106</v>
      </c>
    </row>
    <row r="2088" spans="1:3" x14ac:dyDescent="0.3">
      <c r="A2088">
        <v>69718908</v>
      </c>
      <c r="B2088" t="s">
        <v>2205</v>
      </c>
      <c r="C2088" t="s">
        <v>53</v>
      </c>
    </row>
    <row r="2089" spans="1:3" x14ac:dyDescent="0.3">
      <c r="A2089">
        <v>69719225</v>
      </c>
      <c r="B2089" t="s">
        <v>2206</v>
      </c>
      <c r="C2089" t="s">
        <v>54</v>
      </c>
    </row>
    <row r="2090" spans="1:3" x14ac:dyDescent="0.3">
      <c r="A2090" t="s">
        <v>2207</v>
      </c>
      <c r="B2090" t="s">
        <v>2208</v>
      </c>
      <c r="C2090" t="s">
        <v>54</v>
      </c>
    </row>
    <row r="2091" spans="1:3" x14ac:dyDescent="0.3">
      <c r="A2091">
        <v>69719226</v>
      </c>
      <c r="B2091" t="s">
        <v>2209</v>
      </c>
      <c r="C2091" t="s">
        <v>54</v>
      </c>
    </row>
    <row r="2092" spans="1:3" x14ac:dyDescent="0.3">
      <c r="A2092">
        <v>69719227</v>
      </c>
      <c r="B2092" t="s">
        <v>2210</v>
      </c>
      <c r="C2092" t="s">
        <v>54</v>
      </c>
    </row>
    <row r="2093" spans="1:3" x14ac:dyDescent="0.3">
      <c r="A2093">
        <v>69719228</v>
      </c>
      <c r="B2093" t="s">
        <v>2211</v>
      </c>
      <c r="C2093" t="s">
        <v>54</v>
      </c>
    </row>
    <row r="2094" spans="1:3" x14ac:dyDescent="0.3">
      <c r="A2094">
        <v>69719229</v>
      </c>
      <c r="B2094" t="s">
        <v>2212</v>
      </c>
      <c r="C2094" t="s">
        <v>54</v>
      </c>
    </row>
    <row r="2095" spans="1:3" x14ac:dyDescent="0.3">
      <c r="A2095" t="s">
        <v>2213</v>
      </c>
      <c r="B2095" t="s">
        <v>2214</v>
      </c>
      <c r="C2095" t="s">
        <v>54</v>
      </c>
    </row>
    <row r="2096" spans="1:3" x14ac:dyDescent="0.3">
      <c r="A2096">
        <v>69719230</v>
      </c>
      <c r="B2096" t="s">
        <v>2215</v>
      </c>
      <c r="C2096" t="s">
        <v>108</v>
      </c>
    </row>
    <row r="2097" spans="1:3" x14ac:dyDescent="0.3">
      <c r="A2097">
        <v>69719261</v>
      </c>
      <c r="B2097" t="s">
        <v>2216</v>
      </c>
      <c r="C2097" t="s">
        <v>336</v>
      </c>
    </row>
    <row r="2098" spans="1:3" x14ac:dyDescent="0.3">
      <c r="A2098">
        <v>69719263</v>
      </c>
      <c r="B2098" t="s">
        <v>2217</v>
      </c>
      <c r="C2098" t="s">
        <v>336</v>
      </c>
    </row>
    <row r="2099" spans="1:3" x14ac:dyDescent="0.3">
      <c r="A2099">
        <v>69719265</v>
      </c>
      <c r="B2099" t="s">
        <v>2218</v>
      </c>
      <c r="C2099" t="s">
        <v>336</v>
      </c>
    </row>
    <row r="2100" spans="1:3" x14ac:dyDescent="0.3">
      <c r="A2100">
        <v>69719267</v>
      </c>
      <c r="B2100" t="s">
        <v>2219</v>
      </c>
      <c r="C2100" t="s">
        <v>54</v>
      </c>
    </row>
    <row r="2101" spans="1:3" x14ac:dyDescent="0.3">
      <c r="A2101">
        <v>69719273</v>
      </c>
      <c r="B2101" t="s">
        <v>2220</v>
      </c>
      <c r="C2101" t="s">
        <v>336</v>
      </c>
    </row>
    <row r="2102" spans="1:3" x14ac:dyDescent="0.3">
      <c r="A2102">
        <v>69721417</v>
      </c>
      <c r="B2102" t="s">
        <v>2221</v>
      </c>
      <c r="C2102" t="s">
        <v>336</v>
      </c>
    </row>
    <row r="2103" spans="1:3" x14ac:dyDescent="0.3">
      <c r="A2103">
        <v>69723131</v>
      </c>
      <c r="B2103" t="s">
        <v>2222</v>
      </c>
      <c r="C2103" t="s">
        <v>54</v>
      </c>
    </row>
    <row r="2104" spans="1:3" x14ac:dyDescent="0.3">
      <c r="A2104">
        <v>69723135</v>
      </c>
      <c r="B2104" t="s">
        <v>2223</v>
      </c>
      <c r="C2104" t="s">
        <v>54</v>
      </c>
    </row>
    <row r="2105" spans="1:3" x14ac:dyDescent="0.3">
      <c r="A2105">
        <v>69723137</v>
      </c>
      <c r="B2105" t="s">
        <v>2224</v>
      </c>
      <c r="C2105" t="s">
        <v>54</v>
      </c>
    </row>
    <row r="2106" spans="1:3" x14ac:dyDescent="0.3">
      <c r="A2106">
        <v>69723139</v>
      </c>
      <c r="B2106" t="s">
        <v>2225</v>
      </c>
      <c r="C2106" t="s">
        <v>54</v>
      </c>
    </row>
    <row r="2107" spans="1:3" x14ac:dyDescent="0.3">
      <c r="A2107">
        <v>69724697</v>
      </c>
      <c r="B2107" t="s">
        <v>2226</v>
      </c>
      <c r="C2107" t="s">
        <v>54</v>
      </c>
    </row>
    <row r="2108" spans="1:3" x14ac:dyDescent="0.3">
      <c r="A2108">
        <v>69732146</v>
      </c>
      <c r="B2108" t="s">
        <v>2227</v>
      </c>
      <c r="C2108" t="s">
        <v>54</v>
      </c>
    </row>
    <row r="2109" spans="1:3" x14ac:dyDescent="0.3">
      <c r="A2109">
        <v>69732298</v>
      </c>
      <c r="B2109" t="s">
        <v>2228</v>
      </c>
      <c r="C2109" t="s">
        <v>120</v>
      </c>
    </row>
    <row r="2110" spans="1:3" x14ac:dyDescent="0.3">
      <c r="A2110">
        <v>69732300</v>
      </c>
      <c r="B2110" t="s">
        <v>2229</v>
      </c>
      <c r="C2110" t="s">
        <v>120</v>
      </c>
    </row>
    <row r="2111" spans="1:3" x14ac:dyDescent="0.3">
      <c r="A2111">
        <v>69736462</v>
      </c>
      <c r="B2111" t="s">
        <v>2230</v>
      </c>
      <c r="C2111" t="s">
        <v>181</v>
      </c>
    </row>
    <row r="2112" spans="1:3" x14ac:dyDescent="0.3">
      <c r="A2112">
        <v>69736464</v>
      </c>
      <c r="B2112" t="s">
        <v>2231</v>
      </c>
      <c r="C2112" t="s">
        <v>122</v>
      </c>
    </row>
    <row r="2113" spans="1:3" x14ac:dyDescent="0.3">
      <c r="A2113">
        <v>69741459</v>
      </c>
      <c r="B2113" t="s">
        <v>2232</v>
      </c>
      <c r="C2113" t="s">
        <v>53</v>
      </c>
    </row>
    <row r="2114" spans="1:3" x14ac:dyDescent="0.3">
      <c r="A2114">
        <v>69741461</v>
      </c>
      <c r="B2114" t="s">
        <v>2233</v>
      </c>
      <c r="C2114" t="s">
        <v>53</v>
      </c>
    </row>
    <row r="2115" spans="1:3" x14ac:dyDescent="0.3">
      <c r="A2115">
        <v>69741465</v>
      </c>
      <c r="B2115" t="s">
        <v>2234</v>
      </c>
      <c r="C2115" t="s">
        <v>53</v>
      </c>
    </row>
    <row r="2116" spans="1:3" x14ac:dyDescent="0.3">
      <c r="A2116">
        <v>69741892</v>
      </c>
      <c r="B2116" t="s">
        <v>2235</v>
      </c>
      <c r="C2116" t="s">
        <v>54</v>
      </c>
    </row>
    <row r="2117" spans="1:3" x14ac:dyDescent="0.3">
      <c r="A2117">
        <v>69741894</v>
      </c>
      <c r="B2117" t="s">
        <v>2236</v>
      </c>
      <c r="C2117" t="s">
        <v>122</v>
      </c>
    </row>
    <row r="2118" spans="1:3" x14ac:dyDescent="0.3">
      <c r="A2118">
        <v>69741898</v>
      </c>
      <c r="B2118" t="s">
        <v>2237</v>
      </c>
      <c r="C2118" t="s">
        <v>54</v>
      </c>
    </row>
    <row r="2119" spans="1:3" x14ac:dyDescent="0.3">
      <c r="A2119">
        <v>69741900</v>
      </c>
      <c r="B2119" t="s">
        <v>2238</v>
      </c>
      <c r="C2119" t="s">
        <v>122</v>
      </c>
    </row>
    <row r="2120" spans="1:3" x14ac:dyDescent="0.3">
      <c r="A2120">
        <v>69741902</v>
      </c>
      <c r="B2120" t="s">
        <v>2239</v>
      </c>
      <c r="C2120" t="s">
        <v>108</v>
      </c>
    </row>
    <row r="2121" spans="1:3" x14ac:dyDescent="0.3">
      <c r="A2121">
        <v>69741904</v>
      </c>
      <c r="B2121" t="s">
        <v>2240</v>
      </c>
      <c r="C2121" t="s">
        <v>54</v>
      </c>
    </row>
    <row r="2122" spans="1:3" x14ac:dyDescent="0.3">
      <c r="A2122">
        <v>69741906</v>
      </c>
      <c r="B2122" t="s">
        <v>2241</v>
      </c>
      <c r="C2122" t="s">
        <v>108</v>
      </c>
    </row>
    <row r="2123" spans="1:3" x14ac:dyDescent="0.3">
      <c r="A2123">
        <v>69741908</v>
      </c>
      <c r="B2123" t="s">
        <v>2242</v>
      </c>
      <c r="C2123" t="s">
        <v>108</v>
      </c>
    </row>
    <row r="2124" spans="1:3" x14ac:dyDescent="0.3">
      <c r="A2124">
        <v>69741910</v>
      </c>
      <c r="B2124" t="s">
        <v>2243</v>
      </c>
      <c r="C2124" t="s">
        <v>122</v>
      </c>
    </row>
    <row r="2125" spans="1:3" x14ac:dyDescent="0.3">
      <c r="A2125">
        <v>69741921</v>
      </c>
      <c r="B2125" t="s">
        <v>2244</v>
      </c>
      <c r="C2125" t="s">
        <v>54</v>
      </c>
    </row>
    <row r="2126" spans="1:3" x14ac:dyDescent="0.3">
      <c r="A2126">
        <v>69743127</v>
      </c>
      <c r="B2126" t="s">
        <v>2245</v>
      </c>
      <c r="C2126" t="s">
        <v>122</v>
      </c>
    </row>
    <row r="2127" spans="1:3" x14ac:dyDescent="0.3">
      <c r="A2127">
        <v>69745532</v>
      </c>
      <c r="B2127" t="s">
        <v>2246</v>
      </c>
      <c r="C2127" t="s">
        <v>54</v>
      </c>
    </row>
    <row r="2128" spans="1:3" x14ac:dyDescent="0.3">
      <c r="A2128">
        <v>69745534</v>
      </c>
      <c r="B2128" t="s">
        <v>2247</v>
      </c>
      <c r="C2128" t="s">
        <v>54</v>
      </c>
    </row>
    <row r="2129" spans="1:3" x14ac:dyDescent="0.3">
      <c r="A2129">
        <v>69745536</v>
      </c>
      <c r="B2129" t="s">
        <v>2248</v>
      </c>
      <c r="C2129" t="s">
        <v>54</v>
      </c>
    </row>
    <row r="2130" spans="1:3" x14ac:dyDescent="0.3">
      <c r="A2130">
        <v>69745567</v>
      </c>
      <c r="B2130" t="s">
        <v>2249</v>
      </c>
      <c r="C2130" t="s">
        <v>122</v>
      </c>
    </row>
    <row r="2131" spans="1:3" x14ac:dyDescent="0.3">
      <c r="A2131">
        <v>69745575</v>
      </c>
      <c r="B2131" t="s">
        <v>2250</v>
      </c>
      <c r="C2131" t="s">
        <v>122</v>
      </c>
    </row>
    <row r="2132" spans="1:3" x14ac:dyDescent="0.3">
      <c r="A2132">
        <v>69751363</v>
      </c>
      <c r="B2132" t="s">
        <v>2251</v>
      </c>
      <c r="C2132" t="s">
        <v>120</v>
      </c>
    </row>
    <row r="2133" spans="1:3" x14ac:dyDescent="0.3">
      <c r="A2133">
        <v>69751365</v>
      </c>
      <c r="B2133" t="s">
        <v>2252</v>
      </c>
      <c r="C2133" t="s">
        <v>120</v>
      </c>
    </row>
    <row r="2134" spans="1:3" x14ac:dyDescent="0.3">
      <c r="A2134">
        <v>69751369</v>
      </c>
      <c r="B2134" t="s">
        <v>2253</v>
      </c>
      <c r="C2134" t="s">
        <v>131</v>
      </c>
    </row>
    <row r="2135" spans="1:3" x14ac:dyDescent="0.3">
      <c r="A2135">
        <v>69751556</v>
      </c>
      <c r="B2135" t="s">
        <v>2254</v>
      </c>
      <c r="C2135" t="s">
        <v>54</v>
      </c>
    </row>
    <row r="2136" spans="1:3" x14ac:dyDescent="0.3">
      <c r="A2136">
        <v>69751559</v>
      </c>
      <c r="B2136" t="s">
        <v>2255</v>
      </c>
      <c r="C2136" t="s">
        <v>54</v>
      </c>
    </row>
    <row r="2137" spans="1:3" x14ac:dyDescent="0.3">
      <c r="A2137">
        <v>69751564</v>
      </c>
      <c r="B2137" t="s">
        <v>2256</v>
      </c>
      <c r="C2137" t="s">
        <v>54</v>
      </c>
    </row>
    <row r="2138" spans="1:3" x14ac:dyDescent="0.3">
      <c r="A2138">
        <v>69752489</v>
      </c>
      <c r="B2138" t="s">
        <v>2257</v>
      </c>
      <c r="C2138" t="s">
        <v>131</v>
      </c>
    </row>
    <row r="2139" spans="1:3" x14ac:dyDescent="0.3">
      <c r="A2139">
        <v>69752683</v>
      </c>
      <c r="B2139" t="s">
        <v>2258</v>
      </c>
      <c r="C2139" t="s">
        <v>129</v>
      </c>
    </row>
    <row r="2140" spans="1:3" x14ac:dyDescent="0.3">
      <c r="A2140">
        <v>69752695</v>
      </c>
      <c r="B2140" t="s">
        <v>2259</v>
      </c>
      <c r="C2140" t="s">
        <v>129</v>
      </c>
    </row>
    <row r="2141" spans="1:3" x14ac:dyDescent="0.3">
      <c r="A2141">
        <v>69752697</v>
      </c>
      <c r="B2141" t="s">
        <v>2260</v>
      </c>
      <c r="C2141" t="s">
        <v>318</v>
      </c>
    </row>
    <row r="2142" spans="1:3" x14ac:dyDescent="0.3">
      <c r="A2142">
        <v>69752699</v>
      </c>
      <c r="B2142" t="s">
        <v>2261</v>
      </c>
      <c r="C2142" t="s">
        <v>318</v>
      </c>
    </row>
    <row r="2143" spans="1:3" x14ac:dyDescent="0.3">
      <c r="A2143">
        <v>69752701</v>
      </c>
      <c r="B2143" t="s">
        <v>2262</v>
      </c>
      <c r="C2143" t="s">
        <v>318</v>
      </c>
    </row>
    <row r="2144" spans="1:3" x14ac:dyDescent="0.3">
      <c r="A2144">
        <v>69752703</v>
      </c>
      <c r="B2144" t="s">
        <v>2263</v>
      </c>
      <c r="C2144" t="s">
        <v>318</v>
      </c>
    </row>
    <row r="2145" spans="1:3" x14ac:dyDescent="0.3">
      <c r="A2145">
        <v>69753066</v>
      </c>
      <c r="B2145" t="s">
        <v>2264</v>
      </c>
      <c r="C2145" t="s">
        <v>54</v>
      </c>
    </row>
    <row r="2146" spans="1:3" x14ac:dyDescent="0.3">
      <c r="A2146">
        <v>69753070</v>
      </c>
      <c r="B2146" t="s">
        <v>2265</v>
      </c>
      <c r="C2146" t="s">
        <v>54</v>
      </c>
    </row>
    <row r="2147" spans="1:3" x14ac:dyDescent="0.3">
      <c r="A2147">
        <v>69753367</v>
      </c>
      <c r="B2147" t="s">
        <v>2266</v>
      </c>
      <c r="C2147" t="s">
        <v>54</v>
      </c>
    </row>
    <row r="2148" spans="1:3" x14ac:dyDescent="0.3">
      <c r="A2148">
        <v>69753369</v>
      </c>
      <c r="B2148" t="s">
        <v>2267</v>
      </c>
      <c r="C2148" t="s">
        <v>54</v>
      </c>
    </row>
    <row r="2149" spans="1:3" x14ac:dyDescent="0.3">
      <c r="A2149">
        <v>69753371</v>
      </c>
      <c r="B2149" t="s">
        <v>2268</v>
      </c>
      <c r="C2149" t="s">
        <v>54</v>
      </c>
    </row>
    <row r="2150" spans="1:3" x14ac:dyDescent="0.3">
      <c r="A2150">
        <v>69753374</v>
      </c>
      <c r="B2150" t="s">
        <v>2269</v>
      </c>
      <c r="C2150" t="s">
        <v>54</v>
      </c>
    </row>
    <row r="2151" spans="1:3" x14ac:dyDescent="0.3">
      <c r="A2151">
        <v>69753559</v>
      </c>
      <c r="B2151" t="s">
        <v>2270</v>
      </c>
      <c r="C2151" t="s">
        <v>181</v>
      </c>
    </row>
    <row r="2152" spans="1:3" x14ac:dyDescent="0.3">
      <c r="A2152">
        <v>69753564</v>
      </c>
      <c r="B2152" t="s">
        <v>2271</v>
      </c>
      <c r="C2152" t="s">
        <v>122</v>
      </c>
    </row>
    <row r="2153" spans="1:3" x14ac:dyDescent="0.3">
      <c r="A2153">
        <v>69753566</v>
      </c>
      <c r="B2153" t="s">
        <v>2272</v>
      </c>
      <c r="C2153" t="s">
        <v>122</v>
      </c>
    </row>
    <row r="2154" spans="1:3" x14ac:dyDescent="0.3">
      <c r="A2154">
        <v>69753568</v>
      </c>
      <c r="B2154" t="s">
        <v>2273</v>
      </c>
      <c r="C2154" t="s">
        <v>122</v>
      </c>
    </row>
    <row r="2155" spans="1:3" x14ac:dyDescent="0.3">
      <c r="A2155">
        <v>69754651</v>
      </c>
      <c r="B2155" t="s">
        <v>2274</v>
      </c>
      <c r="C2155" t="s">
        <v>54</v>
      </c>
    </row>
    <row r="2156" spans="1:3" x14ac:dyDescent="0.3">
      <c r="A2156">
        <v>69756929</v>
      </c>
      <c r="B2156" t="s">
        <v>2275</v>
      </c>
      <c r="C2156" t="s">
        <v>54</v>
      </c>
    </row>
    <row r="2157" spans="1:3" x14ac:dyDescent="0.3">
      <c r="A2157">
        <v>69756932</v>
      </c>
      <c r="B2157" t="s">
        <v>2276</v>
      </c>
      <c r="C2157" t="s">
        <v>54</v>
      </c>
    </row>
    <row r="2158" spans="1:3" x14ac:dyDescent="0.3">
      <c r="A2158">
        <v>69756934</v>
      </c>
      <c r="B2158" t="s">
        <v>2277</v>
      </c>
      <c r="C2158" t="s">
        <v>54</v>
      </c>
    </row>
    <row r="2159" spans="1:3" x14ac:dyDescent="0.3">
      <c r="A2159">
        <v>69756936</v>
      </c>
      <c r="B2159" t="s">
        <v>2278</v>
      </c>
      <c r="C2159" t="s">
        <v>122</v>
      </c>
    </row>
    <row r="2160" spans="1:3" x14ac:dyDescent="0.3">
      <c r="A2160">
        <v>69757458</v>
      </c>
      <c r="B2160" t="s">
        <v>2279</v>
      </c>
      <c r="C2160" t="s">
        <v>129</v>
      </c>
    </row>
    <row r="2161" spans="1:3" x14ac:dyDescent="0.3">
      <c r="A2161">
        <v>69757460</v>
      </c>
      <c r="B2161" t="s">
        <v>2280</v>
      </c>
      <c r="C2161" t="s">
        <v>129</v>
      </c>
    </row>
    <row r="2162" spans="1:3" x14ac:dyDescent="0.3">
      <c r="A2162">
        <v>69758053</v>
      </c>
      <c r="B2162" t="s">
        <v>2281</v>
      </c>
      <c r="C2162" t="s">
        <v>122</v>
      </c>
    </row>
    <row r="2163" spans="1:3" x14ac:dyDescent="0.3">
      <c r="A2163">
        <v>69758055</v>
      </c>
      <c r="B2163" t="s">
        <v>2282</v>
      </c>
      <c r="C2163" t="s">
        <v>122</v>
      </c>
    </row>
    <row r="2164" spans="1:3" x14ac:dyDescent="0.3">
      <c r="A2164">
        <v>69758057</v>
      </c>
      <c r="B2164" t="s">
        <v>2283</v>
      </c>
      <c r="C2164" t="s">
        <v>122</v>
      </c>
    </row>
    <row r="2165" spans="1:3" x14ac:dyDescent="0.3">
      <c r="A2165">
        <v>69758059</v>
      </c>
      <c r="B2165" t="s">
        <v>2284</v>
      </c>
      <c r="C2165" t="s">
        <v>122</v>
      </c>
    </row>
    <row r="2166" spans="1:3" x14ac:dyDescent="0.3">
      <c r="A2166">
        <v>69758061</v>
      </c>
      <c r="B2166" t="s">
        <v>2285</v>
      </c>
      <c r="C2166" t="s">
        <v>122</v>
      </c>
    </row>
    <row r="2167" spans="1:3" x14ac:dyDescent="0.3">
      <c r="A2167">
        <v>69758063</v>
      </c>
      <c r="B2167" t="s">
        <v>2286</v>
      </c>
      <c r="C2167" t="s">
        <v>122</v>
      </c>
    </row>
    <row r="2168" spans="1:3" x14ac:dyDescent="0.3">
      <c r="A2168">
        <v>69758065</v>
      </c>
      <c r="B2168" t="s">
        <v>2287</v>
      </c>
      <c r="C2168" t="s">
        <v>122</v>
      </c>
    </row>
    <row r="2169" spans="1:3" x14ac:dyDescent="0.3">
      <c r="A2169">
        <v>69758070</v>
      </c>
      <c r="B2169" t="s">
        <v>2288</v>
      </c>
      <c r="C2169" t="s">
        <v>122</v>
      </c>
    </row>
    <row r="2170" spans="1:3" x14ac:dyDescent="0.3">
      <c r="A2170">
        <v>69758074</v>
      </c>
      <c r="B2170" t="s">
        <v>2289</v>
      </c>
      <c r="C2170" t="s">
        <v>122</v>
      </c>
    </row>
    <row r="2171" spans="1:3" x14ac:dyDescent="0.3">
      <c r="A2171">
        <v>69758076</v>
      </c>
      <c r="B2171" t="s">
        <v>2290</v>
      </c>
      <c r="C2171" t="s">
        <v>122</v>
      </c>
    </row>
    <row r="2172" spans="1:3" x14ac:dyDescent="0.3">
      <c r="A2172">
        <v>69758078</v>
      </c>
      <c r="B2172" t="s">
        <v>2291</v>
      </c>
      <c r="C2172" t="s">
        <v>122</v>
      </c>
    </row>
    <row r="2173" spans="1:3" x14ac:dyDescent="0.3">
      <c r="A2173">
        <v>69758080</v>
      </c>
      <c r="B2173" t="s">
        <v>2292</v>
      </c>
      <c r="C2173" t="s">
        <v>122</v>
      </c>
    </row>
    <row r="2174" spans="1:3" x14ac:dyDescent="0.3">
      <c r="A2174">
        <v>69758082</v>
      </c>
      <c r="B2174" t="s">
        <v>2293</v>
      </c>
      <c r="C2174" t="s">
        <v>122</v>
      </c>
    </row>
    <row r="2175" spans="1:3" x14ac:dyDescent="0.3">
      <c r="A2175">
        <v>69758084</v>
      </c>
      <c r="B2175" t="s">
        <v>2294</v>
      </c>
      <c r="C2175" t="s">
        <v>122</v>
      </c>
    </row>
    <row r="2176" spans="1:3" x14ac:dyDescent="0.3">
      <c r="A2176">
        <v>69758262</v>
      </c>
      <c r="B2176" t="s">
        <v>2295</v>
      </c>
      <c r="C2176" t="s">
        <v>131</v>
      </c>
    </row>
    <row r="2177" spans="1:3" x14ac:dyDescent="0.3">
      <c r="A2177">
        <v>69758272</v>
      </c>
      <c r="B2177" t="s">
        <v>2296</v>
      </c>
      <c r="C2177" t="s">
        <v>54</v>
      </c>
    </row>
    <row r="2178" spans="1:3" x14ac:dyDescent="0.3">
      <c r="A2178" t="s">
        <v>2297</v>
      </c>
      <c r="B2178" t="s">
        <v>2298</v>
      </c>
      <c r="C2178" t="s">
        <v>108</v>
      </c>
    </row>
    <row r="2179" spans="1:3" x14ac:dyDescent="0.3">
      <c r="A2179">
        <v>69759621</v>
      </c>
      <c r="B2179" t="s">
        <v>2299</v>
      </c>
      <c r="C2179" t="s">
        <v>104</v>
      </c>
    </row>
    <row r="2180" spans="1:3" x14ac:dyDescent="0.3">
      <c r="A2180">
        <v>69760563</v>
      </c>
      <c r="B2180" t="s">
        <v>2300</v>
      </c>
      <c r="C2180" t="s">
        <v>54</v>
      </c>
    </row>
    <row r="2181" spans="1:3" x14ac:dyDescent="0.3">
      <c r="A2181">
        <v>69764904</v>
      </c>
      <c r="B2181" t="s">
        <v>2301</v>
      </c>
      <c r="C2181" t="s">
        <v>56</v>
      </c>
    </row>
    <row r="2182" spans="1:3" x14ac:dyDescent="0.3">
      <c r="A2182">
        <v>69764906</v>
      </c>
      <c r="B2182" t="s">
        <v>2302</v>
      </c>
      <c r="C2182" t="s">
        <v>56</v>
      </c>
    </row>
    <row r="2183" spans="1:3" x14ac:dyDescent="0.3">
      <c r="A2183">
        <v>69764924</v>
      </c>
      <c r="B2183" t="s">
        <v>2303</v>
      </c>
      <c r="C2183" t="s">
        <v>129</v>
      </c>
    </row>
    <row r="2184" spans="1:3" x14ac:dyDescent="0.3">
      <c r="A2184">
        <v>69764926</v>
      </c>
      <c r="B2184" t="s">
        <v>2304</v>
      </c>
      <c r="C2184" t="s">
        <v>129</v>
      </c>
    </row>
    <row r="2185" spans="1:3" x14ac:dyDescent="0.3">
      <c r="A2185">
        <v>69764928</v>
      </c>
      <c r="B2185" t="s">
        <v>2305</v>
      </c>
      <c r="C2185" t="s">
        <v>129</v>
      </c>
    </row>
    <row r="2186" spans="1:3" x14ac:dyDescent="0.3">
      <c r="A2186">
        <v>69768398</v>
      </c>
      <c r="B2186" t="s">
        <v>2306</v>
      </c>
      <c r="C2186" t="s">
        <v>54</v>
      </c>
    </row>
    <row r="2187" spans="1:3" x14ac:dyDescent="0.3">
      <c r="A2187">
        <v>69771189</v>
      </c>
      <c r="B2187" t="s">
        <v>2307</v>
      </c>
      <c r="C2187" t="s">
        <v>122</v>
      </c>
    </row>
    <row r="2188" spans="1:3" x14ac:dyDescent="0.3">
      <c r="A2188">
        <v>69771997</v>
      </c>
      <c r="B2188" t="s">
        <v>2308</v>
      </c>
      <c r="C2188" t="s">
        <v>129</v>
      </c>
    </row>
    <row r="2189" spans="1:3" x14ac:dyDescent="0.3">
      <c r="A2189">
        <v>69771999</v>
      </c>
      <c r="B2189" t="s">
        <v>2309</v>
      </c>
      <c r="C2189" t="s">
        <v>129</v>
      </c>
    </row>
    <row r="2190" spans="1:3" x14ac:dyDescent="0.3">
      <c r="A2190">
        <v>69773096</v>
      </c>
      <c r="B2190" t="s">
        <v>2310</v>
      </c>
      <c r="C2190" t="s">
        <v>54</v>
      </c>
    </row>
    <row r="2191" spans="1:3" x14ac:dyDescent="0.3">
      <c r="A2191">
        <v>69773098</v>
      </c>
      <c r="B2191" t="s">
        <v>2311</v>
      </c>
      <c r="C2191" t="s">
        <v>54</v>
      </c>
    </row>
    <row r="2192" spans="1:3" x14ac:dyDescent="0.3">
      <c r="A2192">
        <v>69773100</v>
      </c>
      <c r="B2192" t="s">
        <v>2312</v>
      </c>
      <c r="C2192" t="s">
        <v>54</v>
      </c>
    </row>
    <row r="2193" spans="1:3" x14ac:dyDescent="0.3">
      <c r="A2193">
        <v>69780236</v>
      </c>
      <c r="B2193" t="s">
        <v>2313</v>
      </c>
      <c r="C2193" t="s">
        <v>122</v>
      </c>
    </row>
    <row r="2194" spans="1:3" x14ac:dyDescent="0.3">
      <c r="A2194">
        <v>69780238</v>
      </c>
      <c r="B2194" t="s">
        <v>2314</v>
      </c>
      <c r="C2194" t="s">
        <v>122</v>
      </c>
    </row>
    <row r="2195" spans="1:3" x14ac:dyDescent="0.3">
      <c r="A2195">
        <v>69780250</v>
      </c>
      <c r="B2195" t="s">
        <v>2315</v>
      </c>
      <c r="C2195" t="s">
        <v>122</v>
      </c>
    </row>
    <row r="2196" spans="1:3" x14ac:dyDescent="0.3">
      <c r="A2196">
        <v>69782675</v>
      </c>
      <c r="B2196" t="s">
        <v>2316</v>
      </c>
      <c r="C2196" t="s">
        <v>246</v>
      </c>
    </row>
    <row r="2197" spans="1:3" x14ac:dyDescent="0.3">
      <c r="A2197">
        <v>69782961</v>
      </c>
      <c r="B2197" t="s">
        <v>2317</v>
      </c>
      <c r="C2197" t="s">
        <v>108</v>
      </c>
    </row>
    <row r="2198" spans="1:3" x14ac:dyDescent="0.3">
      <c r="A2198">
        <v>69786142</v>
      </c>
      <c r="B2198" t="s">
        <v>2318</v>
      </c>
      <c r="C2198" t="s">
        <v>129</v>
      </c>
    </row>
    <row r="2199" spans="1:3" x14ac:dyDescent="0.3">
      <c r="A2199">
        <v>69786144</v>
      </c>
      <c r="B2199" t="s">
        <v>2319</v>
      </c>
      <c r="C2199" t="s">
        <v>55</v>
      </c>
    </row>
    <row r="2200" spans="1:3" x14ac:dyDescent="0.3">
      <c r="A2200">
        <v>69786146</v>
      </c>
      <c r="B2200" t="s">
        <v>2320</v>
      </c>
      <c r="C2200" t="s">
        <v>56</v>
      </c>
    </row>
    <row r="2201" spans="1:3" x14ac:dyDescent="0.3">
      <c r="A2201">
        <v>69790715</v>
      </c>
      <c r="B2201" t="s">
        <v>2321</v>
      </c>
      <c r="C2201" t="s">
        <v>110</v>
      </c>
    </row>
    <row r="2202" spans="1:3" x14ac:dyDescent="0.3">
      <c r="A2202">
        <v>69790717</v>
      </c>
      <c r="B2202" t="s">
        <v>2322</v>
      </c>
      <c r="C2202" t="s">
        <v>110</v>
      </c>
    </row>
    <row r="2203" spans="1:3" x14ac:dyDescent="0.3">
      <c r="A2203">
        <v>69793329</v>
      </c>
      <c r="B2203" t="s">
        <v>2323</v>
      </c>
      <c r="C2203" t="s">
        <v>181</v>
      </c>
    </row>
    <row r="2204" spans="1:3" x14ac:dyDescent="0.3">
      <c r="A2204">
        <v>69793343</v>
      </c>
      <c r="B2204" t="s">
        <v>2324</v>
      </c>
      <c r="C2204" t="s">
        <v>181</v>
      </c>
    </row>
    <row r="2205" spans="1:3" x14ac:dyDescent="0.3">
      <c r="A2205">
        <v>69798508</v>
      </c>
      <c r="B2205" t="s">
        <v>2325</v>
      </c>
      <c r="C2205" t="s">
        <v>54</v>
      </c>
    </row>
    <row r="2206" spans="1:3" x14ac:dyDescent="0.3">
      <c r="A2206">
        <v>69798509</v>
      </c>
      <c r="B2206" t="s">
        <v>2326</v>
      </c>
      <c r="C2206" t="s">
        <v>54</v>
      </c>
    </row>
    <row r="2207" spans="1:3" x14ac:dyDescent="0.3">
      <c r="A2207">
        <v>69798513</v>
      </c>
      <c r="B2207" t="s">
        <v>2327</v>
      </c>
      <c r="C2207" t="s">
        <v>54</v>
      </c>
    </row>
    <row r="2208" spans="1:3" x14ac:dyDescent="0.3">
      <c r="A2208">
        <v>69798515</v>
      </c>
      <c r="B2208" t="s">
        <v>2328</v>
      </c>
      <c r="C2208" t="s">
        <v>54</v>
      </c>
    </row>
    <row r="2209" spans="1:3" x14ac:dyDescent="0.3">
      <c r="A2209">
        <v>69798517</v>
      </c>
      <c r="B2209" t="s">
        <v>2329</v>
      </c>
      <c r="C2209" t="s">
        <v>54</v>
      </c>
    </row>
    <row r="2210" spans="1:3" x14ac:dyDescent="0.3">
      <c r="A2210">
        <v>69963862</v>
      </c>
      <c r="B2210" t="s">
        <v>2330</v>
      </c>
      <c r="C2210" t="s">
        <v>122</v>
      </c>
    </row>
    <row r="2211" spans="1:3" x14ac:dyDescent="0.3">
      <c r="A2211">
        <v>69963869</v>
      </c>
      <c r="B2211" t="s">
        <v>2331</v>
      </c>
      <c r="C2211" t="s">
        <v>122</v>
      </c>
    </row>
    <row r="2212" spans="1:3" x14ac:dyDescent="0.3">
      <c r="A2212">
        <v>69964296</v>
      </c>
      <c r="B2212" t="s">
        <v>2332</v>
      </c>
      <c r="C2212" t="s">
        <v>246</v>
      </c>
    </row>
    <row r="2213" spans="1:3" x14ac:dyDescent="0.3">
      <c r="A2213">
        <v>69965081</v>
      </c>
      <c r="B2213" t="s">
        <v>2333</v>
      </c>
      <c r="C2213" t="s">
        <v>54</v>
      </c>
    </row>
    <row r="2214" spans="1:3" x14ac:dyDescent="0.3">
      <c r="A2214">
        <v>69965467</v>
      </c>
      <c r="B2214" t="s">
        <v>2334</v>
      </c>
      <c r="C2214" t="s">
        <v>56</v>
      </c>
    </row>
    <row r="2215" spans="1:3" x14ac:dyDescent="0.3">
      <c r="A2215" t="s">
        <v>2335</v>
      </c>
      <c r="B2215" t="s">
        <v>2336</v>
      </c>
      <c r="C2215" t="s">
        <v>131</v>
      </c>
    </row>
    <row r="2216" spans="1:3" x14ac:dyDescent="0.3">
      <c r="A2216">
        <v>69968496</v>
      </c>
      <c r="B2216" t="s">
        <v>578</v>
      </c>
      <c r="C2216" t="s">
        <v>131</v>
      </c>
    </row>
    <row r="2217" spans="1:3" x14ac:dyDescent="0.3">
      <c r="A2217">
        <v>69968516</v>
      </c>
      <c r="B2217" t="s">
        <v>2337</v>
      </c>
      <c r="C2217" t="s">
        <v>54</v>
      </c>
    </row>
    <row r="2218" spans="1:3" x14ac:dyDescent="0.3">
      <c r="A2218">
        <v>69968606</v>
      </c>
      <c r="B2218" t="s">
        <v>2338</v>
      </c>
      <c r="C2218" t="s">
        <v>53</v>
      </c>
    </row>
    <row r="2219" spans="1:3" x14ac:dyDescent="0.3">
      <c r="A2219">
        <v>69968608</v>
      </c>
      <c r="B2219" t="s">
        <v>2339</v>
      </c>
      <c r="C2219" t="s">
        <v>53</v>
      </c>
    </row>
    <row r="2220" spans="1:3" x14ac:dyDescent="0.3">
      <c r="A2220">
        <v>69968618</v>
      </c>
      <c r="B2220" t="s">
        <v>2340</v>
      </c>
      <c r="C2220" t="s">
        <v>414</v>
      </c>
    </row>
    <row r="2221" spans="1:3" x14ac:dyDescent="0.3">
      <c r="A2221">
        <v>69968687</v>
      </c>
      <c r="B2221" t="s">
        <v>2341</v>
      </c>
      <c r="C2221" t="s">
        <v>246</v>
      </c>
    </row>
    <row r="2222" spans="1:3" x14ac:dyDescent="0.3">
      <c r="A2222">
        <v>69969514</v>
      </c>
      <c r="B2222" t="s">
        <v>2342</v>
      </c>
      <c r="C2222" t="s">
        <v>181</v>
      </c>
    </row>
    <row r="2223" spans="1:3" x14ac:dyDescent="0.3">
      <c r="A2223">
        <v>69969516</v>
      </c>
      <c r="B2223" t="s">
        <v>2343</v>
      </c>
      <c r="C2223" t="s">
        <v>106</v>
      </c>
    </row>
    <row r="2224" spans="1:3" x14ac:dyDescent="0.3">
      <c r="A2224">
        <v>69970459</v>
      </c>
      <c r="B2224" t="s">
        <v>2344</v>
      </c>
      <c r="C2224" t="s">
        <v>122</v>
      </c>
    </row>
    <row r="2225" spans="1:3" x14ac:dyDescent="0.3">
      <c r="A2225" t="s">
        <v>2345</v>
      </c>
      <c r="B2225" t="s">
        <v>2344</v>
      </c>
      <c r="C2225" t="s">
        <v>122</v>
      </c>
    </row>
    <row r="2226" spans="1:3" x14ac:dyDescent="0.3">
      <c r="A2226">
        <v>69971261</v>
      </c>
      <c r="B2226" t="s">
        <v>2346</v>
      </c>
      <c r="C2226" t="s">
        <v>129</v>
      </c>
    </row>
    <row r="2227" spans="1:3" x14ac:dyDescent="0.3">
      <c r="A2227">
        <v>69971263</v>
      </c>
      <c r="B2227" t="s">
        <v>2347</v>
      </c>
      <c r="C2227" t="s">
        <v>129</v>
      </c>
    </row>
    <row r="2228" spans="1:3" x14ac:dyDescent="0.3">
      <c r="A2228">
        <v>69973627</v>
      </c>
      <c r="B2228" t="s">
        <v>2348</v>
      </c>
      <c r="C2228" t="s">
        <v>56</v>
      </c>
    </row>
    <row r="2229" spans="1:3" x14ac:dyDescent="0.3">
      <c r="A2229">
        <v>69973629</v>
      </c>
      <c r="B2229" t="s">
        <v>2349</v>
      </c>
      <c r="C2229" t="s">
        <v>56</v>
      </c>
    </row>
    <row r="2230" spans="1:3" x14ac:dyDescent="0.3">
      <c r="A2230">
        <v>69973631</v>
      </c>
      <c r="B2230" t="s">
        <v>2350</v>
      </c>
      <c r="C2230" t="s">
        <v>56</v>
      </c>
    </row>
    <row r="2231" spans="1:3" x14ac:dyDescent="0.3">
      <c r="A2231">
        <v>69973633</v>
      </c>
      <c r="B2231" t="s">
        <v>2351</v>
      </c>
      <c r="C2231" t="s">
        <v>56</v>
      </c>
    </row>
    <row r="2232" spans="1:3" x14ac:dyDescent="0.3">
      <c r="A2232">
        <v>69974508</v>
      </c>
      <c r="B2232" t="s">
        <v>2352</v>
      </c>
      <c r="C2232" t="s">
        <v>54</v>
      </c>
    </row>
    <row r="2233" spans="1:3" x14ac:dyDescent="0.3">
      <c r="A2233">
        <v>69974713</v>
      </c>
      <c r="B2233" t="s">
        <v>2353</v>
      </c>
      <c r="C2233" t="s">
        <v>54</v>
      </c>
    </row>
    <row r="2234" spans="1:3" x14ac:dyDescent="0.3">
      <c r="A2234">
        <v>69974715</v>
      </c>
      <c r="B2234" t="s">
        <v>2354</v>
      </c>
      <c r="C2234" t="s">
        <v>54</v>
      </c>
    </row>
    <row r="2235" spans="1:3" x14ac:dyDescent="0.3">
      <c r="A2235">
        <v>69980215</v>
      </c>
      <c r="B2235" t="s">
        <v>2355</v>
      </c>
      <c r="C2235" t="s">
        <v>56</v>
      </c>
    </row>
    <row r="2236" spans="1:3" x14ac:dyDescent="0.3">
      <c r="A2236">
        <v>69980217</v>
      </c>
      <c r="B2236" t="s">
        <v>2356</v>
      </c>
      <c r="C2236" t="s">
        <v>129</v>
      </c>
    </row>
    <row r="2237" spans="1:3" x14ac:dyDescent="0.3">
      <c r="A2237">
        <v>69980223</v>
      </c>
      <c r="B2237" t="s">
        <v>2357</v>
      </c>
      <c r="C2237" t="s">
        <v>56</v>
      </c>
    </row>
    <row r="2238" spans="1:3" x14ac:dyDescent="0.3">
      <c r="A2238">
        <v>69980225</v>
      </c>
      <c r="B2238" t="s">
        <v>2358</v>
      </c>
      <c r="C2238" t="s">
        <v>56</v>
      </c>
    </row>
    <row r="2239" spans="1:3" x14ac:dyDescent="0.3">
      <c r="A2239">
        <v>69981012</v>
      </c>
      <c r="B2239" t="s">
        <v>2359</v>
      </c>
      <c r="C2239" t="s">
        <v>188</v>
      </c>
    </row>
    <row r="2240" spans="1:3" x14ac:dyDescent="0.3">
      <c r="A2240">
        <v>69981018</v>
      </c>
      <c r="B2240" t="s">
        <v>2360</v>
      </c>
      <c r="C2240" t="s">
        <v>188</v>
      </c>
    </row>
    <row r="2241" spans="1:3" x14ac:dyDescent="0.3">
      <c r="A2241">
        <v>69982944</v>
      </c>
      <c r="B2241" t="s">
        <v>2361</v>
      </c>
      <c r="C2241" t="s">
        <v>284</v>
      </c>
    </row>
    <row r="2242" spans="1:3" x14ac:dyDescent="0.3">
      <c r="A2242">
        <v>69982946</v>
      </c>
      <c r="B2242" t="s">
        <v>2362</v>
      </c>
      <c r="C2242" t="s">
        <v>589</v>
      </c>
    </row>
    <row r="2243" spans="1:3" x14ac:dyDescent="0.3">
      <c r="A2243">
        <v>69990014</v>
      </c>
      <c r="B2243" t="s">
        <v>2363</v>
      </c>
      <c r="C2243" t="s">
        <v>122</v>
      </c>
    </row>
    <row r="2244" spans="1:3" x14ac:dyDescent="0.3">
      <c r="A2244">
        <v>69990016</v>
      </c>
      <c r="B2244" t="s">
        <v>2364</v>
      </c>
      <c r="C2244" t="s">
        <v>122</v>
      </c>
    </row>
    <row r="2245" spans="1:3" x14ac:dyDescent="0.3">
      <c r="A2245">
        <v>69990021</v>
      </c>
      <c r="B2245" t="s">
        <v>2365</v>
      </c>
      <c r="C2245" t="s">
        <v>122</v>
      </c>
    </row>
    <row r="2246" spans="1:3" x14ac:dyDescent="0.3">
      <c r="A2246">
        <v>69990023</v>
      </c>
      <c r="B2246" t="s">
        <v>2366</v>
      </c>
      <c r="C2246" t="s">
        <v>122</v>
      </c>
    </row>
    <row r="2247" spans="1:3" x14ac:dyDescent="0.3">
      <c r="A2247">
        <v>69990025</v>
      </c>
      <c r="B2247" t="s">
        <v>2367</v>
      </c>
      <c r="C2247" t="s">
        <v>122</v>
      </c>
    </row>
    <row r="2248" spans="1:3" x14ac:dyDescent="0.3">
      <c r="A2248">
        <v>69990028</v>
      </c>
      <c r="B2248" t="s">
        <v>2368</v>
      </c>
      <c r="C2248" t="s">
        <v>122</v>
      </c>
    </row>
    <row r="2249" spans="1:3" x14ac:dyDescent="0.3">
      <c r="A2249">
        <v>69990030</v>
      </c>
      <c r="B2249" t="s">
        <v>2369</v>
      </c>
      <c r="C2249" t="s">
        <v>122</v>
      </c>
    </row>
    <row r="2250" spans="1:3" x14ac:dyDescent="0.3">
      <c r="A2250">
        <v>69990032</v>
      </c>
      <c r="B2250" t="s">
        <v>2370</v>
      </c>
      <c r="C2250" t="s">
        <v>122</v>
      </c>
    </row>
    <row r="2251" spans="1:3" x14ac:dyDescent="0.3">
      <c r="A2251">
        <v>69991370</v>
      </c>
      <c r="B2251" t="s">
        <v>2371</v>
      </c>
      <c r="C2251" t="s">
        <v>131</v>
      </c>
    </row>
    <row r="2252" spans="1:3" x14ac:dyDescent="0.3">
      <c r="A2252">
        <v>69991639</v>
      </c>
      <c r="B2252" t="s">
        <v>2372</v>
      </c>
      <c r="C2252" t="s">
        <v>122</v>
      </c>
    </row>
    <row r="2253" spans="1:3" x14ac:dyDescent="0.3">
      <c r="A2253">
        <v>69993490</v>
      </c>
      <c r="B2253" t="s">
        <v>2373</v>
      </c>
      <c r="C2253" t="s">
        <v>246</v>
      </c>
    </row>
    <row r="2254" spans="1:3" x14ac:dyDescent="0.3">
      <c r="A2254">
        <v>69993492</v>
      </c>
      <c r="B2254" t="s">
        <v>2374</v>
      </c>
      <c r="C2254" t="s">
        <v>246</v>
      </c>
    </row>
    <row r="2255" spans="1:3" x14ac:dyDescent="0.3">
      <c r="A2255">
        <v>69996244</v>
      </c>
      <c r="B2255" t="s">
        <v>2375</v>
      </c>
      <c r="C2255" t="s">
        <v>108</v>
      </c>
    </row>
    <row r="2256" spans="1:3" x14ac:dyDescent="0.3">
      <c r="A2256" t="s">
        <v>2376</v>
      </c>
      <c r="B2256" t="s">
        <v>2377</v>
      </c>
      <c r="C2256" t="s">
        <v>131</v>
      </c>
    </row>
    <row r="2257" spans="1:3" x14ac:dyDescent="0.3">
      <c r="A2257">
        <v>69996248</v>
      </c>
      <c r="B2257" t="s">
        <v>2378</v>
      </c>
      <c r="C2257" t="s">
        <v>108</v>
      </c>
    </row>
    <row r="2258" spans="1:3" x14ac:dyDescent="0.3">
      <c r="A2258">
        <v>69998247</v>
      </c>
      <c r="B2258" t="s">
        <v>2379</v>
      </c>
      <c r="C2258" t="s">
        <v>131</v>
      </c>
    </row>
    <row r="2259" spans="1:3" x14ac:dyDescent="0.3">
      <c r="A2259">
        <v>69998249</v>
      </c>
      <c r="B2259" t="s">
        <v>2380</v>
      </c>
      <c r="C2259" t="s">
        <v>131</v>
      </c>
    </row>
    <row r="2260" spans="1:3" x14ac:dyDescent="0.3">
      <c r="A2260">
        <v>75025554</v>
      </c>
      <c r="B2260" t="s">
        <v>2381</v>
      </c>
      <c r="C2260" t="s">
        <v>108</v>
      </c>
    </row>
    <row r="2261" spans="1:3" x14ac:dyDescent="0.3">
      <c r="A2261">
        <v>75025555</v>
      </c>
      <c r="B2261" t="s">
        <v>2382</v>
      </c>
      <c r="C2261" t="s">
        <v>108</v>
      </c>
    </row>
    <row r="2262" spans="1:3" x14ac:dyDescent="0.3">
      <c r="A2262">
        <v>75033997</v>
      </c>
      <c r="B2262" t="s">
        <v>2383</v>
      </c>
      <c r="C2262" t="s">
        <v>1998</v>
      </c>
    </row>
    <row r="2263" spans="1:3" x14ac:dyDescent="0.3">
      <c r="A2263">
        <v>75033999</v>
      </c>
      <c r="B2263" t="s">
        <v>2384</v>
      </c>
      <c r="C2263" t="s">
        <v>2385</v>
      </c>
    </row>
    <row r="2264" spans="1:3" x14ac:dyDescent="0.3">
      <c r="A2264">
        <v>75034001</v>
      </c>
      <c r="B2264" t="s">
        <v>2386</v>
      </c>
      <c r="C2264" t="s">
        <v>2385</v>
      </c>
    </row>
    <row r="2265" spans="1:3" x14ac:dyDescent="0.3">
      <c r="A2265">
        <v>75034002</v>
      </c>
      <c r="B2265" t="s">
        <v>2387</v>
      </c>
      <c r="C2265" t="s">
        <v>2388</v>
      </c>
    </row>
    <row r="2266" spans="1:3" x14ac:dyDescent="0.3">
      <c r="A2266">
        <v>75034083</v>
      </c>
      <c r="B2266" t="s">
        <v>2389</v>
      </c>
      <c r="C2266" t="s">
        <v>1998</v>
      </c>
    </row>
    <row r="2267" spans="1:3" x14ac:dyDescent="0.3">
      <c r="A2267">
        <v>75035540</v>
      </c>
      <c r="B2267" t="s">
        <v>2390</v>
      </c>
      <c r="C2267" t="s">
        <v>1998</v>
      </c>
    </row>
    <row r="2268" spans="1:3" x14ac:dyDescent="0.3">
      <c r="A2268">
        <v>75037782</v>
      </c>
      <c r="B2268" t="s">
        <v>2391</v>
      </c>
      <c r="C2268" t="s">
        <v>120</v>
      </c>
    </row>
    <row r="2269" spans="1:3" x14ac:dyDescent="0.3">
      <c r="A2269">
        <v>75039070</v>
      </c>
      <c r="B2269" t="s">
        <v>2392</v>
      </c>
      <c r="C2269" t="s">
        <v>679</v>
      </c>
    </row>
    <row r="2270" spans="1:3" x14ac:dyDescent="0.3">
      <c r="A2270">
        <v>75044985</v>
      </c>
      <c r="B2270" t="s">
        <v>2393</v>
      </c>
      <c r="C2270" t="s">
        <v>380</v>
      </c>
    </row>
    <row r="2271" spans="1:3" x14ac:dyDescent="0.3">
      <c r="A2271">
        <v>75045190</v>
      </c>
      <c r="B2271" t="s">
        <v>2394</v>
      </c>
      <c r="C2271" t="s">
        <v>414</v>
      </c>
    </row>
    <row r="2272" spans="1:3" x14ac:dyDescent="0.3">
      <c r="A2272">
        <v>75048794</v>
      </c>
      <c r="B2272" t="s">
        <v>2395</v>
      </c>
      <c r="C2272" t="s">
        <v>380</v>
      </c>
    </row>
    <row r="2273" spans="1:3" x14ac:dyDescent="0.3">
      <c r="A2273">
        <v>75049074</v>
      </c>
      <c r="B2273" t="s">
        <v>2396</v>
      </c>
      <c r="C2273" t="s">
        <v>120</v>
      </c>
    </row>
    <row r="2274" spans="1:3" x14ac:dyDescent="0.3">
      <c r="A2274">
        <v>75049128</v>
      </c>
      <c r="B2274" t="s">
        <v>2397</v>
      </c>
      <c r="C2274" t="s">
        <v>120</v>
      </c>
    </row>
    <row r="2275" spans="1:3" x14ac:dyDescent="0.3">
      <c r="A2275">
        <v>75049234</v>
      </c>
      <c r="B2275" t="s">
        <v>2398</v>
      </c>
      <c r="C2275" t="s">
        <v>2399</v>
      </c>
    </row>
    <row r="2276" spans="1:3" x14ac:dyDescent="0.3">
      <c r="A2276">
        <v>75049983</v>
      </c>
      <c r="B2276" t="s">
        <v>2400</v>
      </c>
      <c r="C2276" t="s">
        <v>2401</v>
      </c>
    </row>
    <row r="2277" spans="1:3" x14ac:dyDescent="0.3">
      <c r="A2277">
        <v>75051680</v>
      </c>
      <c r="B2277" t="s">
        <v>2402</v>
      </c>
      <c r="C2277" t="s">
        <v>2403</v>
      </c>
    </row>
    <row r="2278" spans="1:3" x14ac:dyDescent="0.3">
      <c r="A2278">
        <v>75052115</v>
      </c>
      <c r="B2278" t="s">
        <v>2404</v>
      </c>
      <c r="C2278" t="s">
        <v>1998</v>
      </c>
    </row>
    <row r="2279" spans="1:3" x14ac:dyDescent="0.3">
      <c r="A2279">
        <v>75052286</v>
      </c>
      <c r="B2279" t="s">
        <v>2405</v>
      </c>
      <c r="C2279" t="s">
        <v>110</v>
      </c>
    </row>
    <row r="2280" spans="1:3" x14ac:dyDescent="0.3">
      <c r="A2280">
        <v>75056296</v>
      </c>
      <c r="B2280" t="s">
        <v>2406</v>
      </c>
      <c r="C2280" t="s">
        <v>54</v>
      </c>
    </row>
    <row r="2281" spans="1:3" x14ac:dyDescent="0.3">
      <c r="A2281">
        <v>75059830</v>
      </c>
      <c r="B2281" t="s">
        <v>2407</v>
      </c>
      <c r="C2281" t="s">
        <v>1814</v>
      </c>
    </row>
    <row r="2282" spans="1:3" x14ac:dyDescent="0.3">
      <c r="A2282">
        <v>75062333</v>
      </c>
      <c r="B2282" t="s">
        <v>2408</v>
      </c>
      <c r="C2282" t="s">
        <v>414</v>
      </c>
    </row>
    <row r="2283" spans="1:3" x14ac:dyDescent="0.3">
      <c r="A2283">
        <v>75062793</v>
      </c>
      <c r="B2283" t="s">
        <v>2409</v>
      </c>
      <c r="C2283" t="s">
        <v>414</v>
      </c>
    </row>
    <row r="2284" spans="1:3" x14ac:dyDescent="0.3">
      <c r="A2284">
        <v>75063268</v>
      </c>
      <c r="B2284" t="s">
        <v>2410</v>
      </c>
      <c r="C2284" t="s">
        <v>414</v>
      </c>
    </row>
    <row r="2285" spans="1:3" x14ac:dyDescent="0.3">
      <c r="A2285">
        <v>75063348</v>
      </c>
      <c r="B2285" t="s">
        <v>2411</v>
      </c>
      <c r="C2285" t="s">
        <v>723</v>
      </c>
    </row>
    <row r="2286" spans="1:3" x14ac:dyDescent="0.3">
      <c r="A2286">
        <v>75064037</v>
      </c>
      <c r="B2286" t="s">
        <v>2412</v>
      </c>
      <c r="C2286" t="s">
        <v>108</v>
      </c>
    </row>
    <row r="2287" spans="1:3" x14ac:dyDescent="0.3">
      <c r="A2287">
        <v>78062471</v>
      </c>
      <c r="B2287" t="s">
        <v>2413</v>
      </c>
      <c r="C2287" t="s">
        <v>723</v>
      </c>
    </row>
    <row r="2288" spans="1:3" x14ac:dyDescent="0.3">
      <c r="A2288" t="s">
        <v>2414</v>
      </c>
      <c r="B2288" t="s">
        <v>2415</v>
      </c>
      <c r="C2288" t="s">
        <v>1998</v>
      </c>
    </row>
    <row r="2289" spans="1:3" x14ac:dyDescent="0.3">
      <c r="A2289" t="s">
        <v>2416</v>
      </c>
      <c r="B2289" t="s">
        <v>2417</v>
      </c>
      <c r="C2289" t="s">
        <v>1998</v>
      </c>
    </row>
    <row r="2290" spans="1:3" x14ac:dyDescent="0.3">
      <c r="A2290" t="s">
        <v>2418</v>
      </c>
      <c r="B2290" t="s">
        <v>2419</v>
      </c>
      <c r="C2290" t="s">
        <v>1998</v>
      </c>
    </row>
    <row r="2291" spans="1:3" x14ac:dyDescent="0.3">
      <c r="A2291" t="s">
        <v>2420</v>
      </c>
      <c r="B2291" t="s">
        <v>2421</v>
      </c>
      <c r="C2291" t="s">
        <v>1998</v>
      </c>
    </row>
    <row r="2292" spans="1:3" x14ac:dyDescent="0.3">
      <c r="A2292" t="s">
        <v>2422</v>
      </c>
      <c r="B2292" t="s">
        <v>2423</v>
      </c>
      <c r="C2292" t="s">
        <v>1998</v>
      </c>
    </row>
    <row r="2293" spans="1:3" x14ac:dyDescent="0.3">
      <c r="A2293" t="s">
        <v>2424</v>
      </c>
      <c r="B2293" t="s">
        <v>2425</v>
      </c>
      <c r="C2293" t="s">
        <v>1998</v>
      </c>
    </row>
    <row r="2294" spans="1:3" x14ac:dyDescent="0.3">
      <c r="A2294" t="s">
        <v>2426</v>
      </c>
      <c r="B2294" t="s">
        <v>2425</v>
      </c>
      <c r="C2294" t="s">
        <v>1998</v>
      </c>
    </row>
    <row r="2295" spans="1:3" x14ac:dyDescent="0.3">
      <c r="A2295" t="s">
        <v>2427</v>
      </c>
      <c r="B2295" t="s">
        <v>2425</v>
      </c>
      <c r="C2295" t="s">
        <v>1998</v>
      </c>
    </row>
    <row r="2296" spans="1:3" x14ac:dyDescent="0.3">
      <c r="A2296" t="s">
        <v>2428</v>
      </c>
      <c r="B2296" t="s">
        <v>2425</v>
      </c>
      <c r="C2296" t="s">
        <v>1998</v>
      </c>
    </row>
    <row r="2297" spans="1:3" x14ac:dyDescent="0.3">
      <c r="A2297" t="s">
        <v>2429</v>
      </c>
      <c r="B2297" t="s">
        <v>2425</v>
      </c>
      <c r="C2297" t="s">
        <v>1998</v>
      </c>
    </row>
    <row r="2298" spans="1:3" x14ac:dyDescent="0.3">
      <c r="A2298" t="s">
        <v>2430</v>
      </c>
      <c r="B2298" t="s">
        <v>2431</v>
      </c>
      <c r="C2298" t="s">
        <v>1998</v>
      </c>
    </row>
    <row r="2299" spans="1:3" x14ac:dyDescent="0.3">
      <c r="A2299" t="s">
        <v>2432</v>
      </c>
      <c r="B2299" t="s">
        <v>2433</v>
      </c>
      <c r="C2299" t="s">
        <v>1998</v>
      </c>
    </row>
    <row r="2300" spans="1:3" x14ac:dyDescent="0.3">
      <c r="A2300" t="s">
        <v>2434</v>
      </c>
      <c r="B2300" t="s">
        <v>2435</v>
      </c>
      <c r="C2300" t="s">
        <v>1998</v>
      </c>
    </row>
    <row r="2301" spans="1:3" x14ac:dyDescent="0.3">
      <c r="A2301" t="s">
        <v>2436</v>
      </c>
      <c r="B2301" t="s">
        <v>2437</v>
      </c>
      <c r="C2301" t="s">
        <v>1998</v>
      </c>
    </row>
    <row r="2302" spans="1:3" x14ac:dyDescent="0.3">
      <c r="A2302" t="s">
        <v>2438</v>
      </c>
      <c r="B2302" t="s">
        <v>2439</v>
      </c>
      <c r="C2302" t="s">
        <v>1998</v>
      </c>
    </row>
    <row r="2303" spans="1:3" x14ac:dyDescent="0.3">
      <c r="A2303" t="s">
        <v>2440</v>
      </c>
      <c r="B2303" t="s">
        <v>2441</v>
      </c>
      <c r="C2303" t="s">
        <v>1998</v>
      </c>
    </row>
    <row r="2304" spans="1:3" x14ac:dyDescent="0.3">
      <c r="A2304" t="s">
        <v>2442</v>
      </c>
      <c r="B2304" t="s">
        <v>2441</v>
      </c>
      <c r="C2304" t="s">
        <v>1998</v>
      </c>
    </row>
    <row r="2305" spans="1:3" x14ac:dyDescent="0.3">
      <c r="A2305" t="s">
        <v>2443</v>
      </c>
      <c r="B2305" t="s">
        <v>2444</v>
      </c>
      <c r="C2305" t="s">
        <v>1998</v>
      </c>
    </row>
    <row r="2306" spans="1:3" x14ac:dyDescent="0.3">
      <c r="A2306" t="s">
        <v>2445</v>
      </c>
      <c r="B2306" t="s">
        <v>2444</v>
      </c>
      <c r="C2306" t="s">
        <v>1998</v>
      </c>
    </row>
    <row r="2307" spans="1:3" x14ac:dyDescent="0.3">
      <c r="A2307" t="s">
        <v>2446</v>
      </c>
      <c r="B2307" t="s">
        <v>2444</v>
      </c>
      <c r="C2307" t="s">
        <v>1998</v>
      </c>
    </row>
    <row r="2308" spans="1:3" x14ac:dyDescent="0.3">
      <c r="A2308" t="s">
        <v>2447</v>
      </c>
      <c r="B2308" t="s">
        <v>2444</v>
      </c>
      <c r="C2308" t="s">
        <v>1998</v>
      </c>
    </row>
    <row r="2309" spans="1:3" x14ac:dyDescent="0.3">
      <c r="A2309" t="s">
        <v>2448</v>
      </c>
      <c r="B2309" t="s">
        <v>2444</v>
      </c>
      <c r="C2309" t="s">
        <v>1998</v>
      </c>
    </row>
    <row r="2310" spans="1:3" x14ac:dyDescent="0.3">
      <c r="A2310" t="s">
        <v>2449</v>
      </c>
      <c r="B2310" t="s">
        <v>2450</v>
      </c>
      <c r="C2310" t="s">
        <v>1998</v>
      </c>
    </row>
    <row r="2311" spans="1:3" x14ac:dyDescent="0.3">
      <c r="A2311" t="s">
        <v>2451</v>
      </c>
      <c r="B2311" t="s">
        <v>2452</v>
      </c>
      <c r="C2311" t="s">
        <v>1998</v>
      </c>
    </row>
    <row r="2312" spans="1:3" x14ac:dyDescent="0.3">
      <c r="A2312" t="s">
        <v>2453</v>
      </c>
      <c r="B2312" t="s">
        <v>2454</v>
      </c>
      <c r="C2312" t="s">
        <v>1998</v>
      </c>
    </row>
    <row r="2313" spans="1:3" x14ac:dyDescent="0.3">
      <c r="A2313" t="s">
        <v>2455</v>
      </c>
      <c r="B2313" t="s">
        <v>2456</v>
      </c>
      <c r="C2313" t="s">
        <v>1998</v>
      </c>
    </row>
    <row r="2314" spans="1:3" x14ac:dyDescent="0.3">
      <c r="A2314" t="s">
        <v>2457</v>
      </c>
      <c r="B2314" t="s">
        <v>2457</v>
      </c>
      <c r="C2314" t="s">
        <v>56</v>
      </c>
    </row>
    <row r="2315" spans="1:3" x14ac:dyDescent="0.3">
      <c r="A2315" t="s">
        <v>2458</v>
      </c>
      <c r="B2315" t="s">
        <v>2458</v>
      </c>
      <c r="C2315" t="s">
        <v>56</v>
      </c>
    </row>
    <row r="2316" spans="1:3" x14ac:dyDescent="0.3">
      <c r="A2316" t="s">
        <v>2459</v>
      </c>
      <c r="B2316" t="s">
        <v>2459</v>
      </c>
      <c r="C2316" t="s">
        <v>56</v>
      </c>
    </row>
    <row r="2317" spans="1:3" x14ac:dyDescent="0.3">
      <c r="A2317" t="s">
        <v>2460</v>
      </c>
      <c r="B2317" t="s">
        <v>2460</v>
      </c>
      <c r="C2317" t="s">
        <v>56</v>
      </c>
    </row>
    <row r="2318" spans="1:3" x14ac:dyDescent="0.3">
      <c r="A2318" t="s">
        <v>2461</v>
      </c>
      <c r="B2318" t="s">
        <v>2461</v>
      </c>
      <c r="C2318" t="s">
        <v>120</v>
      </c>
    </row>
    <row r="2319" spans="1:3" x14ac:dyDescent="0.3">
      <c r="A2319" t="s">
        <v>2462</v>
      </c>
      <c r="B2319" t="s">
        <v>2462</v>
      </c>
      <c r="C2319" t="s">
        <v>110</v>
      </c>
    </row>
    <row r="2320" spans="1:3" x14ac:dyDescent="0.3">
      <c r="A2320" t="s">
        <v>2463</v>
      </c>
      <c r="B2320" t="s">
        <v>2464</v>
      </c>
      <c r="C2320" t="s">
        <v>2388</v>
      </c>
    </row>
    <row r="2321" spans="1:3" x14ac:dyDescent="0.3">
      <c r="A2321" t="s">
        <v>2465</v>
      </c>
      <c r="B2321" t="s">
        <v>2466</v>
      </c>
      <c r="C2321" t="s">
        <v>1998</v>
      </c>
    </row>
    <row r="2322" spans="1:3" x14ac:dyDescent="0.3">
      <c r="A2322">
        <v>65065866</v>
      </c>
      <c r="B2322" t="s">
        <v>2467</v>
      </c>
      <c r="C2322" t="s">
        <v>122</v>
      </c>
    </row>
    <row r="2323" spans="1:3" x14ac:dyDescent="0.3">
      <c r="A2323">
        <v>65064110</v>
      </c>
      <c r="B2323" t="s">
        <v>2468</v>
      </c>
      <c r="C2323" t="s">
        <v>54</v>
      </c>
    </row>
    <row r="2324" spans="1:3" x14ac:dyDescent="0.3">
      <c r="A2324">
        <v>64991163</v>
      </c>
      <c r="B2324" t="s">
        <v>2469</v>
      </c>
      <c r="C2324" t="s">
        <v>54</v>
      </c>
    </row>
    <row r="2325" spans="1:3" x14ac:dyDescent="0.3">
      <c r="A2325">
        <v>64991165</v>
      </c>
      <c r="B2325" t="s">
        <v>2470</v>
      </c>
      <c r="C2325" t="s">
        <v>54</v>
      </c>
    </row>
    <row r="2326" spans="1:3" x14ac:dyDescent="0.3">
      <c r="A2326" t="s">
        <v>2471</v>
      </c>
      <c r="B2326" t="s">
        <v>2472</v>
      </c>
      <c r="C2326" t="s">
        <v>456</v>
      </c>
    </row>
    <row r="2327" spans="1:3" x14ac:dyDescent="0.3">
      <c r="A2327" t="s">
        <v>2471</v>
      </c>
      <c r="B2327" t="s">
        <v>2472</v>
      </c>
      <c r="C2327" t="s">
        <v>2473</v>
      </c>
    </row>
    <row r="2328" spans="1:3" x14ac:dyDescent="0.3">
      <c r="A2328">
        <v>64898034</v>
      </c>
      <c r="B2328" t="s">
        <v>2474</v>
      </c>
      <c r="C2328" t="s">
        <v>284</v>
      </c>
    </row>
    <row r="2329" spans="1:3" x14ac:dyDescent="0.3">
      <c r="A2329">
        <v>64948102</v>
      </c>
      <c r="B2329" t="s">
        <v>2475</v>
      </c>
      <c r="C2329" t="s">
        <v>122</v>
      </c>
    </row>
    <row r="2330" spans="1:3" x14ac:dyDescent="0.3">
      <c r="A2330">
        <v>65065861</v>
      </c>
      <c r="B2330" t="s">
        <v>2476</v>
      </c>
      <c r="C2330" t="s">
        <v>122</v>
      </c>
    </row>
    <row r="2331" spans="1:3" x14ac:dyDescent="0.3">
      <c r="A2331">
        <v>65087872</v>
      </c>
      <c r="B2331" t="s">
        <v>2477</v>
      </c>
      <c r="C2331" t="s">
        <v>181</v>
      </c>
    </row>
    <row r="2332" spans="1:3" x14ac:dyDescent="0.3">
      <c r="A2332">
        <v>64937308</v>
      </c>
      <c r="B2332" t="s">
        <v>2478</v>
      </c>
      <c r="C2332" t="s">
        <v>181</v>
      </c>
    </row>
    <row r="2333" spans="1:3" x14ac:dyDescent="0.3">
      <c r="A2333">
        <v>64997313</v>
      </c>
      <c r="B2333" t="s">
        <v>2479</v>
      </c>
      <c r="C2333" t="s">
        <v>54</v>
      </c>
    </row>
    <row r="2334" spans="1:3" x14ac:dyDescent="0.3">
      <c r="A2334">
        <v>64975725</v>
      </c>
      <c r="B2334" t="s">
        <v>2480</v>
      </c>
      <c r="C2334" t="s">
        <v>54</v>
      </c>
    </row>
    <row r="2335" spans="1:3" x14ac:dyDescent="0.3">
      <c r="A2335">
        <v>64999458</v>
      </c>
      <c r="B2335" t="s">
        <v>2481</v>
      </c>
      <c r="C2335" t="s">
        <v>120</v>
      </c>
    </row>
    <row r="2336" spans="1:3" x14ac:dyDescent="0.3">
      <c r="A2336">
        <v>64999460</v>
      </c>
      <c r="B2336" t="s">
        <v>2482</v>
      </c>
      <c r="C2336" t="s">
        <v>120</v>
      </c>
    </row>
    <row r="2337" spans="1:3" x14ac:dyDescent="0.3">
      <c r="A2337">
        <v>64999388</v>
      </c>
      <c r="B2337" t="s">
        <v>441</v>
      </c>
      <c r="C2337" t="s">
        <v>131</v>
      </c>
    </row>
    <row r="2338" spans="1:3" x14ac:dyDescent="0.3">
      <c r="A2338">
        <v>65063984</v>
      </c>
      <c r="B2338" t="s">
        <v>439</v>
      </c>
      <c r="C2338" t="s">
        <v>131</v>
      </c>
    </row>
    <row r="2339" spans="1:3" x14ac:dyDescent="0.3">
      <c r="A2339">
        <v>65215373</v>
      </c>
      <c r="B2339" t="s">
        <v>2483</v>
      </c>
      <c r="C2339" t="s">
        <v>181</v>
      </c>
    </row>
    <row r="2340" spans="1:3" x14ac:dyDescent="0.3">
      <c r="A2340">
        <v>65215359</v>
      </c>
      <c r="B2340" t="s">
        <v>2484</v>
      </c>
      <c r="C2340" t="s">
        <v>181</v>
      </c>
    </row>
    <row r="2341" spans="1:3" x14ac:dyDescent="0.3">
      <c r="A2341">
        <v>64954411</v>
      </c>
      <c r="B2341" t="s">
        <v>2485</v>
      </c>
      <c r="C2341" t="s">
        <v>54</v>
      </c>
    </row>
    <row r="2342" spans="1:3" x14ac:dyDescent="0.3">
      <c r="A2342">
        <v>64892950</v>
      </c>
      <c r="B2342" t="s">
        <v>2486</v>
      </c>
      <c r="C2342" t="s">
        <v>181</v>
      </c>
    </row>
    <row r="2343" spans="1:3" x14ac:dyDescent="0.3">
      <c r="A2343">
        <v>64892961</v>
      </c>
      <c r="B2343" t="s">
        <v>2487</v>
      </c>
      <c r="C2343" t="s">
        <v>54</v>
      </c>
    </row>
    <row r="2344" spans="1:3" x14ac:dyDescent="0.3">
      <c r="A2344">
        <v>65244698</v>
      </c>
      <c r="B2344" t="s">
        <v>2488</v>
      </c>
      <c r="C2344" t="s">
        <v>54</v>
      </c>
    </row>
    <row r="2345" spans="1:3" x14ac:dyDescent="0.3">
      <c r="A2345">
        <v>65244693</v>
      </c>
      <c r="B2345" t="s">
        <v>2489</v>
      </c>
      <c r="C2345" t="s">
        <v>54</v>
      </c>
    </row>
    <row r="2346" spans="1:3" x14ac:dyDescent="0.3">
      <c r="A2346">
        <v>64892957</v>
      </c>
      <c r="B2346" t="s">
        <v>2490</v>
      </c>
      <c r="C2346" t="s">
        <v>54</v>
      </c>
    </row>
    <row r="2347" spans="1:3" x14ac:dyDescent="0.3">
      <c r="A2347">
        <v>64892985</v>
      </c>
      <c r="B2347" t="s">
        <v>2491</v>
      </c>
      <c r="C2347" t="s">
        <v>2132</v>
      </c>
    </row>
    <row r="2348" spans="1:3" x14ac:dyDescent="0.3">
      <c r="A2348">
        <v>65244684</v>
      </c>
      <c r="B2348" t="s">
        <v>447</v>
      </c>
      <c r="C2348" t="s">
        <v>54</v>
      </c>
    </row>
    <row r="2349" spans="1:3" x14ac:dyDescent="0.3">
      <c r="A2349">
        <v>64365033</v>
      </c>
      <c r="B2349" t="s">
        <v>247</v>
      </c>
      <c r="C2349" t="s">
        <v>122</v>
      </c>
    </row>
    <row r="2350" spans="1:3" x14ac:dyDescent="0.3">
      <c r="A2350">
        <v>64997309</v>
      </c>
      <c r="B2350" t="s">
        <v>2492</v>
      </c>
      <c r="C2350" t="s">
        <v>181</v>
      </c>
    </row>
    <row r="2351" spans="1:3" x14ac:dyDescent="0.3">
      <c r="A2351">
        <v>65086966</v>
      </c>
      <c r="B2351" t="s">
        <v>2493</v>
      </c>
      <c r="C2351" t="s">
        <v>122</v>
      </c>
    </row>
    <row r="2352" spans="1:3" x14ac:dyDescent="0.3">
      <c r="A2352">
        <v>65231795</v>
      </c>
      <c r="B2352" t="s">
        <v>2494</v>
      </c>
      <c r="C2352" t="s">
        <v>122</v>
      </c>
    </row>
    <row r="2353" spans="1:3" x14ac:dyDescent="0.3">
      <c r="A2353">
        <v>64852877</v>
      </c>
      <c r="B2353" t="s">
        <v>2495</v>
      </c>
      <c r="C2353" t="s">
        <v>131</v>
      </c>
    </row>
    <row r="2354" spans="1:3" x14ac:dyDescent="0.3">
      <c r="A2354">
        <v>64892979</v>
      </c>
      <c r="B2354" t="s">
        <v>2496</v>
      </c>
      <c r="C2354" t="s">
        <v>54</v>
      </c>
    </row>
    <row r="2355" spans="1:3" x14ac:dyDescent="0.3">
      <c r="A2355">
        <v>65231789</v>
      </c>
      <c r="B2355" t="s">
        <v>2497</v>
      </c>
      <c r="C2355" t="s">
        <v>122</v>
      </c>
    </row>
    <row r="2356" spans="1:3" x14ac:dyDescent="0.3">
      <c r="A2356">
        <v>65242888</v>
      </c>
      <c r="B2356" t="s">
        <v>2498</v>
      </c>
      <c r="C2356" t="s">
        <v>131</v>
      </c>
    </row>
    <row r="2357" spans="1:3" x14ac:dyDescent="0.3">
      <c r="A2357">
        <v>64892970</v>
      </c>
      <c r="B2357" t="s">
        <v>2499</v>
      </c>
      <c r="C2357" t="s">
        <v>2132</v>
      </c>
    </row>
    <row r="2358" spans="1:3" x14ac:dyDescent="0.3">
      <c r="A2358">
        <v>64913670</v>
      </c>
      <c r="B2358" t="s">
        <v>2500</v>
      </c>
      <c r="C2358" t="s">
        <v>2132</v>
      </c>
    </row>
    <row r="2359" spans="1:3" x14ac:dyDescent="0.3">
      <c r="A2359">
        <v>65242478</v>
      </c>
      <c r="B2359" t="s">
        <v>2501</v>
      </c>
      <c r="C2359" t="s">
        <v>131</v>
      </c>
    </row>
    <row r="2360" spans="1:3" x14ac:dyDescent="0.3">
      <c r="A2360">
        <v>64892966</v>
      </c>
      <c r="B2360" t="s">
        <v>2502</v>
      </c>
      <c r="C2360" t="s">
        <v>181</v>
      </c>
    </row>
    <row r="2361" spans="1:3" x14ac:dyDescent="0.3">
      <c r="A2361">
        <v>65287681</v>
      </c>
      <c r="B2361" t="s">
        <v>2503</v>
      </c>
      <c r="C2361" t="s">
        <v>131</v>
      </c>
    </row>
    <row r="2362" spans="1:3" x14ac:dyDescent="0.3">
      <c r="A2362">
        <v>64892983</v>
      </c>
      <c r="B2362" t="s">
        <v>2504</v>
      </c>
      <c r="C2362" t="s">
        <v>181</v>
      </c>
    </row>
    <row r="2363" spans="1:3" x14ac:dyDescent="0.3">
      <c r="A2363">
        <v>65242480</v>
      </c>
      <c r="B2363" t="s">
        <v>2505</v>
      </c>
      <c r="C2363" t="s">
        <v>131</v>
      </c>
    </row>
    <row r="2364" spans="1:3" x14ac:dyDescent="0.3">
      <c r="A2364">
        <v>64892974</v>
      </c>
      <c r="B2364" t="s">
        <v>2506</v>
      </c>
      <c r="C2364" t="s">
        <v>181</v>
      </c>
    </row>
    <row r="2365" spans="1:3" x14ac:dyDescent="0.3">
      <c r="A2365">
        <v>65240672</v>
      </c>
      <c r="B2365" t="s">
        <v>2507</v>
      </c>
      <c r="C2365" t="s">
        <v>131</v>
      </c>
    </row>
    <row r="2366" spans="1:3" x14ac:dyDescent="0.3">
      <c r="A2366">
        <v>65287692</v>
      </c>
      <c r="B2366" t="s">
        <v>2508</v>
      </c>
      <c r="C2366" t="s">
        <v>131</v>
      </c>
    </row>
    <row r="2367" spans="1:3" x14ac:dyDescent="0.3">
      <c r="A2367">
        <v>65287694</v>
      </c>
      <c r="B2367" t="s">
        <v>2509</v>
      </c>
      <c r="C2367" t="s">
        <v>131</v>
      </c>
    </row>
    <row r="2368" spans="1:3" x14ac:dyDescent="0.3">
      <c r="A2368">
        <v>64963666</v>
      </c>
      <c r="B2368" t="s">
        <v>2510</v>
      </c>
      <c r="C2368" t="s">
        <v>131</v>
      </c>
    </row>
    <row r="2369" spans="1:3" x14ac:dyDescent="0.3">
      <c r="A2369">
        <v>65086976</v>
      </c>
      <c r="B2369" t="s">
        <v>2511</v>
      </c>
      <c r="C2369" t="s">
        <v>122</v>
      </c>
    </row>
    <row r="2370" spans="1:3" x14ac:dyDescent="0.3">
      <c r="A2370">
        <v>65242886</v>
      </c>
      <c r="B2370" t="s">
        <v>2512</v>
      </c>
      <c r="C2370" t="s">
        <v>131</v>
      </c>
    </row>
    <row r="2371" spans="1:3" x14ac:dyDescent="0.3">
      <c r="A2371">
        <v>64898659</v>
      </c>
      <c r="B2371" t="s">
        <v>2513</v>
      </c>
      <c r="C2371" t="s">
        <v>54</v>
      </c>
    </row>
    <row r="2372" spans="1:3" x14ac:dyDescent="0.3">
      <c r="A2372">
        <v>65073067</v>
      </c>
      <c r="B2372" t="s">
        <v>2514</v>
      </c>
      <c r="C2372" t="s">
        <v>131</v>
      </c>
    </row>
    <row r="2373" spans="1:3" x14ac:dyDescent="0.3">
      <c r="A2373">
        <v>64892972</v>
      </c>
      <c r="B2373" t="s">
        <v>2515</v>
      </c>
      <c r="C2373" t="s">
        <v>54</v>
      </c>
    </row>
    <row r="2374" spans="1:3" x14ac:dyDescent="0.3">
      <c r="A2374">
        <v>65439483</v>
      </c>
      <c r="B2374" t="s">
        <v>2516</v>
      </c>
      <c r="C2374" t="s">
        <v>131</v>
      </c>
    </row>
    <row r="2375" spans="1:3" x14ac:dyDescent="0.3">
      <c r="A2375">
        <v>65086974</v>
      </c>
      <c r="B2375" t="s">
        <v>2517</v>
      </c>
      <c r="C2375" t="s">
        <v>122</v>
      </c>
    </row>
    <row r="2376" spans="1:3" x14ac:dyDescent="0.3">
      <c r="A2376">
        <v>64892955</v>
      </c>
      <c r="B2376" t="s">
        <v>2518</v>
      </c>
      <c r="C2376" t="s">
        <v>54</v>
      </c>
    </row>
    <row r="2377" spans="1:3" x14ac:dyDescent="0.3">
      <c r="A2377">
        <v>64893643</v>
      </c>
      <c r="B2377" t="s">
        <v>2519</v>
      </c>
      <c r="C2377" t="s">
        <v>2132</v>
      </c>
    </row>
    <row r="2378" spans="1:3" x14ac:dyDescent="0.3">
      <c r="A2378">
        <v>65251427</v>
      </c>
      <c r="B2378" t="s">
        <v>2520</v>
      </c>
      <c r="C2378" t="s">
        <v>54</v>
      </c>
    </row>
    <row r="2379" spans="1:3" x14ac:dyDescent="0.3">
      <c r="A2379">
        <v>65225561</v>
      </c>
      <c r="B2379" t="s">
        <v>245</v>
      </c>
      <c r="C2379" t="s">
        <v>246</v>
      </c>
    </row>
    <row r="2380" spans="1:3" x14ac:dyDescent="0.3">
      <c r="A2380">
        <v>65281997</v>
      </c>
      <c r="B2380" t="s">
        <v>403</v>
      </c>
      <c r="C2380" t="s">
        <v>122</v>
      </c>
    </row>
    <row r="2381" spans="1:3" x14ac:dyDescent="0.3">
      <c r="A2381">
        <v>65442454</v>
      </c>
      <c r="B2381" t="s">
        <v>2521</v>
      </c>
      <c r="C2381" t="s">
        <v>181</v>
      </c>
    </row>
    <row r="2382" spans="1:3" x14ac:dyDescent="0.3">
      <c r="A2382">
        <v>65442460</v>
      </c>
      <c r="B2382" t="s">
        <v>2522</v>
      </c>
      <c r="C2382" t="s">
        <v>181</v>
      </c>
    </row>
    <row r="2383" spans="1:3" x14ac:dyDescent="0.3">
      <c r="A2383">
        <v>65251419</v>
      </c>
      <c r="B2383" t="s">
        <v>2523</v>
      </c>
      <c r="C2383" t="s">
        <v>54</v>
      </c>
    </row>
    <row r="2384" spans="1:3" x14ac:dyDescent="0.3">
      <c r="A2384">
        <v>64892989</v>
      </c>
      <c r="B2384" t="s">
        <v>2524</v>
      </c>
      <c r="C2384" t="s">
        <v>54</v>
      </c>
    </row>
    <row r="2385" spans="1:3" x14ac:dyDescent="0.3">
      <c r="A2385">
        <v>65442462</v>
      </c>
      <c r="B2385" t="s">
        <v>94</v>
      </c>
      <c r="C2385" t="s">
        <v>181</v>
      </c>
    </row>
    <row r="2386" spans="1:3" x14ac:dyDescent="0.3">
      <c r="A2386">
        <v>65244688</v>
      </c>
      <c r="B2386" t="s">
        <v>2525</v>
      </c>
      <c r="C2386" t="s">
        <v>54</v>
      </c>
    </row>
    <row r="2387" spans="1:3" x14ac:dyDescent="0.3">
      <c r="A2387">
        <v>65251399</v>
      </c>
      <c r="B2387" t="s">
        <v>2526</v>
      </c>
      <c r="C2387" t="s">
        <v>54</v>
      </c>
    </row>
    <row r="2388" spans="1:3" x14ac:dyDescent="0.3">
      <c r="A2388">
        <v>65254210</v>
      </c>
      <c r="B2388" t="s">
        <v>2527</v>
      </c>
      <c r="C2388" t="s">
        <v>55</v>
      </c>
    </row>
    <row r="2389" spans="1:3" x14ac:dyDescent="0.3">
      <c r="A2389">
        <v>65281982</v>
      </c>
      <c r="B2389" t="s">
        <v>2528</v>
      </c>
      <c r="C2389" t="s">
        <v>122</v>
      </c>
    </row>
    <row r="2390" spans="1:3" x14ac:dyDescent="0.3">
      <c r="A2390">
        <v>65245071</v>
      </c>
      <c r="B2390" t="s">
        <v>2529</v>
      </c>
      <c r="C2390" t="s">
        <v>54</v>
      </c>
    </row>
    <row r="2391" spans="1:3" x14ac:dyDescent="0.3">
      <c r="A2391">
        <v>65281995</v>
      </c>
      <c r="B2391" t="s">
        <v>396</v>
      </c>
      <c r="C2391" t="s">
        <v>122</v>
      </c>
    </row>
    <row r="2392" spans="1:3" x14ac:dyDescent="0.3">
      <c r="A2392">
        <v>65281994</v>
      </c>
      <c r="B2392" t="s">
        <v>401</v>
      </c>
      <c r="C2392" t="s">
        <v>122</v>
      </c>
    </row>
    <row r="2393" spans="1:3" x14ac:dyDescent="0.3">
      <c r="A2393">
        <v>64898648</v>
      </c>
      <c r="B2393" t="s">
        <v>2530</v>
      </c>
      <c r="C2393" t="s">
        <v>54</v>
      </c>
    </row>
    <row r="2394" spans="1:3" x14ac:dyDescent="0.3">
      <c r="A2394">
        <v>65280533</v>
      </c>
      <c r="B2394" t="s">
        <v>2531</v>
      </c>
      <c r="C2394" t="s">
        <v>131</v>
      </c>
    </row>
    <row r="2395" spans="1:3" x14ac:dyDescent="0.3">
      <c r="A2395">
        <v>65280529</v>
      </c>
      <c r="B2395" t="s">
        <v>2532</v>
      </c>
      <c r="C2395" t="s">
        <v>131</v>
      </c>
    </row>
    <row r="2396" spans="1:3" x14ac:dyDescent="0.3">
      <c r="A2396">
        <v>65446764</v>
      </c>
      <c r="B2396" t="s">
        <v>2533</v>
      </c>
      <c r="C2396" t="s">
        <v>122</v>
      </c>
    </row>
    <row r="2397" spans="1:3" x14ac:dyDescent="0.3">
      <c r="A2397">
        <v>65446757</v>
      </c>
      <c r="B2397" t="s">
        <v>2534</v>
      </c>
      <c r="C2397" t="s">
        <v>181</v>
      </c>
    </row>
    <row r="2398" spans="1:3" x14ac:dyDescent="0.3">
      <c r="A2398">
        <v>64898646</v>
      </c>
      <c r="B2398" t="s">
        <v>2535</v>
      </c>
      <c r="C2398" t="s">
        <v>54</v>
      </c>
    </row>
    <row r="2399" spans="1:3" x14ac:dyDescent="0.3">
      <c r="A2399">
        <v>65243007</v>
      </c>
      <c r="B2399" t="s">
        <v>2536</v>
      </c>
      <c r="C2399" t="s">
        <v>129</v>
      </c>
    </row>
    <row r="2400" spans="1:3" x14ac:dyDescent="0.3">
      <c r="A2400">
        <v>65442458</v>
      </c>
      <c r="B2400" t="s">
        <v>2537</v>
      </c>
      <c r="C2400" t="s">
        <v>181</v>
      </c>
    </row>
    <row r="2401" spans="1:3" x14ac:dyDescent="0.3">
      <c r="A2401">
        <v>65477237</v>
      </c>
      <c r="B2401" t="s">
        <v>2538</v>
      </c>
      <c r="C2401" t="s">
        <v>131</v>
      </c>
    </row>
    <row r="2402" spans="1:3" x14ac:dyDescent="0.3">
      <c r="A2402">
        <v>65477246</v>
      </c>
      <c r="B2402" t="s">
        <v>2539</v>
      </c>
      <c r="C2402" t="s">
        <v>131</v>
      </c>
    </row>
    <row r="2403" spans="1:3" x14ac:dyDescent="0.3">
      <c r="A2403">
        <v>65477236</v>
      </c>
      <c r="B2403" t="s">
        <v>2540</v>
      </c>
      <c r="C2403" t="s">
        <v>131</v>
      </c>
    </row>
    <row r="2404" spans="1:3" x14ac:dyDescent="0.3">
      <c r="A2404">
        <v>65477241</v>
      </c>
      <c r="B2404" t="s">
        <v>2541</v>
      </c>
      <c r="C2404" t="s">
        <v>131</v>
      </c>
    </row>
    <row r="2405" spans="1:3" x14ac:dyDescent="0.3">
      <c r="A2405">
        <v>65215361</v>
      </c>
      <c r="B2405" t="s">
        <v>92</v>
      </c>
      <c r="C2405" t="s">
        <v>181</v>
      </c>
    </row>
    <row r="2406" spans="1:3" x14ac:dyDescent="0.3">
      <c r="A2406">
        <v>65477225</v>
      </c>
      <c r="B2406" t="s">
        <v>2542</v>
      </c>
      <c r="C2406" t="s">
        <v>131</v>
      </c>
    </row>
    <row r="2407" spans="1:3" x14ac:dyDescent="0.3">
      <c r="A2407">
        <v>65477240</v>
      </c>
      <c r="B2407" t="s">
        <v>2543</v>
      </c>
      <c r="C2407" t="s">
        <v>131</v>
      </c>
    </row>
    <row r="2408" spans="1:3" x14ac:dyDescent="0.3">
      <c r="A2408">
        <v>65215357</v>
      </c>
      <c r="B2408" t="s">
        <v>2544</v>
      </c>
      <c r="C2408" t="s">
        <v>181</v>
      </c>
    </row>
    <row r="2409" spans="1:3" x14ac:dyDescent="0.3">
      <c r="A2409">
        <v>65477234</v>
      </c>
      <c r="B2409" t="s">
        <v>2545</v>
      </c>
      <c r="C2409" t="s">
        <v>131</v>
      </c>
    </row>
    <row r="2410" spans="1:3" x14ac:dyDescent="0.3">
      <c r="A2410">
        <v>65243011</v>
      </c>
      <c r="B2410" t="s">
        <v>2546</v>
      </c>
      <c r="C2410" t="s">
        <v>129</v>
      </c>
    </row>
    <row r="2411" spans="1:3" x14ac:dyDescent="0.3">
      <c r="A2411">
        <v>65254212</v>
      </c>
      <c r="B2411" t="s">
        <v>2547</v>
      </c>
      <c r="C2411" t="s">
        <v>55</v>
      </c>
    </row>
    <row r="2412" spans="1:3" x14ac:dyDescent="0.3">
      <c r="A2412">
        <v>65281960</v>
      </c>
      <c r="B2412" t="s">
        <v>394</v>
      </c>
      <c r="C2412" t="s">
        <v>122</v>
      </c>
    </row>
    <row r="2413" spans="1:3" x14ac:dyDescent="0.3">
      <c r="A2413">
        <v>65442452</v>
      </c>
      <c r="B2413" t="s">
        <v>95</v>
      </c>
      <c r="C2413" t="s">
        <v>181</v>
      </c>
    </row>
    <row r="2414" spans="1:3" x14ac:dyDescent="0.3">
      <c r="A2414">
        <v>65225559</v>
      </c>
      <c r="B2414" t="s">
        <v>2548</v>
      </c>
      <c r="C2414" t="s">
        <v>54</v>
      </c>
    </row>
    <row r="2415" spans="1:3" x14ac:dyDescent="0.3">
      <c r="A2415">
        <v>65480194</v>
      </c>
      <c r="B2415" t="s">
        <v>2549</v>
      </c>
      <c r="C2415" t="s">
        <v>131</v>
      </c>
    </row>
    <row r="2416" spans="1:3" x14ac:dyDescent="0.3">
      <c r="A2416">
        <v>65480196</v>
      </c>
      <c r="B2416" t="s">
        <v>2550</v>
      </c>
      <c r="C2416" t="s">
        <v>131</v>
      </c>
    </row>
    <row r="2417" spans="1:3" x14ac:dyDescent="0.3">
      <c r="A2417">
        <v>65254214</v>
      </c>
      <c r="B2417" t="s">
        <v>2551</v>
      </c>
      <c r="C2417" t="s">
        <v>55</v>
      </c>
    </row>
    <row r="2418" spans="1:3" x14ac:dyDescent="0.3">
      <c r="A2418">
        <v>65476018</v>
      </c>
      <c r="B2418" t="s">
        <v>2552</v>
      </c>
      <c r="C2418" t="s">
        <v>131</v>
      </c>
    </row>
    <row r="2419" spans="1:3" x14ac:dyDescent="0.3">
      <c r="A2419">
        <v>65476019</v>
      </c>
      <c r="B2419" t="s">
        <v>2553</v>
      </c>
      <c r="C2419" t="s">
        <v>131</v>
      </c>
    </row>
    <row r="2420" spans="1:3" x14ac:dyDescent="0.3">
      <c r="A2420">
        <v>65462256</v>
      </c>
      <c r="B2420" t="s">
        <v>2554</v>
      </c>
      <c r="C2420" t="s">
        <v>131</v>
      </c>
    </row>
    <row r="2421" spans="1:3" x14ac:dyDescent="0.3">
      <c r="A2421">
        <v>65464120</v>
      </c>
      <c r="B2421" t="s">
        <v>2555</v>
      </c>
      <c r="C2421" t="s">
        <v>131</v>
      </c>
    </row>
    <row r="2422" spans="1:3" x14ac:dyDescent="0.3">
      <c r="A2422">
        <v>65476021</v>
      </c>
      <c r="B2422" t="s">
        <v>2556</v>
      </c>
      <c r="C2422" t="s">
        <v>131</v>
      </c>
    </row>
    <row r="2423" spans="1:3" x14ac:dyDescent="0.3">
      <c r="A2423">
        <v>65462260</v>
      </c>
      <c r="B2423" t="s">
        <v>2557</v>
      </c>
      <c r="C2423" t="s">
        <v>131</v>
      </c>
    </row>
    <row r="2424" spans="1:3" x14ac:dyDescent="0.3">
      <c r="A2424">
        <v>65464126</v>
      </c>
      <c r="B2424" t="s">
        <v>2558</v>
      </c>
      <c r="C2424" t="s">
        <v>131</v>
      </c>
    </row>
    <row r="2425" spans="1:3" x14ac:dyDescent="0.3">
      <c r="A2425">
        <v>65476014</v>
      </c>
      <c r="B2425" t="s">
        <v>2559</v>
      </c>
      <c r="C2425" t="s">
        <v>131</v>
      </c>
    </row>
    <row r="2426" spans="1:3" x14ac:dyDescent="0.3">
      <c r="A2426">
        <v>65462254</v>
      </c>
      <c r="B2426" t="s">
        <v>2560</v>
      </c>
      <c r="C2426" t="s">
        <v>131</v>
      </c>
    </row>
    <row r="2427" spans="1:3" x14ac:dyDescent="0.3">
      <c r="A2427">
        <v>65283740</v>
      </c>
      <c r="B2427" t="s">
        <v>402</v>
      </c>
      <c r="C2427" t="s">
        <v>122</v>
      </c>
    </row>
    <row r="2428" spans="1:3" x14ac:dyDescent="0.3">
      <c r="A2428">
        <v>65251401</v>
      </c>
      <c r="B2428" t="s">
        <v>2561</v>
      </c>
      <c r="C2428" t="s">
        <v>54</v>
      </c>
    </row>
    <row r="2429" spans="1:3" x14ac:dyDescent="0.3">
      <c r="A2429">
        <v>65282000</v>
      </c>
      <c r="B2429" t="s">
        <v>81</v>
      </c>
      <c r="C2429" t="s">
        <v>122</v>
      </c>
    </row>
    <row r="2430" spans="1:3" x14ac:dyDescent="0.3">
      <c r="A2430">
        <v>64892977</v>
      </c>
      <c r="B2430" t="s">
        <v>2562</v>
      </c>
      <c r="C2430" t="s">
        <v>54</v>
      </c>
    </row>
    <row r="2431" spans="1:3" x14ac:dyDescent="0.3">
      <c r="A2431">
        <v>65495803</v>
      </c>
      <c r="B2431" t="s">
        <v>93</v>
      </c>
      <c r="C2431" t="s">
        <v>131</v>
      </c>
    </row>
    <row r="2432" spans="1:3" x14ac:dyDescent="0.3">
      <c r="A2432">
        <v>65471402</v>
      </c>
      <c r="B2432" t="s">
        <v>2563</v>
      </c>
      <c r="C2432" t="s">
        <v>54</v>
      </c>
    </row>
    <row r="2433" spans="1:3" x14ac:dyDescent="0.3">
      <c r="A2433">
        <v>65448134</v>
      </c>
      <c r="B2433" t="s">
        <v>2564</v>
      </c>
      <c r="C2433" t="s">
        <v>54</v>
      </c>
    </row>
    <row r="2434" spans="1:3" x14ac:dyDescent="0.3">
      <c r="A2434">
        <v>65460678</v>
      </c>
      <c r="B2434" t="s">
        <v>84</v>
      </c>
      <c r="C2434" t="s">
        <v>131</v>
      </c>
    </row>
    <row r="2435" spans="1:3" x14ac:dyDescent="0.3">
      <c r="A2435">
        <v>65471400</v>
      </c>
      <c r="B2435" t="s">
        <v>2565</v>
      </c>
      <c r="C2435" t="s">
        <v>54</v>
      </c>
    </row>
    <row r="2436" spans="1:3" x14ac:dyDescent="0.3">
      <c r="A2436">
        <v>65464118</v>
      </c>
      <c r="B2436" t="s">
        <v>2566</v>
      </c>
      <c r="C2436" t="s">
        <v>131</v>
      </c>
    </row>
    <row r="2437" spans="1:3" x14ac:dyDescent="0.3">
      <c r="A2437">
        <v>65464122</v>
      </c>
      <c r="B2437" t="s">
        <v>2567</v>
      </c>
      <c r="C2437" t="s">
        <v>131</v>
      </c>
    </row>
    <row r="2438" spans="1:3" x14ac:dyDescent="0.3">
      <c r="A2438">
        <v>65448140</v>
      </c>
      <c r="B2438" t="s">
        <v>2568</v>
      </c>
      <c r="C2438" t="s">
        <v>54</v>
      </c>
    </row>
    <row r="2439" spans="1:3" x14ac:dyDescent="0.3">
      <c r="A2439">
        <v>65464124</v>
      </c>
      <c r="B2439" t="s">
        <v>2569</v>
      </c>
      <c r="C2439" t="s">
        <v>131</v>
      </c>
    </row>
    <row r="2440" spans="1:3" x14ac:dyDescent="0.3">
      <c r="A2440">
        <v>65551554</v>
      </c>
      <c r="B2440" t="s">
        <v>711</v>
      </c>
      <c r="C2440" t="s">
        <v>131</v>
      </c>
    </row>
    <row r="2441" spans="1:3" x14ac:dyDescent="0.3">
      <c r="A2441">
        <v>65280853</v>
      </c>
      <c r="B2441" t="s">
        <v>6970</v>
      </c>
      <c r="C2441" t="s">
        <v>131</v>
      </c>
    </row>
    <row r="2442" spans="1:3" x14ac:dyDescent="0.3">
      <c r="A2442">
        <v>65280853</v>
      </c>
      <c r="B2442" t="s">
        <v>6970</v>
      </c>
      <c r="C2442" t="s">
        <v>131</v>
      </c>
    </row>
    <row r="2443" spans="1:3" x14ac:dyDescent="0.3">
      <c r="A2443">
        <v>65280856</v>
      </c>
      <c r="B2443" t="s">
        <v>6971</v>
      </c>
      <c r="C2443" t="s">
        <v>131</v>
      </c>
    </row>
    <row r="2444" spans="1:3" x14ac:dyDescent="0.3">
      <c r="A2444">
        <v>65551554</v>
      </c>
      <c r="B2444" t="s">
        <v>711</v>
      </c>
      <c r="C2444" t="s">
        <v>131</v>
      </c>
    </row>
    <row r="2445" spans="1:3" x14ac:dyDescent="0.3">
      <c r="A2445">
        <v>65280853</v>
      </c>
      <c r="B2445" t="s">
        <v>6970</v>
      </c>
      <c r="C2445" t="s">
        <v>131</v>
      </c>
    </row>
    <row r="2446" spans="1:3" x14ac:dyDescent="0.3">
      <c r="A2446">
        <v>65280856</v>
      </c>
      <c r="B2446" t="s">
        <v>6971</v>
      </c>
      <c r="C2446" t="s">
        <v>131</v>
      </c>
    </row>
    <row r="2447" spans="1:3" x14ac:dyDescent="0.3">
      <c r="A2447">
        <v>65463370</v>
      </c>
      <c r="B2447" t="s">
        <v>2483</v>
      </c>
      <c r="C2447" t="s">
        <v>181</v>
      </c>
    </row>
    <row r="2448" spans="1:3" x14ac:dyDescent="0.3">
      <c r="A2448">
        <v>65280853</v>
      </c>
      <c r="B2448" t="s">
        <v>6970</v>
      </c>
      <c r="C2448" t="s">
        <v>131</v>
      </c>
    </row>
    <row r="2449" spans="1:3" x14ac:dyDescent="0.3">
      <c r="A2449">
        <v>65280853</v>
      </c>
      <c r="B2449" t="s">
        <v>6970</v>
      </c>
      <c r="C2449" t="s">
        <v>131</v>
      </c>
    </row>
    <row r="2450" spans="1:3" x14ac:dyDescent="0.3">
      <c r="A2450">
        <v>65280856</v>
      </c>
      <c r="B2450" t="s">
        <v>6971</v>
      </c>
      <c r="C2450" t="s">
        <v>131</v>
      </c>
    </row>
    <row r="2451" spans="1:3" x14ac:dyDescent="0.3">
      <c r="A2451">
        <v>65463372</v>
      </c>
      <c r="B2451" t="s">
        <v>2484</v>
      </c>
      <c r="C2451" t="s">
        <v>181</v>
      </c>
    </row>
    <row r="2452" spans="1:3" x14ac:dyDescent="0.3">
      <c r="A2452">
        <v>65482472</v>
      </c>
      <c r="B2452" t="s">
        <v>6972</v>
      </c>
      <c r="C2452" t="s">
        <v>131</v>
      </c>
    </row>
    <row r="2453" spans="1:3" x14ac:dyDescent="0.3">
      <c r="A2453">
        <v>65487002</v>
      </c>
      <c r="B2453" t="s">
        <v>6973</v>
      </c>
      <c r="C2453" t="s">
        <v>284</v>
      </c>
    </row>
    <row r="2454" spans="1:3" x14ac:dyDescent="0.3">
      <c r="A2454">
        <v>65251314</v>
      </c>
      <c r="B2454" t="s">
        <v>415</v>
      </c>
      <c r="C2454" t="s">
        <v>53</v>
      </c>
    </row>
    <row r="2455" spans="1:3" x14ac:dyDescent="0.3">
      <c r="A2455">
        <v>65251310</v>
      </c>
      <c r="B2455" t="s">
        <v>412</v>
      </c>
      <c r="C2455" t="s">
        <v>53</v>
      </c>
    </row>
    <row r="2456" spans="1:3" x14ac:dyDescent="0.3">
      <c r="A2456">
        <v>65252542</v>
      </c>
      <c r="B2456" t="s">
        <v>413</v>
      </c>
      <c r="C2456" t="s">
        <v>53</v>
      </c>
    </row>
    <row r="2457" spans="1:3" x14ac:dyDescent="0.3">
      <c r="A2457">
        <v>65541434</v>
      </c>
      <c r="B2457" t="s">
        <v>6974</v>
      </c>
      <c r="C2457" t="s">
        <v>131</v>
      </c>
    </row>
    <row r="2458" spans="1:3" x14ac:dyDescent="0.3">
      <c r="A2458">
        <v>65541432</v>
      </c>
      <c r="B2458" t="s">
        <v>6975</v>
      </c>
      <c r="C2458" t="s">
        <v>131</v>
      </c>
    </row>
    <row r="2459" spans="1:3" x14ac:dyDescent="0.3">
      <c r="A2459">
        <v>65251308</v>
      </c>
      <c r="B2459" t="s">
        <v>411</v>
      </c>
      <c r="C2459" t="s">
        <v>53</v>
      </c>
    </row>
    <row r="2460" spans="1:3" x14ac:dyDescent="0.3">
      <c r="A2460">
        <v>65484981</v>
      </c>
      <c r="B2460" t="s">
        <v>6976</v>
      </c>
      <c r="C2460" t="s">
        <v>54</v>
      </c>
    </row>
    <row r="2461" spans="1:3" x14ac:dyDescent="0.3">
      <c r="A2461">
        <v>65548281</v>
      </c>
      <c r="B2461" t="s">
        <v>6962</v>
      </c>
      <c r="C2461" t="s">
        <v>181</v>
      </c>
    </row>
    <row r="2462" spans="1:3" x14ac:dyDescent="0.3">
      <c r="A2462">
        <v>65591289</v>
      </c>
      <c r="B2462" t="s">
        <v>6964</v>
      </c>
      <c r="C2462" t="s">
        <v>55</v>
      </c>
    </row>
    <row r="2463" spans="1:3" x14ac:dyDescent="0.3">
      <c r="A2463">
        <v>65484988</v>
      </c>
      <c r="B2463" t="s">
        <v>6958</v>
      </c>
      <c r="C2463" t="s">
        <v>54</v>
      </c>
    </row>
    <row r="2464" spans="1:3" x14ac:dyDescent="0.3">
      <c r="A2464">
        <v>65484984</v>
      </c>
      <c r="B2464" t="s">
        <v>6957</v>
      </c>
      <c r="C2464" t="s">
        <v>54</v>
      </c>
    </row>
    <row r="2465" spans="1:3" x14ac:dyDescent="0.3">
      <c r="A2465">
        <v>65084409</v>
      </c>
      <c r="B2465" t="s">
        <v>6977</v>
      </c>
      <c r="C2465" t="s">
        <v>181</v>
      </c>
    </row>
    <row r="2466" spans="1:3" x14ac:dyDescent="0.3">
      <c r="A2466">
        <v>65484980</v>
      </c>
      <c r="B2466" t="s">
        <v>6978</v>
      </c>
      <c r="C2466" t="s">
        <v>54</v>
      </c>
    </row>
    <row r="2467" spans="1:3" x14ac:dyDescent="0.3">
      <c r="A2467">
        <v>65484992</v>
      </c>
      <c r="B2467" t="s">
        <v>6979</v>
      </c>
      <c r="C2467" t="s">
        <v>54</v>
      </c>
    </row>
    <row r="2468" spans="1:3" x14ac:dyDescent="0.3">
      <c r="A2468">
        <v>65484983</v>
      </c>
      <c r="B2468" t="s">
        <v>6980</v>
      </c>
      <c r="C2468" t="s">
        <v>54</v>
      </c>
    </row>
    <row r="2469" spans="1:3" x14ac:dyDescent="0.3">
      <c r="A2469">
        <v>65548279</v>
      </c>
      <c r="B2469" t="s">
        <v>6981</v>
      </c>
      <c r="C2469" t="s">
        <v>181</v>
      </c>
    </row>
    <row r="2470" spans="1:3" x14ac:dyDescent="0.3">
      <c r="A2470">
        <v>65591301</v>
      </c>
      <c r="B2470" t="s">
        <v>6963</v>
      </c>
      <c r="C2470" t="s">
        <v>55</v>
      </c>
    </row>
    <row r="2471" spans="1:3" x14ac:dyDescent="0.3">
      <c r="A2471">
        <v>65591284</v>
      </c>
      <c r="B2471" t="s">
        <v>6966</v>
      </c>
      <c r="C2471" t="s">
        <v>55</v>
      </c>
    </row>
    <row r="2472" spans="1:3" x14ac:dyDescent="0.3">
      <c r="A2472">
        <v>65591284</v>
      </c>
      <c r="B2472" t="s">
        <v>6966</v>
      </c>
      <c r="C2472" t="s">
        <v>55</v>
      </c>
    </row>
    <row r="2473" spans="1:3" x14ac:dyDescent="0.3">
      <c r="A2473">
        <v>65591296</v>
      </c>
      <c r="B2473" t="s">
        <v>1703</v>
      </c>
      <c r="C2473" t="s">
        <v>55</v>
      </c>
    </row>
    <row r="2474" spans="1:3" x14ac:dyDescent="0.3">
      <c r="A2474">
        <v>65650864</v>
      </c>
      <c r="C2474" t="s">
        <v>122</v>
      </c>
    </row>
    <row r="2475" spans="1:3" x14ac:dyDescent="0.3">
      <c r="A2475">
        <v>65650865</v>
      </c>
      <c r="C2475" t="s">
        <v>122</v>
      </c>
    </row>
    <row r="2476" spans="1:3" x14ac:dyDescent="0.3">
      <c r="A2476">
        <v>65591308</v>
      </c>
      <c r="C2476" t="s">
        <v>55</v>
      </c>
    </row>
    <row r="2477" spans="1:3" x14ac:dyDescent="0.3">
      <c r="A2477">
        <v>65647167</v>
      </c>
      <c r="C2477" t="s">
        <v>54</v>
      </c>
    </row>
    <row r="2478" spans="1:3" x14ac:dyDescent="0.3">
      <c r="A2478">
        <v>65638473</v>
      </c>
      <c r="C2478" t="s">
        <v>131</v>
      </c>
    </row>
    <row r="2479" spans="1:3" x14ac:dyDescent="0.3">
      <c r="A2479">
        <v>65591283</v>
      </c>
      <c r="C2479" t="s">
        <v>55</v>
      </c>
    </row>
    <row r="2480" spans="1:3" x14ac:dyDescent="0.3">
      <c r="A2480">
        <v>65650863</v>
      </c>
      <c r="C2480" t="s">
        <v>122</v>
      </c>
    </row>
    <row r="2481" spans="1:3" x14ac:dyDescent="0.3">
      <c r="A2481">
        <v>65437060</v>
      </c>
      <c r="C2481" t="s">
        <v>54</v>
      </c>
    </row>
    <row r="2482" spans="1:3" x14ac:dyDescent="0.3">
      <c r="A2482">
        <v>65437062</v>
      </c>
      <c r="C2482" t="s">
        <v>54</v>
      </c>
    </row>
    <row r="2483" spans="1:3" x14ac:dyDescent="0.3">
      <c r="A2483">
        <v>65463475</v>
      </c>
      <c r="C2483" t="s">
        <v>54</v>
      </c>
    </row>
    <row r="2484" spans="1:3" x14ac:dyDescent="0.3">
      <c r="A2484">
        <v>65650866</v>
      </c>
      <c r="C2484" t="s">
        <v>122</v>
      </c>
    </row>
    <row r="2485" spans="1:3" x14ac:dyDescent="0.3">
      <c r="A2485">
        <v>65591287</v>
      </c>
      <c r="C2485" t="s">
        <v>55</v>
      </c>
    </row>
    <row r="2486" spans="1:3" x14ac:dyDescent="0.3">
      <c r="A2486">
        <v>65084433</v>
      </c>
      <c r="C2486" t="s">
        <v>181</v>
      </c>
    </row>
    <row r="2487" spans="1:3" x14ac:dyDescent="0.3">
      <c r="A2487">
        <v>65673969</v>
      </c>
      <c r="C2487" t="s">
        <v>53</v>
      </c>
    </row>
    <row r="2488" spans="1:3" x14ac:dyDescent="0.3">
      <c r="A2488">
        <v>65650861</v>
      </c>
      <c r="C2488" t="s">
        <v>122</v>
      </c>
    </row>
    <row r="2489" spans="1:3" x14ac:dyDescent="0.3">
      <c r="A2489">
        <v>65673964</v>
      </c>
      <c r="C2489" t="s">
        <v>53</v>
      </c>
    </row>
    <row r="2490" spans="1:3" x14ac:dyDescent="0.3">
      <c r="A2490">
        <v>64958423</v>
      </c>
      <c r="C2490" t="s">
        <v>54</v>
      </c>
    </row>
    <row r="2491" spans="1:3" x14ac:dyDescent="0.3">
      <c r="A2491">
        <v>65651954</v>
      </c>
      <c r="C2491" t="s">
        <v>122</v>
      </c>
    </row>
    <row r="2492" spans="1:3" x14ac:dyDescent="0.3">
      <c r="A2492">
        <v>65650868</v>
      </c>
      <c r="B2492" t="s">
        <v>2467</v>
      </c>
      <c r="C2492" t="s">
        <v>122</v>
      </c>
    </row>
    <row r="2493" spans="1:3" x14ac:dyDescent="0.3">
      <c r="A2493">
        <v>65651694</v>
      </c>
      <c r="B2493" t="s">
        <v>6998</v>
      </c>
      <c r="C2493" t="s">
        <v>122</v>
      </c>
    </row>
    <row r="2494" spans="1:3" x14ac:dyDescent="0.3">
      <c r="A2494">
        <v>65646019</v>
      </c>
      <c r="B2494" t="s">
        <v>6999</v>
      </c>
      <c r="C2494" t="s">
        <v>122</v>
      </c>
    </row>
    <row r="2495" spans="1:3" x14ac:dyDescent="0.3">
      <c r="A2495">
        <v>65592437</v>
      </c>
      <c r="B2495" t="s">
        <v>7000</v>
      </c>
      <c r="C2495" t="s">
        <v>131</v>
      </c>
    </row>
    <row r="2496" spans="1:3" x14ac:dyDescent="0.3">
      <c r="A2496">
        <v>65650855</v>
      </c>
      <c r="C2496" t="s">
        <v>122</v>
      </c>
    </row>
    <row r="2497" spans="1:3" x14ac:dyDescent="0.3">
      <c r="A2497">
        <v>65651696</v>
      </c>
      <c r="C2497" t="s">
        <v>122</v>
      </c>
    </row>
    <row r="2498" spans="1:3" x14ac:dyDescent="0.3">
      <c r="A2498">
        <v>65734752</v>
      </c>
      <c r="C2498" t="s">
        <v>510</v>
      </c>
    </row>
    <row r="2499" spans="1:3" x14ac:dyDescent="0.3">
      <c r="A2499">
        <v>65734754</v>
      </c>
      <c r="C2499" t="s">
        <v>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S3</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2026-07-07T02:03:44Z</dcterms:modified>
</cp:coreProperties>
</file>